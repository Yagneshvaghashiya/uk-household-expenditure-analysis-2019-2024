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efdf69ad7c04b55/London Met/Data Analysis and Visualisation/Yagnesh Data Set For Coursework/Coursework/Data/"/>
    </mc:Choice>
  </mc:AlternateContent>
  <xr:revisionPtr revIDLastSave="225" documentId="11_F25DC773A252ABDACC1048A251D96BB65ADE58F2" xr6:coauthVersionLast="47" xr6:coauthVersionMax="47" xr10:uidLastSave="{CF45F493-6D43-4719-9F63-EE7B29258C90}"/>
  <bookViews>
    <workbookView xWindow="-108" yWindow="-108" windowWidth="23256" windowHeight="12456" tabRatio="744" activeTab="1" xr2:uid="{00000000-000D-0000-FFFF-FFFF00000000}"/>
  </bookViews>
  <sheets>
    <sheet name="Sheet1" sheetId="1" r:id="rId1"/>
    <sheet name="2019Detail Expenses" sheetId="3" r:id="rId2"/>
    <sheet name="2020Detail Expenses" sheetId="4" r:id="rId3"/>
    <sheet name="2021Detail Expenses" sheetId="8" r:id="rId4"/>
    <sheet name="2023 Detail Expenses" sheetId="6" r:id="rId5"/>
    <sheet name="2022Detail Expenses" sheetId="7" r:id="rId6"/>
    <sheet name="2024Detail Expens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4" i="3" l="1"/>
  <c r="K344" i="3"/>
  <c r="C17" i="1"/>
  <c r="G15" i="1"/>
  <c r="G17" i="1" s="1"/>
  <c r="F15" i="1"/>
  <c r="F17" i="1" s="1"/>
  <c r="E15" i="1"/>
  <c r="E17" i="1" s="1"/>
  <c r="D15" i="1"/>
  <c r="D17" i="1" s="1"/>
  <c r="C15" i="1"/>
  <c r="B17" i="1" l="1"/>
  <c r="B15" i="1"/>
</calcChain>
</file>

<file path=xl/sharedStrings.xml><?xml version="1.0" encoding="utf-8"?>
<sst xmlns="http://schemas.openxmlformats.org/spreadsheetml/2006/main" count="8909" uniqueCount="1364">
  <si>
    <t>Commodity or Services</t>
  </si>
  <si>
    <t>Year Ending 2024</t>
  </si>
  <si>
    <t>Year Ending 2023</t>
  </si>
  <si>
    <t>Year Ending 2022</t>
  </si>
  <si>
    <t>Year Ending 2021</t>
  </si>
  <si>
    <t>Year Ending 2020</t>
  </si>
  <si>
    <t>Year Ending 2019</t>
  </si>
  <si>
    <t>Food &amp; non-alcoholic drinks</t>
  </si>
  <si>
    <t>Alcoholic drink, tobacco &amp; narcotics</t>
  </si>
  <si>
    <t>Clothing &amp; footwear</t>
  </si>
  <si>
    <t>Housing(net), fuel &amp; power</t>
  </si>
  <si>
    <t>Household goods &amp; services</t>
  </si>
  <si>
    <t>Health</t>
  </si>
  <si>
    <t>Transport</t>
  </si>
  <si>
    <t>Communication</t>
  </si>
  <si>
    <t>Recreation &amp; culture</t>
  </si>
  <si>
    <t>Education</t>
  </si>
  <si>
    <t>Restaurants &amp; hotels</t>
  </si>
  <si>
    <t>Miscellaneous goods and services</t>
  </si>
  <si>
    <t>All expenditure groups</t>
  </si>
  <si>
    <t>Other expenditure items</t>
  </si>
  <si>
    <t>Total expenditure</t>
  </si>
  <si>
    <t>Weighted average weekly household expenditure (£)</t>
  </si>
  <si>
    <t>Back to Contents</t>
  </si>
  <si>
    <t>UK, financial year ending 2019</t>
  </si>
  <si>
    <t>Total</t>
  </si>
  <si>
    <t>Recording</t>
  </si>
  <si>
    <t>weekly</t>
  </si>
  <si>
    <t>house-</t>
  </si>
  <si>
    <t>expenditure</t>
  </si>
  <si>
    <t>holds</t>
  </si>
  <si>
    <t>all house-</t>
  </si>
  <si>
    <t>holds (£)</t>
  </si>
  <si>
    <t>(£ million)</t>
  </si>
  <si>
    <t>1</t>
  </si>
  <si>
    <t xml:space="preserve">Food </t>
  </si>
  <si>
    <t>1.1.1</t>
  </si>
  <si>
    <t>Bread, rice and cereals</t>
  </si>
  <si>
    <t>1.1.2</t>
  </si>
  <si>
    <t>Pasta products</t>
  </si>
  <si>
    <t>1.1.3</t>
  </si>
  <si>
    <t>Buns, cakes, biscuits etc.</t>
  </si>
  <si>
    <t>1.1.4</t>
  </si>
  <si>
    <t>Pastry (savoury)</t>
  </si>
  <si>
    <t>1.1.5</t>
  </si>
  <si>
    <t>Beef (fresh, chilled or frozen)</t>
  </si>
  <si>
    <t>1.1.6</t>
  </si>
  <si>
    <t>Pork (fresh, chilled or frozen)</t>
  </si>
  <si>
    <t>1.1.7</t>
  </si>
  <si>
    <t>Lamb (fresh, chilled or frozen)</t>
  </si>
  <si>
    <t>1.1.8</t>
  </si>
  <si>
    <t>Poultry (fresh, chilled or frozen)</t>
  </si>
  <si>
    <t>1.1.9</t>
  </si>
  <si>
    <t>Bacon and ham</t>
  </si>
  <si>
    <t>1.1.10</t>
  </si>
  <si>
    <t>Other meats and meat preparations</t>
  </si>
  <si>
    <t>1.1.11</t>
  </si>
  <si>
    <t>Fish and fish products</t>
  </si>
  <si>
    <t>1.1.12</t>
  </si>
  <si>
    <t>Milk</t>
  </si>
  <si>
    <t>1.1.13</t>
  </si>
  <si>
    <t>Cheese and curd</t>
  </si>
  <si>
    <t>1.1.14</t>
  </si>
  <si>
    <t>Eggs</t>
  </si>
  <si>
    <t>1.1.15</t>
  </si>
  <si>
    <t>Other milk products</t>
  </si>
  <si>
    <t>1.1.16</t>
  </si>
  <si>
    <t>Butter</t>
  </si>
  <si>
    <t>1.1.17</t>
  </si>
  <si>
    <t>Margarine, other vegetable fats and peanut butter</t>
  </si>
  <si>
    <t>1.1.18</t>
  </si>
  <si>
    <t>Cooking oils and fats</t>
  </si>
  <si>
    <t>1.1.19</t>
  </si>
  <si>
    <t>Fresh fruit</t>
  </si>
  <si>
    <t>1.1.20</t>
  </si>
  <si>
    <t>Other fresh, chilled or frozen fruits</t>
  </si>
  <si>
    <t>1.1.21</t>
  </si>
  <si>
    <t>Dried fruit and nuts</t>
  </si>
  <si>
    <t>1.1.22</t>
  </si>
  <si>
    <t>Preserved fruit and fruit based products</t>
  </si>
  <si>
    <t>1.1.23</t>
  </si>
  <si>
    <t>Fresh vegetables</t>
  </si>
  <si>
    <t>1.1.24</t>
  </si>
  <si>
    <t>1.1.25</t>
  </si>
  <si>
    <t>Potatoes</t>
  </si>
  <si>
    <t>1.1.26</t>
  </si>
  <si>
    <t>Other tubers and products of tuber vegetables</t>
  </si>
  <si>
    <t>1.1.27</t>
  </si>
  <si>
    <t>Sugar and sugar products</t>
  </si>
  <si>
    <t>1.1.28</t>
  </si>
  <si>
    <t>Jams, marmalades</t>
  </si>
  <si>
    <t>1.1.29</t>
  </si>
  <si>
    <t>Chocolate</t>
  </si>
  <si>
    <t>1.1.30</t>
  </si>
  <si>
    <t>Confectionery products</t>
  </si>
  <si>
    <t>1.1.31</t>
  </si>
  <si>
    <t>Edible ices and ice cream</t>
  </si>
  <si>
    <t>1.1.32</t>
  </si>
  <si>
    <t>Other food products</t>
  </si>
  <si>
    <t>Non-alcoholic drinks</t>
  </si>
  <si>
    <t>1.2.1</t>
  </si>
  <si>
    <t>Coffee</t>
  </si>
  <si>
    <t>1.2.2</t>
  </si>
  <si>
    <t>Tea</t>
  </si>
  <si>
    <t>1.2.3</t>
  </si>
  <si>
    <t>Cocoa and powdered chocolate</t>
  </si>
  <si>
    <t>1.2.4</t>
  </si>
  <si>
    <t>1.2.5</t>
  </si>
  <si>
    <t>Mineral or spring waters</t>
  </si>
  <si>
    <t>1.2.6</t>
  </si>
  <si>
    <t>Soft drinks</t>
  </si>
  <si>
    <t>Note: The commodity and service categories are not comparable with those in publications before 2001-02.</t>
  </si>
  <si>
    <t>Please see background notes for symbols and conventions used in this report.</t>
  </si>
  <si>
    <t>Source: Office for National Statistics</t>
  </si>
  <si>
    <t>Table A1</t>
  </si>
  <si>
    <t>Components of household expenditure</t>
  </si>
  <si>
    <t>Average weekly</t>
  </si>
  <si>
    <t>Percentage</t>
  </si>
  <si>
    <t xml:space="preserve">standard </t>
  </si>
  <si>
    <t>error (full</t>
  </si>
  <si>
    <t>in sample</t>
  </si>
  <si>
    <t>method)</t>
  </si>
  <si>
    <t>Total number of households</t>
  </si>
  <si>
    <t>Commodity or service</t>
  </si>
  <si>
    <t xml:space="preserve"> </t>
  </si>
  <si>
    <t>1.1.1.1</t>
  </si>
  <si>
    <t>Rice</t>
  </si>
  <si>
    <t>1.1.1.2</t>
  </si>
  <si>
    <t>Bread</t>
  </si>
  <si>
    <t>1.1.1.3</t>
  </si>
  <si>
    <t>Other breads and cereals</t>
  </si>
  <si>
    <t>1.1.3.1</t>
  </si>
  <si>
    <t>Buns, crispbread and biscuits</t>
  </si>
  <si>
    <t>1.1.3.2</t>
  </si>
  <si>
    <t>Cakes and puddings</t>
  </si>
  <si>
    <t>1.1.10.1</t>
  </si>
  <si>
    <t>Sausages</t>
  </si>
  <si>
    <t>1.1.10.2</t>
  </si>
  <si>
    <t>Offal, pate etc.</t>
  </si>
  <si>
    <t>1.1.10.3</t>
  </si>
  <si>
    <t>Other preserved or processed meat and meat preparations</t>
  </si>
  <si>
    <t>1.1.10.4</t>
  </si>
  <si>
    <t>Other fresh, chilled or frozen edible meat</t>
  </si>
  <si>
    <t>1.1.11.1</t>
  </si>
  <si>
    <t>Fish (fresh, chilled or frozen)</t>
  </si>
  <si>
    <t>1.1.11.2</t>
  </si>
  <si>
    <t>Seafood, dried, smoked or salted fish</t>
  </si>
  <si>
    <t>1.1.11.3</t>
  </si>
  <si>
    <t>Other preserved or processed fish and seafood</t>
  </si>
  <si>
    <t>1.1.12.1</t>
  </si>
  <si>
    <t>Whole milk</t>
  </si>
  <si>
    <t>1.1.12.2</t>
  </si>
  <si>
    <t>Low fat milk</t>
  </si>
  <si>
    <t>1.1.12.3</t>
  </si>
  <si>
    <t>Preserved milk</t>
  </si>
  <si>
    <t>1.1.15.1</t>
  </si>
  <si>
    <t>1.1.15.2</t>
  </si>
  <si>
    <t>Yoghurt</t>
  </si>
  <si>
    <t>1.1.18.1</t>
  </si>
  <si>
    <t>Olive oil</t>
  </si>
  <si>
    <t>1.1.18.2</t>
  </si>
  <si>
    <t>Edible oils and other edible animal fats</t>
  </si>
  <si>
    <t>1.1.19.1</t>
  </si>
  <si>
    <t>Citrus fruits (fresh)</t>
  </si>
  <si>
    <t>1.1.19.2</t>
  </si>
  <si>
    <t>Bananas (fresh)</t>
  </si>
  <si>
    <t>1.1.19.3</t>
  </si>
  <si>
    <t>Apples (fresh)</t>
  </si>
  <si>
    <t>1.1.19.4</t>
  </si>
  <si>
    <t>Pears (fresh)</t>
  </si>
  <si>
    <t>1.1.19.5</t>
  </si>
  <si>
    <t>Stone fruits (fresh)</t>
  </si>
  <si>
    <t>1.1.19.6</t>
  </si>
  <si>
    <t>Berries (fresh)</t>
  </si>
  <si>
    <t>1.1.23.1</t>
  </si>
  <si>
    <t>Leaf and stem vegetables (fresh or chilled)</t>
  </si>
  <si>
    <t>1.1.23.2</t>
  </si>
  <si>
    <t>Cabbages (fresh or chilled)</t>
  </si>
  <si>
    <t>1.1.23.3</t>
  </si>
  <si>
    <t>Vegetables grown for their fruit (fresh, chilled or frozen)</t>
  </si>
  <si>
    <t>1.1.23.4</t>
  </si>
  <si>
    <t>Root crops, non-starchy bulbs and mushrooms (fresh, chilled or frozen)</t>
  </si>
  <si>
    <t>The numbering is sequential, it does not use actual COICOP codes.</t>
  </si>
  <si>
    <t xml:space="preserve">Components of household expenditure (cont.) </t>
  </si>
  <si>
    <t>Food &amp; non-alcoholic drinks (continued)</t>
  </si>
  <si>
    <t>Dried vegetables</t>
  </si>
  <si>
    <t>Other preserved or processed vegetables</t>
  </si>
  <si>
    <t>1.1.28.1</t>
  </si>
  <si>
    <t>Sugar</t>
  </si>
  <si>
    <t>1.1.28.2</t>
  </si>
  <si>
    <t>Other sugar products</t>
  </si>
  <si>
    <t>1.1.33</t>
  </si>
  <si>
    <t>1.1.33.1</t>
  </si>
  <si>
    <t>Sauces, condiments</t>
  </si>
  <si>
    <t>1.1.33.2</t>
  </si>
  <si>
    <t>Baker's yeast, dessert preparations, soups</t>
  </si>
  <si>
    <t>1.1.33.3</t>
  </si>
  <si>
    <t>Salt, spices, culinary herbs and other food products</t>
  </si>
  <si>
    <t>Fruit and vegetable juices</t>
  </si>
  <si>
    <t>Soft drinks (inc. fizzy and ready to drink fruit drinks)</t>
  </si>
  <si>
    <t>Alcoholic drinks</t>
  </si>
  <si>
    <t>2.1.1</t>
  </si>
  <si>
    <t>Spirits and liqueurs (brought home)</t>
  </si>
  <si>
    <t>2.1.2</t>
  </si>
  <si>
    <t>Wines, fortified wines (brought home)</t>
  </si>
  <si>
    <t>2.1.2.1</t>
  </si>
  <si>
    <t>Wine from grape or other fruit (brought home)</t>
  </si>
  <si>
    <t>2.1.2.2</t>
  </si>
  <si>
    <t>Fortified wine (brought home)</t>
  </si>
  <si>
    <t>2.1.2.3</t>
  </si>
  <si>
    <t>Champagne and sparkling wines (brought home)</t>
  </si>
  <si>
    <t>2.1.3</t>
  </si>
  <si>
    <t>Beer, lager, ciders and perry (brought home)</t>
  </si>
  <si>
    <t>2.1.3.1</t>
  </si>
  <si>
    <t>Beer and lager (brought home)</t>
  </si>
  <si>
    <t>2.1.3.2</t>
  </si>
  <si>
    <t>Ciders and perry (brought home)</t>
  </si>
  <si>
    <t>2.1.4</t>
  </si>
  <si>
    <t>Alcopops (brought home)</t>
  </si>
  <si>
    <t>Tobacco and narcotics</t>
  </si>
  <si>
    <t>2.2.1</t>
  </si>
  <si>
    <t>Cigarettes</t>
  </si>
  <si>
    <t>2.2.2</t>
  </si>
  <si>
    <t>Cigars, other tobacco products and narcotics</t>
  </si>
  <si>
    <t>2.2.2.1</t>
  </si>
  <si>
    <t>Cigars</t>
  </si>
  <si>
    <t>2.2.2.2</t>
  </si>
  <si>
    <t>Other tobacco</t>
  </si>
  <si>
    <t>2.2.2.3</t>
  </si>
  <si>
    <t>Narcotics</t>
  </si>
  <si>
    <t>..</t>
  </si>
  <si>
    <t>3</t>
  </si>
  <si>
    <t>Clothing</t>
  </si>
  <si>
    <t>3.1.1</t>
  </si>
  <si>
    <t>Men's outer garments</t>
  </si>
  <si>
    <t>3.1.2</t>
  </si>
  <si>
    <t>Men's under garments</t>
  </si>
  <si>
    <t>3.1.3</t>
  </si>
  <si>
    <t>Women's outer garments</t>
  </si>
  <si>
    <t>3.1.4</t>
  </si>
  <si>
    <t>Women's under garments</t>
  </si>
  <si>
    <t>3.1.5</t>
  </si>
  <si>
    <t>Boys' outer garments (5-15)</t>
  </si>
  <si>
    <t>3.1.6</t>
  </si>
  <si>
    <t>Girls' outer garments (5-15)</t>
  </si>
  <si>
    <t>3.1.7</t>
  </si>
  <si>
    <t>Infants' outer garments (under 5)</t>
  </si>
  <si>
    <t>3.1.8</t>
  </si>
  <si>
    <t>Children's under garments (under 16)</t>
  </si>
  <si>
    <t>Clothing &amp; footwear (continued)</t>
  </si>
  <si>
    <t>3.1.9</t>
  </si>
  <si>
    <t>Accessories</t>
  </si>
  <si>
    <t>3.1.9.1</t>
  </si>
  <si>
    <t>Men's accessories</t>
  </si>
  <si>
    <t>3.1.9.2</t>
  </si>
  <si>
    <t>Women's accessories</t>
  </si>
  <si>
    <t>3.1.9.3</t>
  </si>
  <si>
    <t>Children's accessories</t>
  </si>
  <si>
    <t>3.1.9.4</t>
  </si>
  <si>
    <t>Protective head gear (crash helmets)</t>
  </si>
  <si>
    <t>3.1.10</t>
  </si>
  <si>
    <t>Haberdashery, clothing materials and clothing hire</t>
  </si>
  <si>
    <t>3.1.11</t>
  </si>
  <si>
    <t>Dry cleaners, laundry and dyeing</t>
  </si>
  <si>
    <t>3.1.11.1</t>
  </si>
  <si>
    <t>Dry cleaners and dyeing</t>
  </si>
  <si>
    <t>3.1.11.2</t>
  </si>
  <si>
    <t>Laundry, launderettes</t>
  </si>
  <si>
    <t>Footwear</t>
  </si>
  <si>
    <t>3.2.1</t>
  </si>
  <si>
    <t>Footwear for men</t>
  </si>
  <si>
    <t>3.2.2</t>
  </si>
  <si>
    <t>Footwear for women</t>
  </si>
  <si>
    <t>3.2.3</t>
  </si>
  <si>
    <t>Footwear for children (5 to 15 years) and infants (under 5)</t>
  </si>
  <si>
    <t>3.2.4</t>
  </si>
  <si>
    <t>Repair and hire of footwear</t>
  </si>
  <si>
    <r>
      <t>Housing(net)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, fuel &amp; power</t>
    </r>
  </si>
  <si>
    <t>Actual rentals for housing</t>
  </si>
  <si>
    <t>4.1.1</t>
  </si>
  <si>
    <t>Gross rent</t>
  </si>
  <si>
    <t>4.1.2</t>
  </si>
  <si>
    <r>
      <t>less</t>
    </r>
    <r>
      <rPr>
        <sz val="7"/>
        <rFont val="Arial"/>
        <family val="2"/>
      </rPr>
      <t xml:space="preserve"> housing benefit, rebates and allowances received</t>
    </r>
  </si>
  <si>
    <t>4.1.3</t>
  </si>
  <si>
    <r>
      <t>Net rent</t>
    </r>
    <r>
      <rPr>
        <vertAlign val="superscript"/>
        <sz val="8"/>
        <rFont val="Arial"/>
        <family val="2"/>
      </rPr>
      <t>2</t>
    </r>
  </si>
  <si>
    <t>4.1.4</t>
  </si>
  <si>
    <t>Second dwelling - rent</t>
  </si>
  <si>
    <t>Maintenance and repair of dwelling</t>
  </si>
  <si>
    <t>4.2.1</t>
  </si>
  <si>
    <t>Central heating repairs</t>
  </si>
  <si>
    <t>4.2.2</t>
  </si>
  <si>
    <t>House maintenance etc.</t>
  </si>
  <si>
    <t>4.2.3</t>
  </si>
  <si>
    <t>Paint, wallpaper, timber</t>
  </si>
  <si>
    <t>4.2.4</t>
  </si>
  <si>
    <t>Equipment hire, small materials</t>
  </si>
  <si>
    <t>Water supply and miscellaneous services relating to the dwelling</t>
  </si>
  <si>
    <t>4.3.1</t>
  </si>
  <si>
    <t>Water charges</t>
  </si>
  <si>
    <t>4.3.2</t>
  </si>
  <si>
    <t>Other regular housing payments including service charge for rent</t>
  </si>
  <si>
    <t>4.3.3</t>
  </si>
  <si>
    <t>Refuse collection, including skip hire</t>
  </si>
  <si>
    <t>Electricity, gas and other fuels</t>
  </si>
  <si>
    <t>4.4.1</t>
  </si>
  <si>
    <t>Electricity</t>
  </si>
  <si>
    <t>4.4.2</t>
  </si>
  <si>
    <t>Gas</t>
  </si>
  <si>
    <t>4.4.3</t>
  </si>
  <si>
    <t>Other fuels</t>
  </si>
  <si>
    <t>4.4.3.1</t>
  </si>
  <si>
    <t>Coal and coke</t>
  </si>
  <si>
    <t>4.4.3.2</t>
  </si>
  <si>
    <t>Oil for central heating</t>
  </si>
  <si>
    <t>4.4.3.3</t>
  </si>
  <si>
    <t>Paraffin, wood, peat, hot water etc.</t>
  </si>
  <si>
    <t xml:space="preserve">Household goods &amp; services </t>
  </si>
  <si>
    <t>Furniture and furnishings, carpets and other floor coverings</t>
  </si>
  <si>
    <t>5.1.1</t>
  </si>
  <si>
    <t>Furniture and furnishings</t>
  </si>
  <si>
    <t>5.1.1.1</t>
  </si>
  <si>
    <t>Furniture</t>
  </si>
  <si>
    <t>5.1.1.2</t>
  </si>
  <si>
    <t>Fancy, decorative goods</t>
  </si>
  <si>
    <t>5.1.1.3</t>
  </si>
  <si>
    <t>Garden furniture</t>
  </si>
  <si>
    <t>5.1.2</t>
  </si>
  <si>
    <t>Floor coverings</t>
  </si>
  <si>
    <t>5.1.2.1</t>
  </si>
  <si>
    <t>Soft floor coverings</t>
  </si>
  <si>
    <t>5.1.2.2</t>
  </si>
  <si>
    <t>Hard floor coverings</t>
  </si>
  <si>
    <t>Household textiles</t>
  </si>
  <si>
    <t>5.2.1</t>
  </si>
  <si>
    <t>Bedroom textiles, including duvets and pillows</t>
  </si>
  <si>
    <t>5.2.2</t>
  </si>
  <si>
    <t>Other household textiles, including cushions, towels, curtains</t>
  </si>
  <si>
    <t>1 Excluding mortgage interest payments, council tax and NI rates.</t>
  </si>
  <si>
    <t>2 The figure included in total expenditure is net rent as opposed to gross rent.</t>
  </si>
  <si>
    <t xml:space="preserve">Household goods &amp; services (continued) </t>
  </si>
  <si>
    <t>Household appliances</t>
  </si>
  <si>
    <t>5.3.1</t>
  </si>
  <si>
    <t>Gas cookers</t>
  </si>
  <si>
    <t>5.3.2</t>
  </si>
  <si>
    <t>Electric cookers, combined gas/electric cookers</t>
  </si>
  <si>
    <t>5.3.3</t>
  </si>
  <si>
    <t>Clothes washing machines and drying machines</t>
  </si>
  <si>
    <t>5.3.4</t>
  </si>
  <si>
    <t>Refrigerators, freezers and fridge-freezers</t>
  </si>
  <si>
    <t>5.3.5</t>
  </si>
  <si>
    <t>Other major electrical appliances, dishwashers, micro-waves</t>
  </si>
  <si>
    <t>vacuum cleaners, heaters etc.</t>
  </si>
  <si>
    <t>5.3.6</t>
  </si>
  <si>
    <t>Fire extinguisher, water softener, safes etc</t>
  </si>
  <si>
    <t>5.3.7</t>
  </si>
  <si>
    <t>Small electric household appliances, excluding hairdryers</t>
  </si>
  <si>
    <t>5.3.8</t>
  </si>
  <si>
    <t>Repairs to gas and electrical appliances and spare parts</t>
  </si>
  <si>
    <t>5.3.9</t>
  </si>
  <si>
    <t>Rental/hire of major household appliances</t>
  </si>
  <si>
    <t>Glassware, tableware and household utensils</t>
  </si>
  <si>
    <t>5.4.1</t>
  </si>
  <si>
    <t>Glassware, china, pottery, cutlery and silverware</t>
  </si>
  <si>
    <t>5.4.2</t>
  </si>
  <si>
    <t>Kitchen and domestic utensils</t>
  </si>
  <si>
    <t>5.4.3</t>
  </si>
  <si>
    <t>Repair of glassware, tableware and household utensils</t>
  </si>
  <si>
    <t>:</t>
  </si>
  <si>
    <t>5.4.4</t>
  </si>
  <si>
    <t>Storage and other durable household articles</t>
  </si>
  <si>
    <t>Tools and equipment for house and garden</t>
  </si>
  <si>
    <t>5.5.1</t>
  </si>
  <si>
    <t>Electrical tools</t>
  </si>
  <si>
    <t>5.5.2</t>
  </si>
  <si>
    <t>Garden tools, equipment and accessories e.g. lawn mowers etc.</t>
  </si>
  <si>
    <t>5.5.3</t>
  </si>
  <si>
    <t>Small tools</t>
  </si>
  <si>
    <t>5.5.4</t>
  </si>
  <si>
    <t>Door, electrical and other fittings</t>
  </si>
  <si>
    <t>5.5.5</t>
  </si>
  <si>
    <t>Electrical consumables</t>
  </si>
  <si>
    <t>Goods and services for routine household maintenance</t>
  </si>
  <si>
    <t>5.6.1</t>
  </si>
  <si>
    <t>Cleaning materials</t>
  </si>
  <si>
    <t>5.6.1.1</t>
  </si>
  <si>
    <t>Detergents, washing-up liquid, washing powder</t>
  </si>
  <si>
    <t>5.6.1.2</t>
  </si>
  <si>
    <t>Disinfectants, polishes, other cleaning materials etc.</t>
  </si>
  <si>
    <t>5.6.2</t>
  </si>
  <si>
    <t>Household goods and hardware</t>
  </si>
  <si>
    <t>5.6.2.1</t>
  </si>
  <si>
    <t>Kitchen disposables</t>
  </si>
  <si>
    <t>5.6.2.2</t>
  </si>
  <si>
    <t>Household hardware and appliances, matches</t>
  </si>
  <si>
    <t>5.6.2.3</t>
  </si>
  <si>
    <t>Kitchen gloves, cloths etc.</t>
  </si>
  <si>
    <t>5.6.2.4</t>
  </si>
  <si>
    <t>Pins, needles, tape measures, nails, nuts and bolts etc.</t>
  </si>
  <si>
    <t>5.6.3</t>
  </si>
  <si>
    <t>Domestic services, carpet cleaning, hire/repair of furniture/furnishings</t>
  </si>
  <si>
    <t>5.6.3.1</t>
  </si>
  <si>
    <t>Domestic services, including cleaners, gardeners, au pairs</t>
  </si>
  <si>
    <t>5.6.3.2</t>
  </si>
  <si>
    <t>Carpet cleaning, ironing service, window cleaner</t>
  </si>
  <si>
    <t>5.6.3.3</t>
  </si>
  <si>
    <t>Hire/repair of household furniture and furnishings</t>
  </si>
  <si>
    <t>Medical products, appliances and equipment</t>
  </si>
  <si>
    <t>6.1.1</t>
  </si>
  <si>
    <t>Medicines, prescriptions and healthcare products</t>
  </si>
  <si>
    <t>6.1.1.1</t>
  </si>
  <si>
    <t>NHS prescription charges and payments</t>
  </si>
  <si>
    <t>6.1.1.2</t>
  </si>
  <si>
    <t>Medicines and medical goods (not NHS)</t>
  </si>
  <si>
    <t>6.1.1.3</t>
  </si>
  <si>
    <t>Other medical products (e.g. plasters, condoms, hot water bottle etc.)</t>
  </si>
  <si>
    <t>6.1.1.4</t>
  </si>
  <si>
    <t>Non-optical appliances and equipment (e.g. wheelchairs, batteries</t>
  </si>
  <si>
    <t>for hearing aids, shoe build-up)</t>
  </si>
  <si>
    <t>6.1.2</t>
  </si>
  <si>
    <t>Spectacles, lenses, accessories and repairs</t>
  </si>
  <si>
    <t>6.1.2.1</t>
  </si>
  <si>
    <t>Purchase of spectacles, lenses, prescription sunglasses</t>
  </si>
  <si>
    <t>6.1.2.2</t>
  </si>
  <si>
    <t>Accessories/repairs to spectacles/lenses</t>
  </si>
  <si>
    <t>Hospital services</t>
  </si>
  <si>
    <t>6.2.1</t>
  </si>
  <si>
    <t>Out patient services</t>
  </si>
  <si>
    <t>6.2.1.1</t>
  </si>
  <si>
    <t>NHS medical, optical, dental and medical auxiliary services</t>
  </si>
  <si>
    <t>6.2.1.2</t>
  </si>
  <si>
    <t>Private medical, optical, dental and medical auxiliary services</t>
  </si>
  <si>
    <t>6.2.1.3</t>
  </si>
  <si>
    <t>Other services</t>
  </si>
  <si>
    <t>6.2.2</t>
  </si>
  <si>
    <t>In-patient hospital services</t>
  </si>
  <si>
    <t>Purchase of vehicles</t>
  </si>
  <si>
    <t>7.1.1</t>
  </si>
  <si>
    <t>Purchase of new cars and vans</t>
  </si>
  <si>
    <t>7.1.1.1</t>
  </si>
  <si>
    <t>Outright purchases</t>
  </si>
  <si>
    <t>7.1.1.2</t>
  </si>
  <si>
    <t>Loan/Hire Purchase of new car/van</t>
  </si>
  <si>
    <t>7.1.2</t>
  </si>
  <si>
    <t>Purchase of second hand cars or vans</t>
  </si>
  <si>
    <t>7.1.2.1</t>
  </si>
  <si>
    <t>7.1.2.2</t>
  </si>
  <si>
    <t>Loan/Hire Purchase of second hand car/van</t>
  </si>
  <si>
    <t>7.1.3</t>
  </si>
  <si>
    <t>Purchase of motorcycles</t>
  </si>
  <si>
    <t>7.1.3.1</t>
  </si>
  <si>
    <t>Outright purchases of new or second hand motorcycles</t>
  </si>
  <si>
    <t>7.1.3.2</t>
  </si>
  <si>
    <t>Loan/Hire Purchase of new or second hand motorcycles</t>
  </si>
  <si>
    <t>7.1.3.3</t>
  </si>
  <si>
    <t>Purchase of bicycles and other vehicles</t>
  </si>
  <si>
    <t>Operation of personal transport</t>
  </si>
  <si>
    <t>7.2.1</t>
  </si>
  <si>
    <t>Spares and accessories</t>
  </si>
  <si>
    <t>7.2.1.1</t>
  </si>
  <si>
    <t>Car/van accessories and fittings</t>
  </si>
  <si>
    <t>7.2.1.2</t>
  </si>
  <si>
    <t>Car/van spare parts</t>
  </si>
  <si>
    <t>7.2.1.3</t>
  </si>
  <si>
    <t>Motorcycle accessories and spare parts</t>
  </si>
  <si>
    <t>7.2.1.4</t>
  </si>
  <si>
    <t>Bicycle accessories, repairs and other costs</t>
  </si>
  <si>
    <t>7.2.2</t>
  </si>
  <si>
    <t>Petrol, diesel and other motor oils</t>
  </si>
  <si>
    <t>7.2.2.1</t>
  </si>
  <si>
    <t>Petrol</t>
  </si>
  <si>
    <t>7.2.2.2</t>
  </si>
  <si>
    <t>Diesel oil</t>
  </si>
  <si>
    <t>7.2.2.3</t>
  </si>
  <si>
    <t>Other motor oils</t>
  </si>
  <si>
    <t>7.2.3</t>
  </si>
  <si>
    <t>Repairs and servicing</t>
  </si>
  <si>
    <t>7.2.3.1</t>
  </si>
  <si>
    <t>Car or van repairs, servicing and other work</t>
  </si>
  <si>
    <t>7.2.3.2</t>
  </si>
  <si>
    <t>Motorcycle repairs and servicing</t>
  </si>
  <si>
    <t>7.2.4</t>
  </si>
  <si>
    <t>Other motoring costs</t>
  </si>
  <si>
    <t>7.2.4.1</t>
  </si>
  <si>
    <t>Motoring organisation subscription (e.g. AA and RAC)</t>
  </si>
  <si>
    <t>7.2.4.2</t>
  </si>
  <si>
    <t>Garage rent, other costs (excluding fines), car washing etc.</t>
  </si>
  <si>
    <t>7.2.4.3</t>
  </si>
  <si>
    <t>Parking fees, tolls, and permits (excluding motoring fines)</t>
  </si>
  <si>
    <t>7.2.4.4</t>
  </si>
  <si>
    <t>Driving lessons</t>
  </si>
  <si>
    <t>7.2.4.5</t>
  </si>
  <si>
    <t>Anti-freeze, battery water, cleaning materials</t>
  </si>
  <si>
    <t>Transport services</t>
  </si>
  <si>
    <t>7.3.1</t>
  </si>
  <si>
    <t>Rail and tube fares</t>
  </si>
  <si>
    <t>7.3.1.1</t>
  </si>
  <si>
    <t>Season tickets</t>
  </si>
  <si>
    <t>7.3.1.2</t>
  </si>
  <si>
    <t>Other than season tickets</t>
  </si>
  <si>
    <t>7.3.2</t>
  </si>
  <si>
    <t>Bus and coach fares</t>
  </si>
  <si>
    <t>7.3.2.1</t>
  </si>
  <si>
    <t>7.3.2.2</t>
  </si>
  <si>
    <t>7.3.3</t>
  </si>
  <si>
    <t>Combined fares</t>
  </si>
  <si>
    <t>7.3.3.1</t>
  </si>
  <si>
    <t>Combined fares other than season tickets</t>
  </si>
  <si>
    <t>7.3.3.2</t>
  </si>
  <si>
    <t>Combined fares season tickets</t>
  </si>
  <si>
    <t>7.3.4</t>
  </si>
  <si>
    <t>Other travel and transport</t>
  </si>
  <si>
    <t>7.3.4.1</t>
  </si>
  <si>
    <t>Air fares (within UK)</t>
  </si>
  <si>
    <t>7.3.4.2</t>
  </si>
  <si>
    <t>Air fares (international)</t>
  </si>
  <si>
    <t>7.3.4.3</t>
  </si>
  <si>
    <t>School travel</t>
  </si>
  <si>
    <t>7.3.4.4</t>
  </si>
  <si>
    <t>Taxis and hired cars with drivers</t>
  </si>
  <si>
    <t>7.3.4.5</t>
  </si>
  <si>
    <t>Other personal travel and transport services</t>
  </si>
  <si>
    <t>7.3.4.6</t>
  </si>
  <si>
    <t>Hire of self-drive cars, vans, bicycles</t>
  </si>
  <si>
    <t>7.3.4.7</t>
  </si>
  <si>
    <t>Car leasing</t>
  </si>
  <si>
    <t>7.3.4.8</t>
  </si>
  <si>
    <t>Water travel, ferries and season tickets</t>
  </si>
  <si>
    <r>
      <t>Communication</t>
    </r>
    <r>
      <rPr>
        <b/>
        <vertAlign val="superscript"/>
        <sz val="9"/>
        <rFont val="Arial"/>
        <family val="2"/>
      </rPr>
      <t>3</t>
    </r>
  </si>
  <si>
    <t>Postal services</t>
  </si>
  <si>
    <t>Telephone and telefax equipment</t>
  </si>
  <si>
    <t>8.2.1</t>
  </si>
  <si>
    <t>Telephone purchase</t>
  </si>
  <si>
    <t>8.2.2</t>
  </si>
  <si>
    <t>Mobile phone purchase</t>
  </si>
  <si>
    <t>8.2.3</t>
  </si>
  <si>
    <t>Answering machine, fax machine, modem purchase</t>
  </si>
  <si>
    <t>Telephone and telefax services</t>
  </si>
  <si>
    <t>8.3.1</t>
  </si>
  <si>
    <r>
      <t>Telephone account (excluding combined payments)</t>
    </r>
    <r>
      <rPr>
        <vertAlign val="superscript"/>
        <sz val="8"/>
        <rFont val="Arial"/>
        <family val="2"/>
      </rPr>
      <t>4</t>
    </r>
  </si>
  <si>
    <t>8.3.2</t>
  </si>
  <si>
    <t>Telephone coin and other payments</t>
  </si>
  <si>
    <t>8.3.3</t>
  </si>
  <si>
    <r>
      <t>Mobile phone account (excluding combined payments)</t>
    </r>
    <r>
      <rPr>
        <vertAlign val="superscript"/>
        <sz val="8"/>
        <rFont val="Arial"/>
        <family val="2"/>
      </rPr>
      <t>5</t>
    </r>
  </si>
  <si>
    <t>8.3.4</t>
  </si>
  <si>
    <t>Mobile phone - other payments</t>
  </si>
  <si>
    <r>
      <t>Internet subscription fees (ex. combined packages)</t>
    </r>
    <r>
      <rPr>
        <vertAlign val="superscript"/>
        <sz val="8"/>
        <rFont val="Arial"/>
        <family val="2"/>
      </rPr>
      <t>6</t>
    </r>
  </si>
  <si>
    <r>
      <t>Combined telecom services</t>
    </r>
    <r>
      <rPr>
        <vertAlign val="superscript"/>
        <sz val="8"/>
        <rFont val="Arial"/>
        <family val="2"/>
      </rPr>
      <t>7</t>
    </r>
  </si>
  <si>
    <r>
      <t>Recreation &amp; culture</t>
    </r>
    <r>
      <rPr>
        <b/>
        <vertAlign val="superscript"/>
        <sz val="9"/>
        <rFont val="Arial"/>
        <family val="2"/>
      </rPr>
      <t>3</t>
    </r>
  </si>
  <si>
    <t>Audio-visual, photographic and information processing equipment</t>
  </si>
  <si>
    <t>9.1.1</t>
  </si>
  <si>
    <t>Audio equipment and accessories, CD players</t>
  </si>
  <si>
    <t>9.1.1.1</t>
  </si>
  <si>
    <t>Audio equipment, CD players including in car</t>
  </si>
  <si>
    <t>9.1.1.2</t>
  </si>
  <si>
    <t>Audio accessories e.g. tapes, headphones etc.</t>
  </si>
  <si>
    <t>9.1.2</t>
  </si>
  <si>
    <t>TV, video and computers</t>
  </si>
  <si>
    <t>9.1.2.1</t>
  </si>
  <si>
    <t>Purchase of TV and digital decoder</t>
  </si>
  <si>
    <t>9.1.2.2</t>
  </si>
  <si>
    <t>Satellite dish purchase and installation</t>
  </si>
  <si>
    <t>9.1.2.3</t>
  </si>
  <si>
    <t>Cable TV connection</t>
  </si>
  <si>
    <t>9.1.2.4</t>
  </si>
  <si>
    <t>Video recorder</t>
  </si>
  <si>
    <t>9.1.2.5</t>
  </si>
  <si>
    <t>DVD player/recorder</t>
  </si>
  <si>
    <t>9.1.2.6</t>
  </si>
  <si>
    <t>Blank, pre-recorded video cassettes, DVDs</t>
  </si>
  <si>
    <t>9.1.2.7</t>
  </si>
  <si>
    <t>Personal computers, printers and calculators</t>
  </si>
  <si>
    <t>9.1.2.8</t>
  </si>
  <si>
    <t>Spare parts for TV, video, audio</t>
  </si>
  <si>
    <t>9.1.2.9</t>
  </si>
  <si>
    <t>Repair of audio-visual, photographic and information processing</t>
  </si>
  <si>
    <t>9.1.3</t>
  </si>
  <si>
    <t>Photographic, cine and optical equipment</t>
  </si>
  <si>
    <t>9.1.3.1</t>
  </si>
  <si>
    <t>Photographic and cine equipment</t>
  </si>
  <si>
    <t>9.1.3.2</t>
  </si>
  <si>
    <t>Camera films</t>
  </si>
  <si>
    <t>9.1.3.3</t>
  </si>
  <si>
    <t>Optical instruments, binoculars, telescopes, microscopes</t>
  </si>
  <si>
    <t>Other major durables for recreation and culture</t>
  </si>
  <si>
    <t>9.2.1</t>
  </si>
  <si>
    <t>Purchase of boats, trailers and horses</t>
  </si>
  <si>
    <t>9.2.2</t>
  </si>
  <si>
    <t>Purchase of caravans, mobile homes (including decoration)</t>
  </si>
  <si>
    <t>9.2.3</t>
  </si>
  <si>
    <t>Accessories for boats, horses, caravans and motor caravans</t>
  </si>
  <si>
    <t>9.2.4</t>
  </si>
  <si>
    <t>Musical instruments (purchase and hire)</t>
  </si>
  <si>
    <t>9.2.5</t>
  </si>
  <si>
    <t xml:space="preserve">Major durables for indoor recreation </t>
  </si>
  <si>
    <t>9.2.6</t>
  </si>
  <si>
    <t>Maintenance and repair of other major durables</t>
  </si>
  <si>
    <t>9.2.7</t>
  </si>
  <si>
    <t>Purchase of motor caravan (new and second-hand) - outright purchase</t>
  </si>
  <si>
    <t>9.2.8</t>
  </si>
  <si>
    <t>Purchase of motor caravan (new and second-hand) - loan/HP</t>
  </si>
  <si>
    <t>Other recreational items and equipment, gardens and pets</t>
  </si>
  <si>
    <t>9.3.1</t>
  </si>
  <si>
    <t>Games, toys and hobbies</t>
  </si>
  <si>
    <t>9.3.2</t>
  </si>
  <si>
    <t>Computer software and games</t>
  </si>
  <si>
    <t>9.3.2.1</t>
  </si>
  <si>
    <t>Computer software and game cartridges</t>
  </si>
  <si>
    <t>9.3.2.2</t>
  </si>
  <si>
    <t>Computer games consoles</t>
  </si>
  <si>
    <t>9.3.3</t>
  </si>
  <si>
    <t>Equipment for sport, camping and open-air recreation</t>
  </si>
  <si>
    <t>9.3.4</t>
  </si>
  <si>
    <t>Horticultural goods, garden equipment and plants etc.</t>
  </si>
  <si>
    <t>9.3.4.1</t>
  </si>
  <si>
    <t>BBQ and swings</t>
  </si>
  <si>
    <t>9.3.4.2</t>
  </si>
  <si>
    <t>Plants, flowers, seeds, fertilisers, insecticides</t>
  </si>
  <si>
    <t>9.3.4.3</t>
  </si>
  <si>
    <t>Garden decorative</t>
  </si>
  <si>
    <t>9.3.4.4</t>
  </si>
  <si>
    <t>Artificial flowers, pot pourri</t>
  </si>
  <si>
    <t>9.3.5</t>
  </si>
  <si>
    <t>Pets and pet food</t>
  </si>
  <si>
    <t>9.3.5.1</t>
  </si>
  <si>
    <t>Pet food</t>
  </si>
  <si>
    <t>9.3.5.2</t>
  </si>
  <si>
    <t>Pet purchase and accessories</t>
  </si>
  <si>
    <t>9.3.5.3</t>
  </si>
  <si>
    <t>Veterinary and other services for pets identified separately</t>
  </si>
  <si>
    <t xml:space="preserve">3 Changes to the questionnaire in FYE 2019 has resulted in the COICOP division “Communication” not being directly comparable with previous years. </t>
  </si>
  <si>
    <t xml:space="preserve">  Please see the technical report for more information.</t>
  </si>
  <si>
    <t>4 For FYE 2019 onwards, telephone payments made as part of a combined bill are excluded from this category and included in 8.5 instead.</t>
  </si>
  <si>
    <t>5 For FYE 2019 onwards, mobile phone payments made as part of a combined bill are excluded from this category and included in 8.5 instead.</t>
  </si>
  <si>
    <t>6 For FYE 2019 onwards, internet subscription fee payments made as part of a combined bill are excluded from this category and included in 8.5 instead.</t>
  </si>
  <si>
    <t xml:space="preserve">7 New for FYE 2019. This encompasses all telecoms bills that include more than one service. Due to the nature of combined packages, this also includes </t>
  </si>
  <si>
    <t xml:space="preserve">  packages that include television services. Television services reported as single bills are included in 9.4.3.</t>
  </si>
  <si>
    <t>Recreation &amp; culture (continued)</t>
  </si>
  <si>
    <t>Recreational and cultural services</t>
  </si>
  <si>
    <t>9.4.1</t>
  </si>
  <si>
    <t>Sports admissions, subscriptions, leisure class fees and equipment hire</t>
  </si>
  <si>
    <t>9.4.1.1</t>
  </si>
  <si>
    <t>Spectator sports: admission charges</t>
  </si>
  <si>
    <t>9.4.1.2</t>
  </si>
  <si>
    <t>Participant sports (excluding subscriptions)</t>
  </si>
  <si>
    <t>9.4.1.3</t>
  </si>
  <si>
    <t>Subscriptions to sports and social clubs</t>
  </si>
  <si>
    <t>9.4.1.4</t>
  </si>
  <si>
    <t>Leisure class fees</t>
  </si>
  <si>
    <t>9.4.1.5</t>
  </si>
  <si>
    <t>Hire of equipment for sport and open air recreation</t>
  </si>
  <si>
    <t>9.4.2</t>
  </si>
  <si>
    <t>Cinema, theatre and museums etc.</t>
  </si>
  <si>
    <t>9.4.2.1</t>
  </si>
  <si>
    <t>Cinemas</t>
  </si>
  <si>
    <t>9.4.2.2</t>
  </si>
  <si>
    <t>Live entertainment: theatre, concerts, shows</t>
  </si>
  <si>
    <t>9.4.2.3</t>
  </si>
  <si>
    <t>Museums, zoological gardens, theme parks, houses and gardens</t>
  </si>
  <si>
    <t>9.4.3</t>
  </si>
  <si>
    <t>TV, video, satellite rental, cable subscriptions and TV licences</t>
  </si>
  <si>
    <t>9.4.3.1</t>
  </si>
  <si>
    <t>TV licences</t>
  </si>
  <si>
    <t>9.4.3.2</t>
  </si>
  <si>
    <r>
      <t>Satellite subscriptions (excluding combined packages)</t>
    </r>
    <r>
      <rPr>
        <vertAlign val="superscript"/>
        <sz val="8"/>
        <rFont val="Arial"/>
        <family val="2"/>
      </rPr>
      <t>8</t>
    </r>
  </si>
  <si>
    <t>9.4.3.3</t>
  </si>
  <si>
    <r>
      <t>Rent for TV/Satellite/VCR (excluding combined packages)</t>
    </r>
    <r>
      <rPr>
        <vertAlign val="superscript"/>
        <sz val="8"/>
        <rFont val="Arial"/>
        <family val="2"/>
      </rPr>
      <t>9</t>
    </r>
  </si>
  <si>
    <t>9.4.3.4</t>
  </si>
  <si>
    <r>
      <t>Cable subscriptions (excluding combined packages)</t>
    </r>
    <r>
      <rPr>
        <vertAlign val="superscript"/>
        <sz val="8"/>
        <rFont val="Arial"/>
        <family val="2"/>
      </rPr>
      <t>10</t>
    </r>
  </si>
  <si>
    <t>9.4.3.5</t>
  </si>
  <si>
    <t>TV slot meter payments</t>
  </si>
  <si>
    <t>9.4.3.6</t>
  </si>
  <si>
    <t>Video, cassette and CD hire, including online entertainment packages</t>
  </si>
  <si>
    <t>9.4.4</t>
  </si>
  <si>
    <t>Miscellaneous entertainments</t>
  </si>
  <si>
    <t>9.4.4.1</t>
  </si>
  <si>
    <t>Admissions to clubs, dances, discos, bingo</t>
  </si>
  <si>
    <t>9.4.4.2</t>
  </si>
  <si>
    <t>Social events and gatherings</t>
  </si>
  <si>
    <t>9.4.4.3</t>
  </si>
  <si>
    <t>Subscriptions for leisure activities and other subscriptions</t>
  </si>
  <si>
    <t>9.4.5</t>
  </si>
  <si>
    <t>Development of film, deposit for film development, passport</t>
  </si>
  <si>
    <t>photos, holiday and school photos</t>
  </si>
  <si>
    <t>9.4.6</t>
  </si>
  <si>
    <t>Gambling payments</t>
  </si>
  <si>
    <t>9.4.6.1</t>
  </si>
  <si>
    <t>Football pools stakes</t>
  </si>
  <si>
    <t>9.4.6.2</t>
  </si>
  <si>
    <t>Bingo stakes excluding admission</t>
  </si>
  <si>
    <t>9.4.6.3</t>
  </si>
  <si>
    <t xml:space="preserve">Lottery </t>
  </si>
  <si>
    <t>9.4.6.4</t>
  </si>
  <si>
    <t>Bookmaker, tote, other betting stakes</t>
  </si>
  <si>
    <t>Newspapers, books and stationery</t>
  </si>
  <si>
    <t>9.5.1</t>
  </si>
  <si>
    <t>Books</t>
  </si>
  <si>
    <t>9.5.2</t>
  </si>
  <si>
    <t>Stationery, diaries, address books, art materials</t>
  </si>
  <si>
    <t>9.5.3</t>
  </si>
  <si>
    <t>Cards, calendars, posters and other printed matter</t>
  </si>
  <si>
    <t>9.5.4</t>
  </si>
  <si>
    <t>Newspapers</t>
  </si>
  <si>
    <t>9.5.5</t>
  </si>
  <si>
    <t>Magazines and periodicals</t>
  </si>
  <si>
    <r>
      <t>Package holidays</t>
    </r>
    <r>
      <rPr>
        <vertAlign val="superscript"/>
        <sz val="8"/>
        <rFont val="Arial"/>
        <family val="2"/>
      </rPr>
      <t>11</t>
    </r>
  </si>
  <si>
    <t>9.6.1</t>
  </si>
  <si>
    <t>Package holidays - UK</t>
  </si>
  <si>
    <t>9.6.2</t>
  </si>
  <si>
    <t>Package holidays - abroad</t>
  </si>
  <si>
    <t>Education fees</t>
  </si>
  <si>
    <t>10.1.1</t>
  </si>
  <si>
    <t>Nursery and primary education</t>
  </si>
  <si>
    <t>10.1.2</t>
  </si>
  <si>
    <t>Secondary education</t>
  </si>
  <si>
    <t>10.1.3</t>
  </si>
  <si>
    <t>Sixth form college/college education</t>
  </si>
  <si>
    <t>10.1.4</t>
  </si>
  <si>
    <t>University education</t>
  </si>
  <si>
    <t>10.1.5</t>
  </si>
  <si>
    <t>Other education</t>
  </si>
  <si>
    <t>Payments for school trips, other ad-hoc expenditure</t>
  </si>
  <si>
    <t>10.2.1</t>
  </si>
  <si>
    <t>10.2.2</t>
  </si>
  <si>
    <t>10.2.3</t>
  </si>
  <si>
    <t>10.2.4</t>
  </si>
  <si>
    <t>10.2.5</t>
  </si>
  <si>
    <t>8 For FYE 2019 onwards, satellite payments made as part of a combined bill are excluded from this category and included in 8.5 instead.</t>
  </si>
  <si>
    <t>9 For FYE 2019 onwards, rent for TV/satellite/VCR payments made as part of a combined bill are excluded from this category and included in 8.5 instead.</t>
  </si>
  <si>
    <t>10 For FYE 2019 onwards, cable subscription payments made as part of a combined bill are excluded from this category and included in 8.5 instead.</t>
  </si>
  <si>
    <t>11 Recording of expenditure on package holidays was changed from 2011.</t>
  </si>
  <si>
    <t>Catering services</t>
  </si>
  <si>
    <t>11.1.1</t>
  </si>
  <si>
    <t>Restaurant and café meals</t>
  </si>
  <si>
    <t>11.1.2</t>
  </si>
  <si>
    <t>Alcoholic drinks (away from home)</t>
  </si>
  <si>
    <t>11.1.3</t>
  </si>
  <si>
    <t>Take away meals eaten at home</t>
  </si>
  <si>
    <t>11.1.4</t>
  </si>
  <si>
    <t>Other take-away and snack food</t>
  </si>
  <si>
    <t>11.1.4.1</t>
  </si>
  <si>
    <t>Hot and cold food</t>
  </si>
  <si>
    <t>11.1.4.2</t>
  </si>
  <si>
    <t>Confectionery</t>
  </si>
  <si>
    <t>11.1.4.3</t>
  </si>
  <si>
    <t>Ice cream</t>
  </si>
  <si>
    <t>11.1.4.4</t>
  </si>
  <si>
    <t>11.1.5</t>
  </si>
  <si>
    <t>Contract catering (food)</t>
  </si>
  <si>
    <t>11.1.6</t>
  </si>
  <si>
    <t>Canteens</t>
  </si>
  <si>
    <t>11.1.6.1</t>
  </si>
  <si>
    <t>School meals</t>
  </si>
  <si>
    <t>11.1.6.2</t>
  </si>
  <si>
    <t>Meals bought and eaten at the workplace</t>
  </si>
  <si>
    <t>Accommodation services</t>
  </si>
  <si>
    <t>11.2.1</t>
  </si>
  <si>
    <t>Holiday in the UK</t>
  </si>
  <si>
    <t>11.2.2</t>
  </si>
  <si>
    <t>Holiday abroad</t>
  </si>
  <si>
    <t>11.2.3</t>
  </si>
  <si>
    <t>Room hire</t>
  </si>
  <si>
    <t>Personal care</t>
  </si>
  <si>
    <t>12.1.1</t>
  </si>
  <si>
    <t>Hairdressing, beauty treatment</t>
  </si>
  <si>
    <t>12.1.2</t>
  </si>
  <si>
    <t>Toilet paper</t>
  </si>
  <si>
    <t>12.1.3</t>
  </si>
  <si>
    <t>Toiletries and soap</t>
  </si>
  <si>
    <t>12.1.3.1</t>
  </si>
  <si>
    <t>Toiletries (disposable including tampons, lipsyl, toothpaste etc.)</t>
  </si>
  <si>
    <t>12.1.3.2</t>
  </si>
  <si>
    <t>Bar of soap, liquid soap, shower gel etc.</t>
  </si>
  <si>
    <t>12.1.3.3</t>
  </si>
  <si>
    <t>Toilet requisites (durable including razors, hairbrushes, toothbrushes etc.)</t>
  </si>
  <si>
    <t>12.1.4</t>
  </si>
  <si>
    <t>Baby toiletries and accessories (disposable)</t>
  </si>
  <si>
    <t>12.1.5</t>
  </si>
  <si>
    <t>Hair products, cosmetics and electrical appliances for personal care</t>
  </si>
  <si>
    <t>12.1.5.1</t>
  </si>
  <si>
    <t>Hair products</t>
  </si>
  <si>
    <t>12.1.5.2</t>
  </si>
  <si>
    <t>Cosmetics and related accessories</t>
  </si>
  <si>
    <t>12.1.5.3</t>
  </si>
  <si>
    <t>Electrical appliances for personal care, including hairdryers, shavers etc.</t>
  </si>
  <si>
    <t xml:space="preserve">Personal effects </t>
  </si>
  <si>
    <t>12.2.1</t>
  </si>
  <si>
    <t>Jewellery, clocks and watches and other personal effects</t>
  </si>
  <si>
    <t>12.2.2</t>
  </si>
  <si>
    <t>Leather and travel goods (excluding baby items)</t>
  </si>
  <si>
    <t>12.2.3</t>
  </si>
  <si>
    <t>Sunglasses (non-prescription)</t>
  </si>
  <si>
    <t>12.2.4</t>
  </si>
  <si>
    <t>Baby equipment (excluding prams and pushchairs)</t>
  </si>
  <si>
    <t>12.2.5</t>
  </si>
  <si>
    <t>Prams, pram accessories and pushchairs</t>
  </si>
  <si>
    <t>12.2.6</t>
  </si>
  <si>
    <t>Repairs to personal goods</t>
  </si>
  <si>
    <t>Social protection</t>
  </si>
  <si>
    <t>12.3.1</t>
  </si>
  <si>
    <t>Residential homes</t>
  </si>
  <si>
    <t>12.3.2</t>
  </si>
  <si>
    <t>Home help</t>
  </si>
  <si>
    <t>12.3.3</t>
  </si>
  <si>
    <t>Nursery, crèche, playschools</t>
  </si>
  <si>
    <t>12.3.4</t>
  </si>
  <si>
    <t>Child care payments</t>
  </si>
  <si>
    <t>Miscellaneous goods and services (continued)</t>
  </si>
  <si>
    <t>Insurance</t>
  </si>
  <si>
    <t>12.4.1</t>
  </si>
  <si>
    <t>Household insurances</t>
  </si>
  <si>
    <t>12.4.1.1</t>
  </si>
  <si>
    <t>Structure insurance</t>
  </si>
  <si>
    <t>12.4.1.2</t>
  </si>
  <si>
    <t>Contents insurance</t>
  </si>
  <si>
    <t>12.4.1.3</t>
  </si>
  <si>
    <r>
      <t>Insurance for household appliances</t>
    </r>
    <r>
      <rPr>
        <vertAlign val="superscript"/>
        <sz val="8"/>
        <rFont val="Arial"/>
        <family val="2"/>
      </rPr>
      <t>12</t>
    </r>
  </si>
  <si>
    <t>12.4.2</t>
  </si>
  <si>
    <r>
      <t>Medical insurance premiums</t>
    </r>
    <r>
      <rPr>
        <vertAlign val="superscript"/>
        <sz val="8"/>
        <rFont val="Arial"/>
        <family val="2"/>
      </rPr>
      <t>13</t>
    </r>
  </si>
  <si>
    <t>12.4.3</t>
  </si>
  <si>
    <t>Vehicle insurance including boat insurance</t>
  </si>
  <si>
    <t>12.4.3.1</t>
  </si>
  <si>
    <t>Vehicle insurance</t>
  </si>
  <si>
    <t>12.4.3.2</t>
  </si>
  <si>
    <t>Boat insurance (not home)</t>
  </si>
  <si>
    <t>12.4.4</t>
  </si>
  <si>
    <r>
      <t>Non-package holiday, other travel insurance</t>
    </r>
    <r>
      <rPr>
        <vertAlign val="superscript"/>
        <sz val="8"/>
        <rFont val="Arial"/>
        <family val="2"/>
      </rPr>
      <t>14</t>
    </r>
  </si>
  <si>
    <t>12.5.1</t>
  </si>
  <si>
    <t>Moving house</t>
  </si>
  <si>
    <t>12.5.1.1</t>
  </si>
  <si>
    <t>Moving and storage of furniture</t>
  </si>
  <si>
    <t>12.5.1.2</t>
  </si>
  <si>
    <t>Property transaction - purchase and sale</t>
  </si>
  <si>
    <t>12.5.1.3</t>
  </si>
  <si>
    <t>Property transaction - sale only</t>
  </si>
  <si>
    <t>12.5.1.4</t>
  </si>
  <si>
    <t>Property transaction - purchase only</t>
  </si>
  <si>
    <t>12.5.1.5</t>
  </si>
  <si>
    <t>Property transaction - other payments</t>
  </si>
  <si>
    <t>12.5.2</t>
  </si>
  <si>
    <t>Bank, building society, post office, credit card charges</t>
  </si>
  <si>
    <t>12.5.2.1</t>
  </si>
  <si>
    <t>Bank and building society charges</t>
  </si>
  <si>
    <t>12.5.2.2</t>
  </si>
  <si>
    <t>Bank and Post Office counter charges</t>
  </si>
  <si>
    <t>12.5.2.3</t>
  </si>
  <si>
    <t>Annual standing charge for credit cards</t>
  </si>
  <si>
    <t>12.5.2.4</t>
  </si>
  <si>
    <t>Commission travellers' cheques and currency</t>
  </si>
  <si>
    <t>12.5.3</t>
  </si>
  <si>
    <t>Other services and professional fees</t>
  </si>
  <si>
    <t>12.5.3.1</t>
  </si>
  <si>
    <t>Other professional fees including court fines</t>
  </si>
  <si>
    <t>12.5.3.2</t>
  </si>
  <si>
    <t>Legal fees</t>
  </si>
  <si>
    <t>12.5.3.3</t>
  </si>
  <si>
    <t>Funeral expenses</t>
  </si>
  <si>
    <t>12.5.3.4</t>
  </si>
  <si>
    <t>TU and professional organisations</t>
  </si>
  <si>
    <t>12.5.3.5</t>
  </si>
  <si>
    <t>Other payments for services e.g. photocopying</t>
  </si>
  <si>
    <t>1-12</t>
  </si>
  <si>
    <t>Housing: mortgage interest payments, council tax etc.</t>
  </si>
  <si>
    <t>13.1.1</t>
  </si>
  <si>
    <t>Mortgage interest payments</t>
  </si>
  <si>
    <t>13.1.2</t>
  </si>
  <si>
    <t>Mortgage protection premiums</t>
  </si>
  <si>
    <t>13.1.3</t>
  </si>
  <si>
    <t>Council tax, domestic rates</t>
  </si>
  <si>
    <t>13.1.4</t>
  </si>
  <si>
    <t>Council tax, mortgage (second dwelling)</t>
  </si>
  <si>
    <t>Licences, fines and transfers</t>
  </si>
  <si>
    <t>13.2.1</t>
  </si>
  <si>
    <t>Stamp duty, licences and fines (excluding motoring fines)</t>
  </si>
  <si>
    <t>13.2.2</t>
  </si>
  <si>
    <t>Motoring fines</t>
  </si>
  <si>
    <t>13.2.3</t>
  </si>
  <si>
    <t>Motor vehicle road taxation payments less refunds</t>
  </si>
  <si>
    <t>Holiday spending</t>
  </si>
  <si>
    <t>13.3.1</t>
  </si>
  <si>
    <t>Money spent abroad</t>
  </si>
  <si>
    <t>13.3.2</t>
  </si>
  <si>
    <t>Duty free goods bought in UK</t>
  </si>
  <si>
    <t xml:space="preserve">12 For FYE 2019, information about insurance for household appliances was collected in the questionnaire in addition to the diary. In previous years, </t>
  </si>
  <si>
    <t xml:space="preserve">  this was based on diary data only.</t>
  </si>
  <si>
    <t xml:space="preserve">13 For FYE 2019, critical illness cover, personal accident insurance and other medical insurance are included here. In previous years, these were </t>
  </si>
  <si>
    <t xml:space="preserve">  included in other insurance.</t>
  </si>
  <si>
    <t xml:space="preserve">14 For FYE 2019, information about insurance for non-package holiday and other travel insurance was collected in the questionnaire in addition to the </t>
  </si>
  <si>
    <t xml:space="preserve">  diary. In previous years, this was based on diary data only.</t>
  </si>
  <si>
    <t>Other expenditure items (continued)</t>
  </si>
  <si>
    <t>Money transfers and credit</t>
  </si>
  <si>
    <t>13.4.1</t>
  </si>
  <si>
    <t>Money, cash gifts given to children</t>
  </si>
  <si>
    <t>13.4.1.1</t>
  </si>
  <si>
    <t>Money given to children for specific purposes</t>
  </si>
  <si>
    <t>13.4.1.2</t>
  </si>
  <si>
    <t>Cash gifts to children (no specific purpose)</t>
  </si>
  <si>
    <t>13.4.2</t>
  </si>
  <si>
    <t>Cash gifts and donations</t>
  </si>
  <si>
    <t>13.4.2.1</t>
  </si>
  <si>
    <t>Money/presents given to those outside the household</t>
  </si>
  <si>
    <t>13.4.2.2</t>
  </si>
  <si>
    <t>Charitable donations and subscriptions</t>
  </si>
  <si>
    <t>13.4.2.3</t>
  </si>
  <si>
    <t>Money sent abroad</t>
  </si>
  <si>
    <t>13.4.2.4</t>
  </si>
  <si>
    <t>Maintenance allowance expenditure</t>
  </si>
  <si>
    <t>13.4.3</t>
  </si>
  <si>
    <t>Club instalment payments (child) and interest on credit cards</t>
  </si>
  <si>
    <t>13.4.3.1</t>
  </si>
  <si>
    <t>Club instalment payment</t>
  </si>
  <si>
    <t>13.4.3.2</t>
  </si>
  <si>
    <t>Interest on credit cards</t>
  </si>
  <si>
    <t>Other items recorded</t>
  </si>
  <si>
    <t>Life assurance, contributions to pension funds</t>
  </si>
  <si>
    <t>14.1.1</t>
  </si>
  <si>
    <t>Life assurance premiums</t>
  </si>
  <si>
    <t>14.1.2</t>
  </si>
  <si>
    <t>Contributions to pension and superannuation funds etc.</t>
  </si>
  <si>
    <t>14.1.3</t>
  </si>
  <si>
    <t>Personal pensions</t>
  </si>
  <si>
    <t>Other insurance including friendly societies</t>
  </si>
  <si>
    <t>Income tax, payments less refunds</t>
  </si>
  <si>
    <t>14.3.1</t>
  </si>
  <si>
    <t>Income tax paid by employees under PAYE</t>
  </si>
  <si>
    <t>14.3.2</t>
  </si>
  <si>
    <t>Income tax paid direct e.g. by retired or unoccupied persons</t>
  </si>
  <si>
    <t>14.3.3</t>
  </si>
  <si>
    <t>Income tax paid direct by self-employed</t>
  </si>
  <si>
    <t>14.3.4</t>
  </si>
  <si>
    <t>Income tax deducted at source from income under covenant from</t>
  </si>
  <si>
    <t>investments or from annuities and pensions</t>
  </si>
  <si>
    <t>14.3.5</t>
  </si>
  <si>
    <t>Income tax on bonus earnings</t>
  </si>
  <si>
    <t>14.3.6</t>
  </si>
  <si>
    <t>Income tax refunds under PAYE</t>
  </si>
  <si>
    <t>14.3.7</t>
  </si>
  <si>
    <t>Income tax refunds other than PAYE</t>
  </si>
  <si>
    <t>National insurance contribution</t>
  </si>
  <si>
    <t>14.4.1</t>
  </si>
  <si>
    <t>NI contributions paid by employees</t>
  </si>
  <si>
    <t>14.4.2</t>
  </si>
  <si>
    <t>NI contributions paid by non-employees</t>
  </si>
  <si>
    <t>Purchase or alteration of dwellings (contracted out), mortgages</t>
  </si>
  <si>
    <t>14.5.1</t>
  </si>
  <si>
    <t>Outright purchase of houses, flats etc. including deposits</t>
  </si>
  <si>
    <t>14.5.2</t>
  </si>
  <si>
    <t>Capital repayment of mortgage</t>
  </si>
  <si>
    <t>14.5.3</t>
  </si>
  <si>
    <t>Central heating installation</t>
  </si>
  <si>
    <t>14.5.4</t>
  </si>
  <si>
    <t>DIY improvements: Double glazing, kitchen units, sheds etc.</t>
  </si>
  <si>
    <t>14.5.5</t>
  </si>
  <si>
    <t>Home improvements - contracted out</t>
  </si>
  <si>
    <t>14.5.6</t>
  </si>
  <si>
    <t>Bathroom fittings</t>
  </si>
  <si>
    <t>14.5.7</t>
  </si>
  <si>
    <t>Purchase of materials for Capital Improvements</t>
  </si>
  <si>
    <t>14.5.8</t>
  </si>
  <si>
    <t>Purchase of second dwelling</t>
  </si>
  <si>
    <t>Savings and investments</t>
  </si>
  <si>
    <t>14.6.1</t>
  </si>
  <si>
    <t>Savings, investments (excluding AVCs)</t>
  </si>
  <si>
    <t>14.6.2</t>
  </si>
  <si>
    <t>Additional Voluntary Contributions</t>
  </si>
  <si>
    <t>14.6.3</t>
  </si>
  <si>
    <t>Food stamps, other food related expenditure</t>
  </si>
  <si>
    <t>Pay off loan to clear other debt</t>
  </si>
  <si>
    <r>
      <t>Windfall receipts from gambling etc.</t>
    </r>
    <r>
      <rPr>
        <vertAlign val="superscript"/>
        <sz val="8"/>
        <rFont val="Arial"/>
        <family val="2"/>
      </rPr>
      <t>15</t>
    </r>
  </si>
  <si>
    <t>15 Expressed as an income figure as opposed to an expenditure figure.</t>
  </si>
  <si>
    <t>UK, financial year ending 2020</t>
  </si>
  <si>
    <t>Detailed expenditure with full-method standard errors</t>
  </si>
  <si>
    <t>UK, financial year ending 2024</t>
  </si>
  <si>
    <t>4,210</t>
  </si>
  <si>
    <t/>
  </si>
  <si>
    <t>70.50</t>
  </si>
  <si>
    <t>4,180</t>
  </si>
  <si>
    <t>64.30</t>
  </si>
  <si>
    <t>6.20</t>
  </si>
  <si>
    <t>4,040</t>
  </si>
  <si>
    <t>0.50</t>
  </si>
  <si>
    <t>1,200</t>
  </si>
  <si>
    <t>2.90</t>
  </si>
  <si>
    <t>3,820</t>
  </si>
  <si>
    <t>2.80</t>
  </si>
  <si>
    <t>3,360</t>
  </si>
  <si>
    <t>0.60</t>
  </si>
  <si>
    <t>1,700</t>
  </si>
  <si>
    <t>4.90</t>
  </si>
  <si>
    <t>3,760</t>
  </si>
  <si>
    <t>3,480</t>
  </si>
  <si>
    <t>1.90</t>
  </si>
  <si>
    <t>2,650</t>
  </si>
  <si>
    <t>1.10</t>
  </si>
  <si>
    <t>1,630</t>
  </si>
  <si>
    <t>2.00</t>
  </si>
  <si>
    <t>710</t>
  </si>
  <si>
    <t>390</t>
  </si>
  <si>
    <t>2.50</t>
  </si>
  <si>
    <t>2,140</t>
  </si>
  <si>
    <t>0.90</t>
  </si>
  <si>
    <t>1,540</t>
  </si>
  <si>
    <t>7.60</t>
  </si>
  <si>
    <t>3,600</t>
  </si>
  <si>
    <t>1.00</t>
  </si>
  <si>
    <t>1,760</t>
  </si>
  <si>
    <t>0.10</t>
  </si>
  <si>
    <t>370</t>
  </si>
  <si>
    <t>6.50</t>
  </si>
  <si>
    <t>3,460</t>
  </si>
  <si>
    <t>0.00~</t>
  </si>
  <si>
    <t>20</t>
  </si>
  <si>
    <t>3.00</t>
  </si>
  <si>
    <t>2,490</t>
  </si>
  <si>
    <t>930</t>
  </si>
  <si>
    <t>790</t>
  </si>
  <si>
    <t>1.40</t>
  </si>
  <si>
    <t>1,970</t>
  </si>
  <si>
    <t>2.30</t>
  </si>
  <si>
    <t>3,530</t>
  </si>
  <si>
    <t>1,110</t>
  </si>
  <si>
    <t>1.50</t>
  </si>
  <si>
    <t>2,890</t>
  </si>
  <si>
    <t>0.20</t>
  </si>
  <si>
    <t>200</t>
  </si>
  <si>
    <t>2.60</t>
  </si>
  <si>
    <t>3,010</t>
  </si>
  <si>
    <t>2,310</t>
  </si>
  <si>
    <t>Other milk products and yoghurt</t>
  </si>
  <si>
    <t>3,270</t>
  </si>
  <si>
    <t>2,450</t>
  </si>
  <si>
    <t>1.30</t>
  </si>
  <si>
    <t>2,420</t>
  </si>
  <si>
    <t>1,230</t>
  </si>
  <si>
    <t>0.70</t>
  </si>
  <si>
    <t>1,640</t>
  </si>
  <si>
    <t>840</t>
  </si>
  <si>
    <t>330</t>
  </si>
  <si>
    <t>580</t>
  </si>
  <si>
    <t>4.00</t>
  </si>
  <si>
    <t>3,540</t>
  </si>
  <si>
    <t>1,850</t>
  </si>
  <si>
    <t>2,500</t>
  </si>
  <si>
    <t>550</t>
  </si>
  <si>
    <t>1,410</t>
  </si>
  <si>
    <t>1.70</t>
  </si>
  <si>
    <t>2,380</t>
  </si>
  <si>
    <t>1,180</t>
  </si>
  <si>
    <t>1,520</t>
  </si>
  <si>
    <t>540</t>
  </si>
  <si>
    <t>4.60</t>
  </si>
  <si>
    <t>3,740</t>
  </si>
  <si>
    <t>2,640</t>
  </si>
  <si>
    <t>0.40</t>
  </si>
  <si>
    <t>1,720</t>
  </si>
  <si>
    <t>3,030</t>
  </si>
  <si>
    <t>3,230</t>
  </si>
  <si>
    <t>210</t>
  </si>
  <si>
    <t>2.20</t>
  </si>
  <si>
    <t>3,120</t>
  </si>
  <si>
    <t>2,350</t>
  </si>
  <si>
    <t>3,070</t>
  </si>
  <si>
    <t>1,220</t>
  </si>
  <si>
    <t>900</t>
  </si>
  <si>
    <t>490</t>
  </si>
  <si>
    <t>0.30</t>
  </si>
  <si>
    <t>1,010</t>
  </si>
  <si>
    <t>2,750</t>
  </si>
  <si>
    <t>1,950</t>
  </si>
  <si>
    <t>1,380</t>
  </si>
  <si>
    <t>3.40</t>
  </si>
  <si>
    <t>3,430</t>
  </si>
  <si>
    <t>1.60</t>
  </si>
  <si>
    <t>2,790</t>
  </si>
  <si>
    <t>3,710</t>
  </si>
  <si>
    <t>1.20</t>
  </si>
  <si>
    <t>1,030</t>
  </si>
  <si>
    <t>250</t>
  </si>
  <si>
    <t>2,240</t>
  </si>
  <si>
    <t>2,620</t>
  </si>
  <si>
    <t>11.10</t>
  </si>
  <si>
    <t>2,320</t>
  </si>
  <si>
    <t>8.50</t>
  </si>
  <si>
    <t>2,110</t>
  </si>
  <si>
    <t>2.10</t>
  </si>
  <si>
    <t>680</t>
  </si>
  <si>
    <t>4.10</t>
  </si>
  <si>
    <t>1,350</t>
  </si>
  <si>
    <t>3.50</t>
  </si>
  <si>
    <t>70</t>
  </si>
  <si>
    <t>270</t>
  </si>
  <si>
    <t>1,150</t>
  </si>
  <si>
    <t>1,000</t>
  </si>
  <si>
    <t>310</t>
  </si>
  <si>
    <t>60</t>
  </si>
  <si>
    <t>470</t>
  </si>
  <si>
    <t>290</t>
  </si>
  <si>
    <t>260</t>
  </si>
  <si>
    <t>17.50</t>
  </si>
  <si>
    <t>2,190</t>
  </si>
  <si>
    <t>14.10</t>
  </si>
  <si>
    <t>2,050</t>
  </si>
  <si>
    <t>590</t>
  </si>
  <si>
    <t>240</t>
  </si>
  <si>
    <t>5.70</t>
  </si>
  <si>
    <t>560</t>
  </si>
  <si>
    <t>0.80</t>
  </si>
  <si>
    <t>230</t>
  </si>
  <si>
    <t>150</t>
  </si>
  <si>
    <t>220</t>
  </si>
  <si>
    <t>100</t>
  </si>
  <si>
    <t>160</t>
  </si>
  <si>
    <t>80</t>
  </si>
  <si>
    <t>[0.00~]</t>
  </si>
  <si>
    <t>[1]</t>
  </si>
  <si>
    <t>50</t>
  </si>
  <si>
    <t>40</t>
  </si>
  <si>
    <t>620</t>
  </si>
  <si>
    <t>120</t>
  </si>
  <si>
    <t>Housing(net)¹, fuel &amp; power</t>
  </si>
  <si>
    <t>113.30</t>
  </si>
  <si>
    <t>4,200</t>
  </si>
  <si>
    <t>60.50</t>
  </si>
  <si>
    <t>less housing benefit, rebates and allowances received</t>
  </si>
  <si>
    <t>9.80</t>
  </si>
  <si>
    <t>Net rent²</t>
  </si>
  <si>
    <t>50.70</t>
  </si>
  <si>
    <t>1,080</t>
  </si>
  <si>
    <t>11.00</t>
  </si>
  <si>
    <t>1,560</t>
  </si>
  <si>
    <t>820</t>
  </si>
  <si>
    <t>6.90</t>
  </si>
  <si>
    <t>730</t>
  </si>
  <si>
    <t>280</t>
  </si>
  <si>
    <t>3,830</t>
  </si>
  <si>
    <t>2.40</t>
  </si>
  <si>
    <t>520</t>
  </si>
  <si>
    <t>30</t>
  </si>
  <si>
    <t>40.50</t>
  </si>
  <si>
    <t>4,170</t>
  </si>
  <si>
    <t>21.50</t>
  </si>
  <si>
    <t>4,160</t>
  </si>
  <si>
    <t>17.00</t>
  </si>
  <si>
    <t>380</t>
  </si>
  <si>
    <t>38.70</t>
  </si>
  <si>
    <t>21.30</t>
  </si>
  <si>
    <t>1,470</t>
  </si>
  <si>
    <t>17.30</t>
  </si>
  <si>
    <t>1,290</t>
  </si>
  <si>
    <t>15.70</t>
  </si>
  <si>
    <t>500</t>
  </si>
  <si>
    <t>360</t>
  </si>
  <si>
    <t>740</t>
  </si>
  <si>
    <t>1 Excluding mortgage interest payments, council tax and NI rates. Mortgage interest payments can be found in category 13.</t>
  </si>
  <si>
    <t>[0.30]</t>
  </si>
  <si>
    <t>[9]</t>
  </si>
  <si>
    <t>[0.20]</t>
  </si>
  <si>
    <t>[5]</t>
  </si>
  <si>
    <t>110</t>
  </si>
  <si>
    <t>420</t>
  </si>
  <si>
    <t>720</t>
  </si>
  <si>
    <t>410</t>
  </si>
  <si>
    <t>3.10</t>
  </si>
  <si>
    <t>6.70</t>
  </si>
  <si>
    <t>3,570</t>
  </si>
  <si>
    <t>2,710</t>
  </si>
  <si>
    <t>1,600</t>
  </si>
  <si>
    <t>2,960</t>
  </si>
  <si>
    <t>2,660</t>
  </si>
  <si>
    <t>460</t>
  </si>
  <si>
    <t>400</t>
  </si>
  <si>
    <t>2,330</t>
  </si>
  <si>
    <t>4.20</t>
  </si>
  <si>
    <t>2,070</t>
  </si>
  <si>
    <t>1,860</t>
  </si>
  <si>
    <t>300</t>
  </si>
  <si>
    <t>3.30</t>
  </si>
  <si>
    <t>350</t>
  </si>
  <si>
    <t>88.20</t>
  </si>
  <si>
    <t>31.20</t>
  </si>
  <si>
    <t>910</t>
  </si>
  <si>
    <t>7.30</t>
  </si>
  <si>
    <t>190</t>
  </si>
  <si>
    <t>3.60</t>
  </si>
  <si>
    <t>3.70</t>
  </si>
  <si>
    <t>23.00</t>
  </si>
  <si>
    <t>13.40</t>
  </si>
  <si>
    <t>9.60</t>
  </si>
  <si>
    <t>[0.40]</t>
  </si>
  <si>
    <t>[10]</t>
  </si>
  <si>
    <t>10</t>
  </si>
  <si>
    <t>[0.10]</t>
  </si>
  <si>
    <t>[3]</t>
  </si>
  <si>
    <t>33.50</t>
  </si>
  <si>
    <t>3,200</t>
  </si>
  <si>
    <t>2.70</t>
  </si>
  <si>
    <t>180</t>
  </si>
  <si>
    <t>19.80</t>
  </si>
  <si>
    <t>2,430</t>
  </si>
  <si>
    <t>12.10</t>
  </si>
  <si>
    <t>1,710</t>
  </si>
  <si>
    <t>7.70</t>
  </si>
  <si>
    <t>980</t>
  </si>
  <si>
    <t>8.20</t>
  </si>
  <si>
    <t>2,370</t>
  </si>
  <si>
    <t>8.10</t>
  </si>
  <si>
    <t>1,300</t>
  </si>
  <si>
    <t>750</t>
  </si>
  <si>
    <t>23.40</t>
  </si>
  <si>
    <t>1,870</t>
  </si>
  <si>
    <t>18.50</t>
  </si>
  <si>
    <t>10.00</t>
  </si>
  <si>
    <t>440</t>
  </si>
  <si>
    <t>6.10</t>
  </si>
  <si>
    <t>Communication³</t>
  </si>
  <si>
    <t>22.20</t>
  </si>
  <si>
    <t>4,130</t>
  </si>
  <si>
    <t>140</t>
  </si>
  <si>
    <t>9.20</t>
  </si>
  <si>
    <t>3,380</t>
  </si>
  <si>
    <t>Telephone account (excluding combined payments)⁴</t>
  </si>
  <si>
    <t>Mobile phone account (excluding combined payments)⁵</t>
  </si>
  <si>
    <t>8.80</t>
  </si>
  <si>
    <t>3,260</t>
  </si>
  <si>
    <t>Internet subscription fees (ex. combined packages)⁶</t>
  </si>
  <si>
    <t>Combined telecom services⁷</t>
  </si>
  <si>
    <t>9.30</t>
  </si>
  <si>
    <t>2,850</t>
  </si>
  <si>
    <t>72.80</t>
  </si>
  <si>
    <t>4,120</t>
  </si>
  <si>
    <t>320</t>
  </si>
  <si>
    <t>[2]</t>
  </si>
  <si>
    <t>[1.30]</t>
  </si>
  <si>
    <t>[37]</t>
  </si>
  <si>
    <t>15.00</t>
  </si>
  <si>
    <t>2,810</t>
  </si>
  <si>
    <t>990</t>
  </si>
  <si>
    <t>1,330</t>
  </si>
  <si>
    <t>[0]</t>
  </si>
  <si>
    <t>1,280</t>
  </si>
  <si>
    <t xml:space="preserve">7 For FYE 2019 onwards, this encompasses all telecoms bills that include more than one service. Due to the nature of combined packages, this also includes </t>
  </si>
  <si>
    <t>17.90</t>
  </si>
  <si>
    <t>3,990</t>
  </si>
  <si>
    <t>1,360</t>
  </si>
  <si>
    <t>90</t>
  </si>
  <si>
    <t>700</t>
  </si>
  <si>
    <t>430</t>
  </si>
  <si>
    <t>170</t>
  </si>
  <si>
    <t>3,890</t>
  </si>
  <si>
    <t>3,650</t>
  </si>
  <si>
    <t>Satellite subscriptions (excluding combined packages)⁸</t>
  </si>
  <si>
    <t>450</t>
  </si>
  <si>
    <t>Rent for TV/Satellite/VCR (excluding combined packages)⁹</t>
  </si>
  <si>
    <t>Cable subscriptions (excluding combined packages)¹⁰</t>
  </si>
  <si>
    <t>1,660</t>
  </si>
  <si>
    <t>690</t>
  </si>
  <si>
    <t>130</t>
  </si>
  <si>
    <t>3.90</t>
  </si>
  <si>
    <t>2,550</t>
  </si>
  <si>
    <t>850</t>
  </si>
  <si>
    <t>1,420</t>
  </si>
  <si>
    <t>650</t>
  </si>
  <si>
    <t>Package holidays¹¹</t>
  </si>
  <si>
    <t>29.40</t>
  </si>
  <si>
    <t>27.50</t>
  </si>
  <si>
    <t>5.10</t>
  </si>
  <si>
    <t>4.80</t>
  </si>
  <si>
    <t>44.40</t>
  </si>
  <si>
    <t>3,080</t>
  </si>
  <si>
    <t>5.90</t>
  </si>
  <si>
    <t>1,250</t>
  </si>
  <si>
    <t>4.50</t>
  </si>
  <si>
    <t>1,140</t>
  </si>
  <si>
    <t>3.80</t>
  </si>
  <si>
    <t>1,670</t>
  </si>
  <si>
    <t>1,500</t>
  </si>
  <si>
    <t>940</t>
  </si>
  <si>
    <t>[12]</t>
  </si>
  <si>
    <t>13.20</t>
  </si>
  <si>
    <t>7.10</t>
  </si>
  <si>
    <t>6.00</t>
  </si>
  <si>
    <t>[6]</t>
  </si>
  <si>
    <t>45.60</t>
  </si>
  <si>
    <t>4,110</t>
  </si>
  <si>
    <t>12.20</t>
  </si>
  <si>
    <t>3,510</t>
  </si>
  <si>
    <t>1,510</t>
  </si>
  <si>
    <t>2,760</t>
  </si>
  <si>
    <t>1,190</t>
  </si>
  <si>
    <t>770</t>
  </si>
  <si>
    <t>2,060</t>
  </si>
  <si>
    <t>1,050</t>
  </si>
  <si>
    <t>1,550</t>
  </si>
  <si>
    <t>3.20</t>
  </si>
  <si>
    <t>[7]</t>
  </si>
  <si>
    <t>[0.70]</t>
  </si>
  <si>
    <t>[20]</t>
  </si>
  <si>
    <t>21.70</t>
  </si>
  <si>
    <t>3,810</t>
  </si>
  <si>
    <t>5.60</t>
  </si>
  <si>
    <t>3,320</t>
  </si>
  <si>
    <t>2,800</t>
  </si>
  <si>
    <t>3,140</t>
  </si>
  <si>
    <t>Insurance for household appliances¹²</t>
  </si>
  <si>
    <t>Medical insurance premiums¹³</t>
  </si>
  <si>
    <t>12.60</t>
  </si>
  <si>
    <t>3,300</t>
  </si>
  <si>
    <t>Non-package holiday, other travel insurance¹⁴</t>
  </si>
  <si>
    <t>890</t>
  </si>
  <si>
    <t>5.80</t>
  </si>
  <si>
    <t>950</t>
  </si>
  <si>
    <t>[0.80]</t>
  </si>
  <si>
    <t>[22]</t>
  </si>
  <si>
    <t>[8]</t>
  </si>
  <si>
    <t>537.00</t>
  </si>
  <si>
    <t>86.30</t>
  </si>
  <si>
    <t>4,060</t>
  </si>
  <si>
    <t>60.20</t>
  </si>
  <si>
    <t>26.60</t>
  </si>
  <si>
    <t>1,260</t>
  </si>
  <si>
    <t>30.30</t>
  </si>
  <si>
    <t>3,870</t>
  </si>
  <si>
    <t>4.40</t>
  </si>
  <si>
    <t>3,100</t>
  </si>
  <si>
    <t>3,090</t>
  </si>
  <si>
    <t xml:space="preserve">12 For FYE 2019 onwards, information about insurance for household appliances was collected in the questionnaire in addition to the diary. In previous years, </t>
  </si>
  <si>
    <t xml:space="preserve">13 For FYE 2019 onwards, critical illness cover, personal accident insurance and other medical insurance are included here. In previous years, these were </t>
  </si>
  <si>
    <t xml:space="preserve">14 For FYE 2019 onwards, information about insurance for non-package holiday and other travel insurance was collected in the questionnaire in addition to the </t>
  </si>
  <si>
    <t>14.00</t>
  </si>
  <si>
    <t>12.70</t>
  </si>
  <si>
    <t>1,650</t>
  </si>
  <si>
    <t>1,170</t>
  </si>
  <si>
    <t>623.30</t>
  </si>
  <si>
    <t>42.00</t>
  </si>
  <si>
    <t>2,560</t>
  </si>
  <si>
    <t>1,270</t>
  </si>
  <si>
    <t>2,040</t>
  </si>
  <si>
    <t>5.30</t>
  </si>
  <si>
    <t>134.90</t>
  </si>
  <si>
    <t>3,160</t>
  </si>
  <si>
    <t>110.10</t>
  </si>
  <si>
    <t>2,270</t>
  </si>
  <si>
    <t>960</t>
  </si>
  <si>
    <t>42.10</t>
  </si>
  <si>
    <t>41.70</t>
  </si>
  <si>
    <t>2,230</t>
  </si>
  <si>
    <t>71.90</t>
  </si>
  <si>
    <t>1,730</t>
  </si>
  <si>
    <t>34.50</t>
  </si>
  <si>
    <t>28.60</t>
  </si>
  <si>
    <t>630</t>
  </si>
  <si>
    <t>Windfall receipts from gambling etc.¹⁵</t>
  </si>
  <si>
    <t>UK, financial year ending 2023</t>
  </si>
  <si>
    <t>[0.00]</t>
  </si>
  <si>
    <r>
      <t>Communication</t>
    </r>
    <r>
      <rPr>
        <b/>
        <vertAlign val="superscript"/>
        <sz val="8"/>
        <rFont val="Arial"/>
        <family val="2"/>
      </rPr>
      <t>3</t>
    </r>
  </si>
  <si>
    <t>[0.50]</t>
  </si>
  <si>
    <t>[15]</t>
  </si>
  <si>
    <t xml:space="preserve">7  For FYE 2019 onwards. This encompasses all telecoms bills that include more than one service. Due to the nature of combined packages, this also includes </t>
  </si>
  <si>
    <t>[0.60]</t>
  </si>
  <si>
    <t>[19]</t>
  </si>
  <si>
    <t>UK, financial year ending 2022</t>
  </si>
  <si>
    <t>UK, financial year ending 2021</t>
  </si>
  <si>
    <t>Housing(net)1, fuel &amp; power</t>
  </si>
  <si>
    <t>Net rent2</t>
  </si>
  <si>
    <t>Package holidays11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</si>
</sst>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[$£-809]* #,##0.00_-;\-[$£-809]* #,##0.00_-;_-[$£-809]* &quot;-&quot;??_-;_-@_-"/>
    <numFmt numFmtId="165" formatCode="General_)"/>
    <numFmt numFmtId="166" formatCode="0.0&quot;0&quot;"/>
    <numFmt numFmtId="167" formatCode="#,#00,"/>
    <numFmt numFmtId="168" formatCode="&quot;£&quot;#,##0;\-&quot;£&quot;#,##0"/>
    <numFmt numFmtId="169" formatCode="0.0"/>
    <numFmt numFmtId="170" formatCode="0.0&quot;0~&quot;"/>
    <numFmt numFmtId="171" formatCode="&quot;0&quot;\~"/>
    <numFmt numFmtId="172" formatCode="0,"/>
    <numFmt numFmtId="173" formatCode="#,#00"/>
    <numFmt numFmtId="174" formatCode="0.000000"/>
    <numFmt numFmtId="175" formatCode="&quot;[&quot;0.0&quot;0~]&quot;"/>
    <numFmt numFmtId="176" formatCode="&quot;[&quot;0&quot;]&quot;"/>
    <numFmt numFmtId="177" formatCode="&quot;[&quot;0.0&quot;0&quot;&quot;]&quot;"/>
    <numFmt numFmtId="178" formatCode="&quot;[&quot;0&quot;~]&quot;"/>
    <numFmt numFmtId="179" formatCode="0.0000"/>
    <numFmt numFmtId="180" formatCode="#,"/>
    <numFmt numFmtId="181" formatCode="_-* #,##0.00_-;\-* #,##0.00_-;_-* &quot;-&quot;??_-;_-@_-"/>
    <numFmt numFmtId="182" formatCode="#,##0.0"/>
    <numFmt numFmtId="183" formatCode="_-* #,##0_-;\-* #,##0_-;_-* &quot;-&quot;??_-;_-@_-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rgb="FF000000"/>
      <name val="Bookman Old Style"/>
      <family val="1"/>
    </font>
    <font>
      <sz val="11"/>
      <color theme="1"/>
      <name val="Bookman Old Style"/>
      <family val="1"/>
    </font>
    <font>
      <b/>
      <sz val="12"/>
      <color rgb="FF000000"/>
      <name val="Bookman Old Style"/>
      <family val="1"/>
    </font>
    <font>
      <b/>
      <sz val="11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sz val="10"/>
      <name val="Courier"/>
    </font>
    <font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sz val="10"/>
      <color rgb="FF00206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10"/>
      <color indexed="1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i/>
      <sz val="7"/>
      <name val="Arial"/>
      <family val="2"/>
    </font>
    <font>
      <sz val="9"/>
      <name val="Arial"/>
      <family val="2"/>
    </font>
    <font>
      <sz val="10"/>
      <name val="Courier"/>
      <family val="3"/>
    </font>
    <font>
      <b/>
      <sz val="28"/>
      <color indexed="18"/>
      <name val="Arial"/>
      <family val="2"/>
    </font>
    <font>
      <b/>
      <sz val="14"/>
      <color indexed="18"/>
      <name val="Arial"/>
      <family val="2"/>
    </font>
    <font>
      <u/>
      <sz val="10"/>
      <color theme="10"/>
      <name val="Courier"/>
      <family val="3"/>
    </font>
    <font>
      <b/>
      <sz val="10"/>
      <name val="Courier"/>
      <family val="3"/>
    </font>
    <font>
      <b/>
      <i/>
      <sz val="14"/>
      <color indexed="18"/>
      <name val="Arial"/>
      <family val="2"/>
    </font>
    <font>
      <sz val="6"/>
      <name val="Arial"/>
      <family val="2"/>
    </font>
    <font>
      <sz val="7"/>
      <name val="Courier"/>
      <family val="3"/>
    </font>
    <font>
      <sz val="8"/>
      <color indexed="18"/>
      <name val="Arial"/>
      <family val="2"/>
    </font>
    <font>
      <sz val="10"/>
      <color indexed="18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i/>
      <sz val="8"/>
      <color indexed="18"/>
      <name val="Arial"/>
      <family val="2"/>
    </font>
    <font>
      <sz val="10"/>
      <color indexed="18"/>
      <name val="Courier"/>
      <family val="3"/>
    </font>
    <font>
      <b/>
      <i/>
      <sz val="8"/>
      <name val="Arial"/>
      <family val="2"/>
    </font>
    <font>
      <b/>
      <sz val="28"/>
      <color indexed="18"/>
      <name val="Arial Narrow"/>
      <family val="2"/>
    </font>
    <font>
      <b/>
      <sz val="8"/>
      <color indexed="18"/>
      <name val="Arial"/>
      <family val="2"/>
    </font>
    <font>
      <b/>
      <sz val="10"/>
      <color indexed="18"/>
      <name val="Arial Narrow"/>
      <family val="2"/>
    </font>
    <font>
      <sz val="6"/>
      <name val="Courier"/>
      <family val="3"/>
    </font>
    <font>
      <sz val="7"/>
      <color indexed="18"/>
      <name val="Courier"/>
      <family val="3"/>
    </font>
    <font>
      <sz val="7"/>
      <color indexed="10"/>
      <name val="Courier"/>
      <family val="3"/>
    </font>
    <font>
      <sz val="9"/>
      <name val="Courier"/>
      <family val="3"/>
    </font>
    <font>
      <sz val="8"/>
      <name val="Courier"/>
      <family val="3"/>
    </font>
    <font>
      <b/>
      <i/>
      <sz val="8"/>
      <color indexed="18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8"/>
      <color indexed="10"/>
      <name val="Courier"/>
      <family val="3"/>
    </font>
    <font>
      <sz val="9"/>
      <color indexed="10"/>
      <name val="Courier"/>
      <family val="3"/>
    </font>
    <font>
      <sz val="9"/>
      <color indexed="10"/>
      <name val="Arial"/>
      <family val="2"/>
    </font>
    <font>
      <b/>
      <i/>
      <sz val="14"/>
      <name val="Arial"/>
      <family val="2"/>
    </font>
    <font>
      <sz val="8"/>
      <color indexed="18"/>
      <name val="Courier"/>
      <family val="3"/>
    </font>
    <font>
      <u/>
      <sz val="10"/>
      <color rgb="FF002060"/>
      <name val="Arial"/>
      <family val="2"/>
    </font>
    <font>
      <b/>
      <i/>
      <sz val="12"/>
      <color indexed="18"/>
      <name val="Arial"/>
      <family val="2"/>
    </font>
    <font>
      <b/>
      <sz val="9"/>
      <color rgb="FF002060"/>
      <name val="Arial"/>
      <family val="2"/>
    </font>
    <font>
      <i/>
      <sz val="10"/>
      <name val="Courier"/>
      <family val="3"/>
    </font>
    <font>
      <b/>
      <sz val="10"/>
      <name val="Couri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5" fontId="8" fillId="0" borderId="0"/>
    <xf numFmtId="165" fontId="25" fillId="0" borderId="0"/>
    <xf numFmtId="40" fontId="25" fillId="0" borderId="0" applyFont="0" applyFill="0" applyBorder="0" applyAlignment="0" applyProtection="0"/>
    <xf numFmtId="181" fontId="25" fillId="0" borderId="0"/>
    <xf numFmtId="165" fontId="28" fillId="0" borderId="0"/>
    <xf numFmtId="165" fontId="28" fillId="0" borderId="0" applyNumberFormat="0" applyFill="0" applyBorder="0" applyAlignment="0" applyProtection="0"/>
  </cellStyleXfs>
  <cellXfs count="666">
    <xf numFmtId="0" fontId="0" fillId="0" borderId="0" xfId="0"/>
    <xf numFmtId="0" fontId="0" fillId="0" borderId="0" xfId="1" applyNumberFormat="1" applyFont="1"/>
    <xf numFmtId="0" fontId="2" fillId="0" borderId="0" xfId="0" applyFont="1"/>
    <xf numFmtId="0" fontId="2" fillId="0" borderId="3" xfId="1" applyNumberFormat="1" applyFont="1" applyBorder="1"/>
    <xf numFmtId="0" fontId="2" fillId="0" borderId="1" xfId="1" applyNumberFormat="1" applyFont="1" applyBorder="1"/>
    <xf numFmtId="0" fontId="4" fillId="0" borderId="0" xfId="0" applyFont="1"/>
    <xf numFmtId="0" fontId="2" fillId="0" borderId="1" xfId="0" applyFont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5" fillId="2" borderId="1" xfId="0" applyFont="1" applyFill="1" applyBorder="1"/>
    <xf numFmtId="0" fontId="3" fillId="2" borderId="11" xfId="0" applyFont="1" applyFill="1" applyBorder="1"/>
    <xf numFmtId="0" fontId="2" fillId="0" borderId="12" xfId="1" applyNumberFormat="1" applyFont="1" applyBorder="1"/>
    <xf numFmtId="164" fontId="4" fillId="0" borderId="12" xfId="1" applyNumberFormat="1" applyFont="1" applyBorder="1"/>
    <xf numFmtId="164" fontId="4" fillId="0" borderId="12" xfId="0" applyNumberFormat="1" applyFont="1" applyBorder="1"/>
    <xf numFmtId="164" fontId="4" fillId="0" borderId="4" xfId="0" applyNumberFormat="1" applyFont="1" applyBorder="1"/>
    <xf numFmtId="164" fontId="4" fillId="0" borderId="6" xfId="0" applyNumberFormat="1" applyFont="1" applyBorder="1"/>
    <xf numFmtId="164" fontId="4" fillId="0" borderId="11" xfId="1" applyNumberFormat="1" applyFont="1" applyBorder="1"/>
    <xf numFmtId="164" fontId="4" fillId="0" borderId="11" xfId="0" applyNumberFormat="1" applyFont="1" applyBorder="1"/>
    <xf numFmtId="164" fontId="4" fillId="0" borderId="5" xfId="0" applyNumberFormat="1" applyFont="1" applyBorder="1"/>
    <xf numFmtId="164" fontId="4" fillId="0" borderId="13" xfId="1" applyNumberFormat="1" applyFont="1" applyBorder="1"/>
    <xf numFmtId="164" fontId="4" fillId="0" borderId="13" xfId="0" applyNumberFormat="1" applyFont="1" applyBorder="1"/>
    <xf numFmtId="164" fontId="4" fillId="0" borderId="14" xfId="0" applyNumberFormat="1" applyFont="1" applyBorder="1"/>
    <xf numFmtId="164" fontId="6" fillId="0" borderId="1" xfId="1" applyNumberFormat="1" applyFont="1" applyBorder="1"/>
    <xf numFmtId="0" fontId="6" fillId="0" borderId="0" xfId="0" applyFont="1"/>
    <xf numFmtId="0" fontId="14" fillId="4" borderId="0" xfId="2" applyFont="1" applyFill="1" applyAlignment="1">
      <alignment horizontal="right" vertical="center"/>
    </xf>
    <xf numFmtId="0" fontId="2" fillId="3" borderId="2" xfId="1" applyNumberFormat="1" applyFont="1" applyFill="1" applyBorder="1" applyAlignment="1">
      <alignment horizontal="center"/>
    </xf>
    <xf numFmtId="0" fontId="2" fillId="3" borderId="3" xfId="1" applyNumberFormat="1" applyFont="1" applyFill="1" applyBorder="1" applyAlignment="1">
      <alignment horizontal="center"/>
    </xf>
    <xf numFmtId="0" fontId="2" fillId="3" borderId="7" xfId="1" applyNumberFormat="1" applyFont="1" applyFill="1" applyBorder="1" applyAlignment="1">
      <alignment horizontal="center"/>
    </xf>
    <xf numFmtId="0" fontId="10" fillId="4" borderId="0" xfId="0" applyFont="1" applyFill="1"/>
    <xf numFmtId="165" fontId="26" fillId="4" borderId="0" xfId="4" applyFont="1" applyFill="1" applyAlignment="1">
      <alignment vertical="center"/>
    </xf>
    <xf numFmtId="165" fontId="15" fillId="4" borderId="0" xfId="4" applyFont="1" applyFill="1" applyAlignment="1">
      <alignment vertical="center"/>
    </xf>
    <xf numFmtId="2" fontId="27" fillId="4" borderId="0" xfId="4" applyNumberFormat="1" applyFont="1" applyFill="1" applyAlignment="1">
      <alignment horizontal="left" vertical="center"/>
    </xf>
    <xf numFmtId="2" fontId="10" fillId="4" borderId="0" xfId="4" applyNumberFormat="1" applyFont="1" applyFill="1" applyAlignment="1">
      <alignment vertical="center"/>
    </xf>
    <xf numFmtId="166" fontId="27" fillId="4" borderId="0" xfId="4" applyNumberFormat="1" applyFont="1" applyFill="1" applyAlignment="1">
      <alignment horizontal="left" vertical="center"/>
    </xf>
    <xf numFmtId="3" fontId="27" fillId="4" borderId="0" xfId="4" applyNumberFormat="1" applyFont="1" applyFill="1" applyAlignment="1">
      <alignment horizontal="left" vertical="center"/>
    </xf>
    <xf numFmtId="173" fontId="27" fillId="4" borderId="0" xfId="4" applyNumberFormat="1" applyFont="1" applyFill="1" applyAlignment="1">
      <alignment horizontal="left" vertical="center"/>
    </xf>
    <xf numFmtId="1" fontId="29" fillId="4" borderId="0" xfId="4" applyNumberFormat="1" applyFont="1" applyFill="1"/>
    <xf numFmtId="165" fontId="29" fillId="4" borderId="0" xfId="4" applyFont="1" applyFill="1"/>
    <xf numFmtId="0" fontId="10" fillId="4" borderId="0" xfId="0" applyFont="1" applyFill="1" applyAlignment="1">
      <alignment horizontal="left"/>
    </xf>
    <xf numFmtId="2" fontId="30" fillId="4" borderId="0" xfId="4" applyNumberFormat="1" applyFont="1" applyFill="1" applyAlignment="1">
      <alignment horizontal="left" vertical="center"/>
    </xf>
    <xf numFmtId="0" fontId="18" fillId="4" borderId="0" xfId="0" applyFont="1" applyFill="1" applyAlignment="1">
      <alignment horizontal="left"/>
    </xf>
    <xf numFmtId="165" fontId="18" fillId="4" borderId="0" xfId="4" applyFont="1" applyFill="1" applyAlignment="1">
      <alignment vertical="center"/>
    </xf>
    <xf numFmtId="165" fontId="19" fillId="4" borderId="0" xfId="4" applyFont="1" applyFill="1" applyAlignment="1">
      <alignment vertical="center"/>
    </xf>
    <xf numFmtId="2" fontId="18" fillId="4" borderId="0" xfId="4" applyNumberFormat="1" applyFont="1" applyFill="1" applyAlignment="1">
      <alignment horizontal="left" vertical="center"/>
    </xf>
    <xf numFmtId="165" fontId="12" fillId="4" borderId="15" xfId="4" applyFont="1" applyFill="1" applyBorder="1" applyAlignment="1">
      <alignment horizontal="left" vertical="center"/>
    </xf>
    <xf numFmtId="165" fontId="9" fillId="4" borderId="15" xfId="4" applyFont="1" applyFill="1" applyBorder="1" applyAlignment="1">
      <alignment horizontal="left" vertical="center"/>
    </xf>
    <xf numFmtId="165" fontId="12" fillId="4" borderId="15" xfId="4" applyFont="1" applyFill="1" applyBorder="1" applyAlignment="1">
      <alignment vertical="center"/>
    </xf>
    <xf numFmtId="2" fontId="12" fillId="4" borderId="15" xfId="4" applyNumberFormat="1" applyFont="1" applyFill="1" applyBorder="1" applyAlignment="1">
      <alignment vertical="center"/>
    </xf>
    <xf numFmtId="166" fontId="12" fillId="4" borderId="15" xfId="4" applyNumberFormat="1" applyFont="1" applyFill="1" applyBorder="1" applyAlignment="1">
      <alignment vertical="center"/>
    </xf>
    <xf numFmtId="3" fontId="12" fillId="4" borderId="15" xfId="4" applyNumberFormat="1" applyFont="1" applyFill="1" applyBorder="1" applyAlignment="1">
      <alignment vertical="center"/>
    </xf>
    <xf numFmtId="173" fontId="12" fillId="4" borderId="15" xfId="4" applyNumberFormat="1" applyFont="1" applyFill="1" applyBorder="1" applyAlignment="1">
      <alignment vertical="center"/>
    </xf>
    <xf numFmtId="2" fontId="23" fillId="4" borderId="15" xfId="4" applyNumberFormat="1" applyFont="1" applyFill="1" applyBorder="1" applyAlignment="1">
      <alignment vertical="center"/>
    </xf>
    <xf numFmtId="1" fontId="25" fillId="4" borderId="0" xfId="4" applyNumberFormat="1" applyFill="1"/>
    <xf numFmtId="174" fontId="25" fillId="4" borderId="0" xfId="4" applyNumberFormat="1" applyFill="1" applyAlignment="1">
      <alignment horizontal="right"/>
    </xf>
    <xf numFmtId="165" fontId="12" fillId="4" borderId="0" xfId="4" applyFont="1" applyFill="1" applyAlignment="1">
      <alignment vertical="center"/>
    </xf>
    <xf numFmtId="165" fontId="12" fillId="4" borderId="0" xfId="4" applyFont="1" applyFill="1" applyAlignment="1">
      <alignment horizontal="left" vertical="center"/>
    </xf>
    <xf numFmtId="168" fontId="12" fillId="4" borderId="0" xfId="4" applyNumberFormat="1" applyFont="1" applyFill="1" applyAlignment="1">
      <alignment horizontal="right" vertical="center"/>
    </xf>
    <xf numFmtId="2" fontId="12" fillId="4" borderId="0" xfId="4" applyNumberFormat="1" applyFont="1" applyFill="1" applyAlignment="1">
      <alignment horizontal="right" vertical="center"/>
    </xf>
    <xf numFmtId="2" fontId="31" fillId="4" borderId="0" xfId="4" applyNumberFormat="1" applyFont="1" applyFill="1" applyAlignment="1">
      <alignment vertical="center"/>
    </xf>
    <xf numFmtId="166" fontId="17" fillId="4" borderId="0" xfId="4" applyNumberFormat="1" applyFont="1" applyFill="1" applyAlignment="1">
      <alignment horizontal="right" vertical="center"/>
    </xf>
    <xf numFmtId="3" fontId="17" fillId="4" borderId="0" xfId="4" applyNumberFormat="1" applyFont="1" applyFill="1" applyAlignment="1">
      <alignment horizontal="right" vertical="center"/>
    </xf>
    <xf numFmtId="173" fontId="17" fillId="4" borderId="0" xfId="4" applyNumberFormat="1" applyFont="1" applyFill="1" applyAlignment="1">
      <alignment horizontal="right" vertical="center"/>
    </xf>
    <xf numFmtId="169" fontId="17" fillId="4" borderId="0" xfId="4" applyNumberFormat="1" applyFont="1" applyFill="1" applyAlignment="1">
      <alignment horizontal="right" vertical="center"/>
    </xf>
    <xf numFmtId="1" fontId="32" fillId="4" borderId="0" xfId="4" applyNumberFormat="1" applyFont="1" applyFill="1"/>
    <xf numFmtId="174" fontId="32" fillId="4" borderId="0" xfId="4" applyNumberFormat="1" applyFont="1" applyFill="1" applyAlignment="1">
      <alignment horizontal="right"/>
    </xf>
    <xf numFmtId="165" fontId="12" fillId="4" borderId="0" xfId="4" applyFont="1" applyFill="1" applyAlignment="1">
      <alignment horizontal="right" vertical="center"/>
    </xf>
    <xf numFmtId="166" fontId="17" fillId="4" borderId="0" xfId="4" quotePrefix="1" applyNumberFormat="1" applyFont="1" applyFill="1" applyAlignment="1">
      <alignment horizontal="right" vertical="center"/>
    </xf>
    <xf numFmtId="173" fontId="12" fillId="4" borderId="0" xfId="4" applyNumberFormat="1" applyFont="1" applyFill="1" applyAlignment="1">
      <alignment horizontal="right" vertical="center"/>
    </xf>
    <xf numFmtId="165" fontId="17" fillId="4" borderId="0" xfId="4" applyFont="1" applyFill="1" applyAlignment="1">
      <alignment horizontal="right" vertical="center"/>
    </xf>
    <xf numFmtId="1" fontId="17" fillId="4" borderId="0" xfId="4" applyNumberFormat="1" applyFont="1" applyFill="1" applyAlignment="1">
      <alignment horizontal="right" vertical="center"/>
    </xf>
    <xf numFmtId="165" fontId="11" fillId="4" borderId="15" xfId="4" applyFont="1" applyFill="1" applyBorder="1" applyAlignment="1">
      <alignment horizontal="left" vertical="center"/>
    </xf>
    <xf numFmtId="165" fontId="11" fillId="4" borderId="15" xfId="4" applyFont="1" applyFill="1" applyBorder="1" applyAlignment="1">
      <alignment vertical="center"/>
    </xf>
    <xf numFmtId="2" fontId="11" fillId="4" borderId="15" xfId="4" applyNumberFormat="1" applyFont="1" applyFill="1" applyBorder="1" applyAlignment="1">
      <alignment vertical="center"/>
    </xf>
    <xf numFmtId="166" fontId="11" fillId="4" borderId="15" xfId="4" applyNumberFormat="1" applyFont="1" applyFill="1" applyBorder="1" applyAlignment="1">
      <alignment horizontal="right" vertical="center"/>
    </xf>
    <xf numFmtId="3" fontId="11" fillId="4" borderId="15" xfId="4" applyNumberFormat="1" applyFont="1" applyFill="1" applyBorder="1" applyAlignment="1">
      <alignment horizontal="right" vertical="center"/>
    </xf>
    <xf numFmtId="173" fontId="11" fillId="4" borderId="15" xfId="4" applyNumberFormat="1" applyFont="1" applyFill="1" applyBorder="1" applyAlignment="1">
      <alignment horizontal="right" vertical="center"/>
    </xf>
    <xf numFmtId="2" fontId="13" fillId="4" borderId="15" xfId="4" applyNumberFormat="1" applyFont="1" applyFill="1" applyBorder="1" applyAlignment="1">
      <alignment vertical="center"/>
    </xf>
    <xf numFmtId="165" fontId="24" fillId="4" borderId="0" xfId="4" applyFont="1" applyFill="1"/>
    <xf numFmtId="165" fontId="11" fillId="4" borderId="0" xfId="4" applyFont="1" applyFill="1" applyAlignment="1">
      <alignment vertical="center"/>
    </xf>
    <xf numFmtId="165" fontId="11" fillId="4" borderId="0" xfId="4" applyFont="1" applyFill="1" applyAlignment="1">
      <alignment horizontal="left" vertical="center"/>
    </xf>
    <xf numFmtId="165" fontId="9" fillId="4" borderId="0" xfId="4" applyFont="1" applyFill="1" applyAlignment="1">
      <alignment horizontal="left" vertical="center"/>
    </xf>
    <xf numFmtId="165" fontId="11" fillId="4" borderId="0" xfId="4" applyFont="1" applyFill="1" applyAlignment="1">
      <alignment horizontal="right" vertical="center"/>
    </xf>
    <xf numFmtId="2" fontId="11" fillId="4" borderId="0" xfId="4" applyNumberFormat="1" applyFont="1" applyFill="1" applyAlignment="1">
      <alignment horizontal="right" vertical="center"/>
    </xf>
    <xf numFmtId="2" fontId="12" fillId="4" borderId="0" xfId="4" applyNumberFormat="1" applyFont="1" applyFill="1" applyAlignment="1">
      <alignment vertical="center"/>
    </xf>
    <xf numFmtId="166" fontId="11" fillId="4" borderId="0" xfId="4" applyNumberFormat="1" applyFont="1" applyFill="1" applyAlignment="1">
      <alignment horizontal="right" vertical="center"/>
    </xf>
    <xf numFmtId="3" fontId="11" fillId="4" borderId="0" xfId="4" applyNumberFormat="1" applyFont="1" applyFill="1" applyAlignment="1">
      <alignment horizontal="right" vertical="center"/>
    </xf>
    <xf numFmtId="173" fontId="11" fillId="4" borderId="0" xfId="4" applyNumberFormat="1" applyFont="1" applyFill="1" applyAlignment="1">
      <alignment horizontal="right" vertical="center"/>
    </xf>
    <xf numFmtId="2" fontId="13" fillId="4" borderId="0" xfId="4" applyNumberFormat="1" applyFont="1" applyFill="1" applyAlignment="1">
      <alignment horizontal="right" vertical="center"/>
    </xf>
    <xf numFmtId="165" fontId="33" fillId="4" borderId="0" xfId="4" applyFont="1" applyFill="1"/>
    <xf numFmtId="165" fontId="34" fillId="4" borderId="0" xfId="4" applyFont="1" applyFill="1" applyAlignment="1">
      <alignment horizontal="left" vertical="center"/>
    </xf>
    <xf numFmtId="165" fontId="34" fillId="4" borderId="0" xfId="4" applyFont="1" applyFill="1"/>
    <xf numFmtId="3" fontId="33" fillId="4" borderId="0" xfId="4" applyNumberFormat="1" applyFont="1" applyFill="1" applyAlignment="1">
      <alignment horizontal="right"/>
    </xf>
    <xf numFmtId="165" fontId="33" fillId="4" borderId="0" xfId="4" applyFont="1" applyFill="1" applyAlignment="1">
      <alignment vertical="center"/>
    </xf>
    <xf numFmtId="166" fontId="33" fillId="4" borderId="0" xfId="4" applyNumberFormat="1" applyFont="1" applyFill="1" applyAlignment="1">
      <alignment horizontal="right"/>
    </xf>
    <xf numFmtId="3" fontId="35" fillId="4" borderId="0" xfId="4" applyNumberFormat="1" applyFont="1" applyFill="1" applyAlignment="1">
      <alignment horizontal="right"/>
    </xf>
    <xf numFmtId="173" fontId="36" fillId="4" borderId="0" xfId="4" applyNumberFormat="1" applyFont="1" applyFill="1"/>
    <xf numFmtId="165" fontId="37" fillId="4" borderId="0" xfId="4" applyFont="1" applyFill="1" applyAlignment="1">
      <alignment vertical="center"/>
    </xf>
    <xf numFmtId="174" fontId="38" fillId="4" borderId="0" xfId="4" applyNumberFormat="1" applyFont="1" applyFill="1" applyAlignment="1">
      <alignment horizontal="right"/>
    </xf>
    <xf numFmtId="38" fontId="33" fillId="4" borderId="0" xfId="5" applyNumberFormat="1" applyFont="1" applyFill="1" applyAlignment="1">
      <alignment vertical="center"/>
    </xf>
    <xf numFmtId="165" fontId="9" fillId="4" borderId="15" xfId="4" applyFont="1" applyFill="1" applyBorder="1"/>
    <xf numFmtId="166" fontId="11" fillId="4" borderId="15" xfId="4" applyNumberFormat="1" applyFont="1" applyFill="1" applyBorder="1" applyAlignment="1">
      <alignment vertical="center"/>
    </xf>
    <xf numFmtId="3" fontId="11" fillId="4" borderId="15" xfId="4" applyNumberFormat="1" applyFont="1" applyFill="1" applyBorder="1" applyAlignment="1">
      <alignment vertical="center"/>
    </xf>
    <xf numFmtId="173" fontId="11" fillId="4" borderId="15" xfId="4" applyNumberFormat="1" applyFont="1" applyFill="1" applyBorder="1" applyAlignment="1">
      <alignment vertical="center"/>
    </xf>
    <xf numFmtId="165" fontId="13" fillId="4" borderId="15" xfId="4" applyFont="1" applyFill="1" applyBorder="1" applyAlignment="1">
      <alignment vertical="center"/>
    </xf>
    <xf numFmtId="38" fontId="11" fillId="4" borderId="0" xfId="5" applyNumberFormat="1" applyFont="1" applyFill="1" applyAlignment="1">
      <alignment vertical="center"/>
    </xf>
    <xf numFmtId="165" fontId="9" fillId="4" borderId="0" xfId="4" applyFont="1" applyFill="1"/>
    <xf numFmtId="166" fontId="11" fillId="4" borderId="0" xfId="4" applyNumberFormat="1" applyFont="1" applyFill="1" applyAlignment="1">
      <alignment vertical="center"/>
    </xf>
    <xf numFmtId="3" fontId="11" fillId="4" borderId="0" xfId="4" applyNumberFormat="1" applyFont="1" applyFill="1" applyAlignment="1">
      <alignment vertical="center"/>
    </xf>
    <xf numFmtId="173" fontId="11" fillId="4" borderId="0" xfId="4" applyNumberFormat="1" applyFont="1" applyFill="1" applyAlignment="1">
      <alignment vertical="center"/>
    </xf>
    <xf numFmtId="165" fontId="13" fillId="4" borderId="0" xfId="4" applyFont="1" applyFill="1" applyAlignment="1">
      <alignment vertical="center"/>
    </xf>
    <xf numFmtId="165" fontId="33" fillId="4" borderId="0" xfId="4" applyFont="1" applyFill="1" applyAlignment="1">
      <alignment horizontal="left" vertical="center"/>
    </xf>
    <xf numFmtId="165" fontId="35" fillId="4" borderId="0" xfId="4" applyFont="1" applyFill="1" applyAlignment="1">
      <alignment horizontal="left" vertical="center"/>
    </xf>
    <xf numFmtId="165" fontId="35" fillId="4" borderId="0" xfId="4" applyFont="1" applyFill="1" applyAlignment="1">
      <alignment horizontal="centerContinuous" vertical="center"/>
    </xf>
    <xf numFmtId="165" fontId="35" fillId="4" borderId="0" xfId="4" applyFont="1" applyFill="1" applyAlignment="1">
      <alignment vertical="center"/>
    </xf>
    <xf numFmtId="166" fontId="33" fillId="4" borderId="0" xfId="4" applyNumberFormat="1" applyFont="1" applyFill="1" applyAlignment="1">
      <alignment vertical="center"/>
    </xf>
    <xf numFmtId="3" fontId="33" fillId="4" borderId="0" xfId="4" applyNumberFormat="1" applyFont="1" applyFill="1" applyAlignment="1">
      <alignment vertical="center"/>
    </xf>
    <xf numFmtId="173" fontId="33" fillId="4" borderId="0" xfId="4" applyNumberFormat="1" applyFont="1" applyFill="1" applyAlignment="1">
      <alignment vertical="center"/>
    </xf>
    <xf numFmtId="1" fontId="11" fillId="4" borderId="0" xfId="4" applyNumberFormat="1" applyFont="1" applyFill="1" applyAlignment="1">
      <alignment vertical="center"/>
    </xf>
    <xf numFmtId="165" fontId="20" fillId="4" borderId="0" xfId="4" quotePrefix="1" applyFont="1" applyFill="1" applyAlignment="1">
      <alignment horizontal="left" vertical="center"/>
    </xf>
    <xf numFmtId="2" fontId="20" fillId="4" borderId="0" xfId="4" applyNumberFormat="1" applyFont="1" applyFill="1" applyAlignment="1">
      <alignment horizontal="left" vertical="center"/>
    </xf>
    <xf numFmtId="165" fontId="20" fillId="4" borderId="0" xfId="4" applyFont="1" applyFill="1" applyAlignment="1">
      <alignment vertical="center"/>
    </xf>
    <xf numFmtId="2" fontId="20" fillId="4" borderId="0" xfId="4" applyNumberFormat="1" applyFont="1" applyFill="1"/>
    <xf numFmtId="166" fontId="21" fillId="4" borderId="0" xfId="4" applyNumberFormat="1" applyFont="1" applyFill="1"/>
    <xf numFmtId="3" fontId="21" fillId="4" borderId="0" xfId="4" applyNumberFormat="1" applyFont="1" applyFill="1"/>
    <xf numFmtId="169" fontId="39" fillId="4" borderId="0" xfId="4" applyNumberFormat="1" applyFont="1" applyFill="1" applyAlignment="1">
      <alignment horizontal="right"/>
    </xf>
    <xf numFmtId="165" fontId="25" fillId="4" borderId="0" xfId="4" applyFill="1"/>
    <xf numFmtId="2" fontId="24" fillId="4" borderId="0" xfId="4" applyNumberFormat="1" applyFont="1" applyFill="1"/>
    <xf numFmtId="165" fontId="24" fillId="4" borderId="0" xfId="4" applyFont="1" applyFill="1" applyAlignment="1">
      <alignment vertical="center"/>
    </xf>
    <xf numFmtId="2" fontId="11" fillId="4" borderId="0" xfId="4" applyNumberFormat="1" applyFont="1" applyFill="1" applyAlignment="1">
      <alignment horizontal="left" vertical="center"/>
    </xf>
    <xf numFmtId="2" fontId="11" fillId="4" borderId="0" xfId="4" applyNumberFormat="1" applyFont="1" applyFill="1"/>
    <xf numFmtId="166" fontId="11" fillId="4" borderId="0" xfId="4" applyNumberFormat="1" applyFont="1" applyFill="1"/>
    <xf numFmtId="3" fontId="11" fillId="4" borderId="0" xfId="4" applyNumberFormat="1" applyFont="1" applyFill="1"/>
    <xf numFmtId="173" fontId="11" fillId="4" borderId="0" xfId="4" applyNumberFormat="1" applyFont="1" applyFill="1"/>
    <xf numFmtId="165" fontId="13" fillId="4" borderId="0" xfId="4" applyFont="1" applyFill="1"/>
    <xf numFmtId="169" fontId="13" fillId="4" borderId="0" xfId="4" applyNumberFormat="1" applyFont="1" applyFill="1" applyAlignment="1">
      <alignment horizontal="right"/>
    </xf>
    <xf numFmtId="2" fontId="12" fillId="4" borderId="0" xfId="4" applyNumberFormat="1" applyFont="1" applyFill="1" applyAlignment="1">
      <alignment horizontal="left" vertical="center"/>
    </xf>
    <xf numFmtId="2" fontId="12" fillId="4" borderId="0" xfId="4" applyNumberFormat="1" applyFont="1" applyFill="1"/>
    <xf numFmtId="166" fontId="11" fillId="4" borderId="0" xfId="4" applyNumberFormat="1" applyFont="1" applyFill="1" applyAlignment="1">
      <alignment horizontal="right"/>
    </xf>
    <xf numFmtId="3" fontId="11" fillId="4" borderId="0" xfId="4" applyNumberFormat="1" applyFont="1" applyFill="1" applyAlignment="1">
      <alignment horizontal="right"/>
    </xf>
    <xf numFmtId="173" fontId="11" fillId="4" borderId="0" xfId="4" applyNumberFormat="1" applyFont="1" applyFill="1" applyAlignment="1">
      <alignment horizontal="right"/>
    </xf>
    <xf numFmtId="169" fontId="23" fillId="4" borderId="0" xfId="4" applyNumberFormat="1" applyFont="1" applyFill="1" applyAlignment="1">
      <alignment vertical="center"/>
    </xf>
    <xf numFmtId="165" fontId="12" fillId="4" borderId="0" xfId="4" applyFont="1" applyFill="1" applyAlignment="1">
      <alignment vertical="top"/>
    </xf>
    <xf numFmtId="165" fontId="12" fillId="4" borderId="0" xfId="4" applyFont="1" applyFill="1"/>
    <xf numFmtId="165" fontId="12" fillId="4" borderId="0" xfId="4" applyFont="1" applyFill="1" applyAlignment="1">
      <alignment horizontal="left" vertical="top"/>
    </xf>
    <xf numFmtId="170" fontId="11" fillId="4" borderId="0" xfId="4" applyNumberFormat="1" applyFont="1" applyFill="1"/>
    <xf numFmtId="169" fontId="13" fillId="4" borderId="0" xfId="4" applyNumberFormat="1" applyFont="1" applyFill="1"/>
    <xf numFmtId="2" fontId="12" fillId="4" borderId="0" xfId="4" applyNumberFormat="1" applyFont="1" applyFill="1" applyAlignment="1">
      <alignment horizontal="left" vertical="top"/>
    </xf>
    <xf numFmtId="165" fontId="12" fillId="4" borderId="0" xfId="4" applyFont="1" applyFill="1" applyAlignment="1">
      <alignment horizontal="centerContinuous" vertical="center"/>
    </xf>
    <xf numFmtId="169" fontId="12" fillId="4" borderId="0" xfId="4" applyNumberFormat="1" applyFont="1" applyFill="1" applyAlignment="1">
      <alignment vertical="center"/>
    </xf>
    <xf numFmtId="2" fontId="12" fillId="4" borderId="15" xfId="4" applyNumberFormat="1" applyFont="1" applyFill="1" applyBorder="1"/>
    <xf numFmtId="165" fontId="12" fillId="4" borderId="15" xfId="4" applyFont="1" applyFill="1" applyBorder="1" applyAlignment="1">
      <alignment vertical="top"/>
    </xf>
    <xf numFmtId="166" fontId="11" fillId="4" borderId="15" xfId="4" applyNumberFormat="1" applyFont="1" applyFill="1" applyBorder="1" applyAlignment="1">
      <alignment horizontal="right"/>
    </xf>
    <xf numFmtId="3" fontId="11" fillId="4" borderId="15" xfId="4" applyNumberFormat="1" applyFont="1" applyFill="1" applyBorder="1" applyAlignment="1">
      <alignment horizontal="right"/>
    </xf>
    <xf numFmtId="173" fontId="11" fillId="4" borderId="15" xfId="4" applyNumberFormat="1" applyFont="1" applyFill="1" applyBorder="1" applyAlignment="1">
      <alignment horizontal="right"/>
    </xf>
    <xf numFmtId="169" fontId="13" fillId="4" borderId="15" xfId="4" applyNumberFormat="1" applyFont="1" applyFill="1" applyBorder="1" applyAlignment="1">
      <alignment horizontal="right"/>
    </xf>
    <xf numFmtId="1" fontId="24" fillId="4" borderId="0" xfId="4" applyNumberFormat="1" applyFont="1" applyFill="1"/>
    <xf numFmtId="165" fontId="11" fillId="4" borderId="0" xfId="4" applyFont="1" applyFill="1"/>
    <xf numFmtId="0" fontId="11" fillId="4" borderId="0" xfId="0" applyFont="1" applyFill="1" applyAlignment="1">
      <alignment horizontal="left"/>
    </xf>
    <xf numFmtId="165" fontId="10" fillId="4" borderId="0" xfId="4" applyFont="1" applyFill="1" applyAlignment="1">
      <alignment vertical="center"/>
    </xf>
    <xf numFmtId="165" fontId="10" fillId="4" borderId="0" xfId="4" applyFont="1" applyFill="1" applyAlignment="1">
      <alignment horizontal="left"/>
    </xf>
    <xf numFmtId="165" fontId="40" fillId="4" borderId="0" xfId="4" applyFont="1" applyFill="1" applyAlignment="1">
      <alignment vertical="center"/>
    </xf>
    <xf numFmtId="2" fontId="16" fillId="4" borderId="0" xfId="4" applyNumberFormat="1" applyFont="1" applyFill="1" applyAlignment="1">
      <alignment horizontal="left" vertical="center"/>
    </xf>
    <xf numFmtId="2" fontId="15" fillId="4" borderId="0" xfId="4" applyNumberFormat="1" applyFont="1" applyFill="1" applyAlignment="1">
      <alignment vertical="center"/>
    </xf>
    <xf numFmtId="166" fontId="21" fillId="4" borderId="0" xfId="4" applyNumberFormat="1" applyFont="1" applyFill="1" applyAlignment="1">
      <alignment horizontal="left" vertical="center"/>
    </xf>
    <xf numFmtId="3" fontId="21" fillId="4" borderId="0" xfId="4" applyNumberFormat="1" applyFont="1" applyFill="1" applyAlignment="1">
      <alignment horizontal="left" vertical="center"/>
    </xf>
    <xf numFmtId="173" fontId="21" fillId="4" borderId="0" xfId="4" applyNumberFormat="1" applyFont="1" applyFill="1" applyAlignment="1">
      <alignment horizontal="left" vertical="center"/>
    </xf>
    <xf numFmtId="1" fontId="41" fillId="4" borderId="0" xfId="4" applyNumberFormat="1" applyFont="1" applyFill="1" applyAlignment="1">
      <alignment horizontal="right" vertical="center"/>
    </xf>
    <xf numFmtId="165" fontId="42" fillId="4" borderId="0" xfId="4" applyFont="1" applyFill="1" applyAlignment="1">
      <alignment vertical="center"/>
    </xf>
    <xf numFmtId="2" fontId="19" fillId="4" borderId="0" xfId="4" applyNumberFormat="1" applyFont="1" applyFill="1" applyAlignment="1">
      <alignment horizontal="left" vertical="center"/>
    </xf>
    <xf numFmtId="2" fontId="39" fillId="4" borderId="0" xfId="4" applyNumberFormat="1" applyFont="1" applyFill="1" applyAlignment="1">
      <alignment horizontal="left" vertical="center"/>
    </xf>
    <xf numFmtId="2" fontId="13" fillId="4" borderId="0" xfId="4" applyNumberFormat="1" applyFont="1" applyFill="1" applyAlignment="1">
      <alignment vertical="center"/>
    </xf>
    <xf numFmtId="165" fontId="31" fillId="4" borderId="0" xfId="4" applyFont="1" applyFill="1" applyAlignment="1">
      <alignment horizontal="left" vertical="center"/>
    </xf>
    <xf numFmtId="168" fontId="31" fillId="4" borderId="0" xfId="4" applyNumberFormat="1" applyFont="1" applyFill="1" applyAlignment="1">
      <alignment horizontal="right" vertical="center"/>
    </xf>
    <xf numFmtId="2" fontId="31" fillId="4" borderId="0" xfId="4" applyNumberFormat="1" applyFont="1" applyFill="1" applyAlignment="1">
      <alignment horizontal="right" vertical="center"/>
    </xf>
    <xf numFmtId="166" fontId="21" fillId="4" borderId="0" xfId="4" applyNumberFormat="1" applyFont="1" applyFill="1" applyAlignment="1">
      <alignment horizontal="right" vertical="center"/>
    </xf>
    <xf numFmtId="3" fontId="21" fillId="4" borderId="0" xfId="4" applyNumberFormat="1" applyFont="1" applyFill="1" applyAlignment="1">
      <alignment horizontal="right" vertical="center"/>
    </xf>
    <xf numFmtId="173" fontId="21" fillId="4" borderId="0" xfId="4" applyNumberFormat="1" applyFont="1" applyFill="1" applyAlignment="1">
      <alignment horizontal="right" vertical="center"/>
    </xf>
    <xf numFmtId="169" fontId="21" fillId="4" borderId="0" xfId="4" applyNumberFormat="1" applyFont="1" applyFill="1" applyAlignment="1">
      <alignment horizontal="right" vertical="center"/>
    </xf>
    <xf numFmtId="1" fontId="43" fillId="4" borderId="0" xfId="4" applyNumberFormat="1" applyFont="1" applyFill="1"/>
    <xf numFmtId="165" fontId="31" fillId="4" borderId="0" xfId="4" applyFont="1" applyFill="1" applyAlignment="1">
      <alignment vertical="center"/>
    </xf>
    <xf numFmtId="165" fontId="31" fillId="4" borderId="0" xfId="4" applyFont="1" applyFill="1" applyAlignment="1">
      <alignment horizontal="right" vertical="center"/>
    </xf>
    <xf numFmtId="166" fontId="21" fillId="4" borderId="0" xfId="4" quotePrefix="1" applyNumberFormat="1" applyFont="1" applyFill="1" applyAlignment="1">
      <alignment horizontal="right" vertical="center"/>
    </xf>
    <xf numFmtId="165" fontId="21" fillId="4" borderId="0" xfId="4" applyFont="1" applyFill="1" applyAlignment="1">
      <alignment horizontal="right" vertical="center"/>
    </xf>
    <xf numFmtId="1" fontId="21" fillId="4" borderId="0" xfId="4" applyNumberFormat="1" applyFont="1" applyFill="1" applyAlignment="1">
      <alignment horizontal="right" vertical="center"/>
    </xf>
    <xf numFmtId="174" fontId="44" fillId="4" borderId="0" xfId="4" applyNumberFormat="1" applyFont="1" applyFill="1" applyAlignment="1">
      <alignment horizontal="right"/>
    </xf>
    <xf numFmtId="165" fontId="24" fillId="4" borderId="0" xfId="4" applyFont="1" applyFill="1" applyAlignment="1">
      <alignment horizontal="left" vertical="center"/>
    </xf>
    <xf numFmtId="165" fontId="24" fillId="4" borderId="0" xfId="4" applyFont="1" applyFill="1" applyAlignment="1">
      <alignment horizontal="centerContinuous" vertical="center"/>
    </xf>
    <xf numFmtId="165" fontId="20" fillId="4" borderId="0" xfId="4" applyFont="1" applyFill="1" applyAlignment="1">
      <alignment horizontal="left" vertical="center"/>
    </xf>
    <xf numFmtId="2" fontId="20" fillId="4" borderId="0" xfId="4" quotePrefix="1" applyNumberFormat="1" applyFont="1" applyFill="1" applyAlignment="1">
      <alignment horizontal="left" vertical="center"/>
    </xf>
    <xf numFmtId="165" fontId="19" fillId="4" borderId="0" xfId="4" applyFont="1" applyFill="1"/>
    <xf numFmtId="2" fontId="21" fillId="4" borderId="0" xfId="4" applyNumberFormat="1" applyFont="1" applyFill="1"/>
    <xf numFmtId="165" fontId="9" fillId="4" borderId="0" xfId="4" applyFont="1" applyFill="1" applyAlignment="1">
      <alignment vertical="center"/>
    </xf>
    <xf numFmtId="2" fontId="24" fillId="4" borderId="0" xfId="4" applyNumberFormat="1" applyFont="1" applyFill="1" applyAlignment="1">
      <alignment horizontal="left" vertical="center"/>
    </xf>
    <xf numFmtId="166" fontId="45" fillId="4" borderId="0" xfId="4" applyNumberFormat="1" applyFont="1" applyFill="1"/>
    <xf numFmtId="2" fontId="11" fillId="4" borderId="15" xfId="4" applyNumberFormat="1" applyFont="1" applyFill="1" applyBorder="1" applyAlignment="1">
      <alignment horizontal="left" vertical="center"/>
    </xf>
    <xf numFmtId="166" fontId="11" fillId="4" borderId="15" xfId="4" applyNumberFormat="1" applyFont="1" applyFill="1" applyBorder="1"/>
    <xf numFmtId="3" fontId="11" fillId="4" borderId="15" xfId="4" applyNumberFormat="1" applyFont="1" applyFill="1" applyBorder="1"/>
    <xf numFmtId="173" fontId="11" fillId="4" borderId="15" xfId="4" applyNumberFormat="1" applyFont="1" applyFill="1" applyBorder="1"/>
    <xf numFmtId="169" fontId="13" fillId="4" borderId="15" xfId="4" applyNumberFormat="1" applyFont="1" applyFill="1" applyBorder="1"/>
    <xf numFmtId="165" fontId="20" fillId="4" borderId="0" xfId="4" applyFont="1" applyFill="1"/>
    <xf numFmtId="165" fontId="11" fillId="4" borderId="0" xfId="4" applyFont="1" applyFill="1" applyAlignment="1">
      <alignment horizontal="left" vertical="top"/>
    </xf>
    <xf numFmtId="175" fontId="11" fillId="4" borderId="0" xfId="4" applyNumberFormat="1" applyFont="1" applyFill="1"/>
    <xf numFmtId="176" fontId="11" fillId="4" borderId="0" xfId="4" applyNumberFormat="1" applyFont="1" applyFill="1"/>
    <xf numFmtId="165" fontId="21" fillId="4" borderId="0" xfId="4" quotePrefix="1" applyFont="1" applyFill="1" applyAlignment="1">
      <alignment horizontal="left" vertical="center"/>
    </xf>
    <xf numFmtId="2" fontId="21" fillId="4" borderId="0" xfId="4" applyNumberFormat="1" applyFont="1" applyFill="1" applyAlignment="1">
      <alignment horizontal="left" vertical="center"/>
    </xf>
    <xf numFmtId="165" fontId="21" fillId="4" borderId="0" xfId="4" applyFont="1" applyFill="1"/>
    <xf numFmtId="165" fontId="11" fillId="4" borderId="0" xfId="4" applyFont="1" applyFill="1" applyAlignment="1">
      <alignment horizontal="left" vertical="top" wrapText="1"/>
    </xf>
    <xf numFmtId="1" fontId="46" fillId="4" borderId="0" xfId="4" applyNumberFormat="1" applyFont="1" applyFill="1" applyAlignment="1">
      <alignment horizontal="right"/>
    </xf>
    <xf numFmtId="165" fontId="24" fillId="4" borderId="17" xfId="4" applyFont="1" applyFill="1" applyBorder="1" applyAlignment="1">
      <alignment vertical="center"/>
    </xf>
    <xf numFmtId="165" fontId="12" fillId="4" borderId="17" xfId="4" applyFont="1" applyFill="1" applyBorder="1" applyAlignment="1">
      <alignment horizontal="left" vertical="center"/>
    </xf>
    <xf numFmtId="165" fontId="12" fillId="4" borderId="17" xfId="4" applyFont="1" applyFill="1" applyBorder="1" applyAlignment="1">
      <alignment horizontal="left" vertical="top"/>
    </xf>
    <xf numFmtId="165" fontId="12" fillId="4" borderId="17" xfId="4" applyFont="1" applyFill="1" applyBorder="1"/>
    <xf numFmtId="173" fontId="11" fillId="4" borderId="17" xfId="4" applyNumberFormat="1" applyFont="1" applyFill="1" applyBorder="1" applyAlignment="1">
      <alignment horizontal="right"/>
    </xf>
    <xf numFmtId="1" fontId="47" fillId="4" borderId="0" xfId="4" applyNumberFormat="1" applyFont="1" applyFill="1" applyAlignment="1">
      <alignment horizontal="right"/>
    </xf>
    <xf numFmtId="166" fontId="13" fillId="4" borderId="0" xfId="4" applyNumberFormat="1" applyFont="1" applyFill="1" applyAlignment="1">
      <alignment vertical="center"/>
    </xf>
    <xf numFmtId="3" fontId="13" fillId="4" borderId="0" xfId="4" applyNumberFormat="1" applyFont="1" applyFill="1" applyAlignment="1">
      <alignment vertical="center"/>
    </xf>
    <xf numFmtId="169" fontId="13" fillId="4" borderId="0" xfId="4" applyNumberFormat="1" applyFont="1" applyFill="1" applyAlignment="1">
      <alignment vertical="center"/>
    </xf>
    <xf numFmtId="1" fontId="32" fillId="4" borderId="0" xfId="4" applyNumberFormat="1" applyFont="1" applyFill="1" applyAlignment="1">
      <alignment horizontal="right"/>
    </xf>
    <xf numFmtId="2" fontId="11" fillId="4" borderId="0" xfId="4" applyNumberFormat="1" applyFont="1" applyFill="1" applyAlignment="1">
      <alignment vertical="center"/>
    </xf>
    <xf numFmtId="165" fontId="11" fillId="4" borderId="0" xfId="4" applyFont="1" applyFill="1" applyAlignment="1">
      <alignment horizontal="right"/>
    </xf>
    <xf numFmtId="166" fontId="41" fillId="4" borderId="0" xfId="4" applyNumberFormat="1" applyFont="1" applyFill="1" applyAlignment="1">
      <alignment horizontal="left" vertical="center"/>
    </xf>
    <xf numFmtId="3" fontId="41" fillId="4" borderId="0" xfId="4" applyNumberFormat="1" applyFont="1" applyFill="1" applyAlignment="1">
      <alignment horizontal="left" vertical="center"/>
    </xf>
    <xf numFmtId="173" fontId="41" fillId="4" borderId="0" xfId="4" applyNumberFormat="1" applyFont="1" applyFill="1" applyAlignment="1">
      <alignment horizontal="left" vertical="center"/>
    </xf>
    <xf numFmtId="2" fontId="48" fillId="4" borderId="0" xfId="4" applyNumberFormat="1" applyFont="1" applyFill="1" applyAlignment="1">
      <alignment horizontal="left" vertical="center"/>
    </xf>
    <xf numFmtId="166" fontId="45" fillId="4" borderId="0" xfId="4" applyNumberFormat="1" applyFont="1" applyFill="1" applyAlignment="1">
      <alignment horizontal="right"/>
    </xf>
    <xf numFmtId="165" fontId="12" fillId="4" borderId="15" xfId="4" applyFont="1" applyFill="1" applyBorder="1" applyAlignment="1">
      <alignment horizontal="left" vertical="top"/>
    </xf>
    <xf numFmtId="166" fontId="20" fillId="4" borderId="0" xfId="4" applyNumberFormat="1" applyFont="1" applyFill="1" applyAlignment="1">
      <alignment horizontal="left" vertical="center"/>
    </xf>
    <xf numFmtId="165" fontId="20" fillId="4" borderId="0" xfId="4" applyFont="1" applyFill="1" applyAlignment="1">
      <alignment vertical="top"/>
    </xf>
    <xf numFmtId="169" fontId="11" fillId="4" borderId="0" xfId="4" applyNumberFormat="1" applyFont="1" applyFill="1" applyAlignment="1">
      <alignment vertical="center"/>
    </xf>
    <xf numFmtId="165" fontId="23" fillId="4" borderId="0" xfId="4" applyFont="1" applyFill="1" applyAlignment="1">
      <alignment horizontal="left" vertical="center"/>
    </xf>
    <xf numFmtId="169" fontId="13" fillId="4" borderId="0" xfId="4" applyNumberFormat="1" applyFont="1" applyFill="1" applyAlignment="1">
      <alignment horizontal="right" vertical="center"/>
    </xf>
    <xf numFmtId="165" fontId="12" fillId="4" borderId="15" xfId="4" applyFont="1" applyFill="1" applyBorder="1"/>
    <xf numFmtId="165" fontId="20" fillId="4" borderId="0" xfId="4" applyFont="1" applyFill="1" applyAlignment="1">
      <alignment horizontal="left" vertical="top"/>
    </xf>
    <xf numFmtId="165" fontId="24" fillId="4" borderId="0" xfId="4" applyFont="1" applyFill="1" applyAlignment="1">
      <alignment horizontal="left" vertical="top"/>
    </xf>
    <xf numFmtId="165" fontId="24" fillId="4" borderId="15" xfId="4" applyFont="1" applyFill="1" applyBorder="1" applyAlignment="1">
      <alignment horizontal="left" vertical="top"/>
    </xf>
    <xf numFmtId="165" fontId="24" fillId="4" borderId="15" xfId="4" applyFont="1" applyFill="1" applyBorder="1" applyAlignment="1">
      <alignment vertical="center"/>
    </xf>
    <xf numFmtId="166" fontId="12" fillId="0" borderId="15" xfId="4" applyNumberFormat="1" applyFont="1" applyBorder="1" applyAlignment="1">
      <alignment horizontal="right"/>
    </xf>
    <xf numFmtId="3" fontId="12" fillId="0" borderId="15" xfId="4" applyNumberFormat="1" applyFont="1" applyBorder="1" applyAlignment="1">
      <alignment horizontal="right"/>
    </xf>
    <xf numFmtId="173" fontId="12" fillId="0" borderId="15" xfId="4" applyNumberFormat="1" applyFont="1" applyBorder="1" applyAlignment="1">
      <alignment horizontal="right"/>
    </xf>
    <xf numFmtId="169" fontId="23" fillId="4" borderId="15" xfId="4" applyNumberFormat="1" applyFont="1" applyFill="1" applyBorder="1" applyAlignment="1">
      <alignment horizontal="right"/>
    </xf>
    <xf numFmtId="166" fontId="12" fillId="4" borderId="0" xfId="4" applyNumberFormat="1" applyFont="1" applyFill="1" applyAlignment="1">
      <alignment horizontal="right"/>
    </xf>
    <xf numFmtId="3" fontId="12" fillId="4" borderId="0" xfId="4" applyNumberFormat="1" applyFont="1" applyFill="1" applyAlignment="1">
      <alignment horizontal="right"/>
    </xf>
    <xf numFmtId="173" fontId="12" fillId="4" borderId="0" xfId="4" applyNumberFormat="1" applyFont="1" applyFill="1" applyAlignment="1">
      <alignment horizontal="right"/>
    </xf>
    <xf numFmtId="169" fontId="23" fillId="4" borderId="0" xfId="4" applyNumberFormat="1" applyFont="1" applyFill="1" applyAlignment="1">
      <alignment horizontal="right"/>
    </xf>
    <xf numFmtId="165" fontId="11" fillId="4" borderId="0" xfId="4" applyFont="1" applyFill="1" applyAlignment="1">
      <alignment horizontal="left"/>
    </xf>
    <xf numFmtId="1" fontId="10" fillId="4" borderId="0" xfId="4" applyNumberFormat="1" applyFont="1" applyFill="1" applyAlignment="1">
      <alignment horizontal="right" vertical="center"/>
    </xf>
    <xf numFmtId="2" fontId="9" fillId="4" borderId="0" xfId="4" applyNumberFormat="1" applyFont="1" applyFill="1" applyAlignment="1">
      <alignment vertical="center"/>
    </xf>
    <xf numFmtId="165" fontId="10" fillId="4" borderId="15" xfId="4" applyFont="1" applyFill="1" applyBorder="1" applyAlignment="1">
      <alignment horizontal="left"/>
    </xf>
    <xf numFmtId="166" fontId="12" fillId="4" borderId="0" xfId="4" applyNumberFormat="1" applyFont="1" applyFill="1" applyAlignment="1">
      <alignment vertical="center"/>
    </xf>
    <xf numFmtId="3" fontId="12" fillId="4" borderId="0" xfId="4" applyNumberFormat="1" applyFont="1" applyFill="1" applyAlignment="1">
      <alignment vertical="center"/>
    </xf>
    <xf numFmtId="173" fontId="12" fillId="4" borderId="0" xfId="4" applyNumberFormat="1" applyFont="1" applyFill="1" applyAlignment="1">
      <alignment vertical="center"/>
    </xf>
    <xf numFmtId="2" fontId="23" fillId="4" borderId="0" xfId="4" applyNumberFormat="1" applyFont="1" applyFill="1" applyAlignment="1">
      <alignment vertical="center"/>
    </xf>
    <xf numFmtId="1" fontId="11" fillId="4" borderId="0" xfId="4" applyNumberFormat="1" applyFont="1" applyFill="1" applyAlignment="1">
      <alignment horizontal="right" vertical="center"/>
    </xf>
    <xf numFmtId="165" fontId="17" fillId="4" borderId="0" xfId="4" applyFont="1" applyFill="1" applyAlignment="1">
      <alignment vertical="center"/>
    </xf>
    <xf numFmtId="2" fontId="51" fillId="4" borderId="0" xfId="4" applyNumberFormat="1" applyFont="1" applyFill="1" applyAlignment="1">
      <alignment horizontal="right"/>
    </xf>
    <xf numFmtId="177" fontId="11" fillId="4" borderId="0" xfId="4" applyNumberFormat="1" applyFont="1" applyFill="1"/>
    <xf numFmtId="169" fontId="12" fillId="4" borderId="0" xfId="4" applyNumberFormat="1" applyFont="1" applyFill="1" applyAlignment="1">
      <alignment horizontal="left" vertical="center" wrapText="1"/>
    </xf>
    <xf numFmtId="169" fontId="13" fillId="4" borderId="15" xfId="4" applyNumberFormat="1" applyFont="1" applyFill="1" applyBorder="1" applyAlignment="1">
      <alignment horizontal="right" vertical="center"/>
    </xf>
    <xf numFmtId="2" fontId="20" fillId="4" borderId="0" xfId="4" applyNumberFormat="1" applyFont="1" applyFill="1" applyAlignment="1">
      <alignment vertical="center"/>
    </xf>
    <xf numFmtId="165" fontId="12" fillId="4" borderId="0" xfId="4" applyFont="1" applyFill="1" applyAlignment="1">
      <alignment horizontal="left" vertical="center" wrapText="1"/>
    </xf>
    <xf numFmtId="165" fontId="12" fillId="4" borderId="0" xfId="4" applyFont="1" applyFill="1" applyAlignment="1">
      <alignment horizontal="left" vertical="center"/>
    </xf>
    <xf numFmtId="171" fontId="11" fillId="4" borderId="0" xfId="4" applyNumberFormat="1" applyFont="1" applyFill="1"/>
    <xf numFmtId="165" fontId="11" fillId="4" borderId="0" xfId="4" applyFont="1" applyFill="1" applyAlignment="1">
      <alignment horizontal="centerContinuous" vertical="center"/>
    </xf>
    <xf numFmtId="2" fontId="12" fillId="4" borderId="15" xfId="4" applyNumberFormat="1" applyFont="1" applyFill="1" applyBorder="1" applyAlignment="1">
      <alignment horizontal="left" vertical="center"/>
    </xf>
    <xf numFmtId="166" fontId="12" fillId="4" borderId="15" xfId="4" applyNumberFormat="1" applyFont="1" applyFill="1" applyBorder="1" applyAlignment="1">
      <alignment horizontal="right" vertical="center"/>
    </xf>
    <xf numFmtId="3" fontId="12" fillId="4" borderId="15" xfId="4" applyNumberFormat="1" applyFont="1" applyFill="1" applyBorder="1" applyAlignment="1">
      <alignment horizontal="right" vertical="center"/>
    </xf>
    <xf numFmtId="173" fontId="12" fillId="4" borderId="15" xfId="4" applyNumberFormat="1" applyFont="1" applyFill="1" applyBorder="1" applyAlignment="1">
      <alignment horizontal="right" vertical="center"/>
    </xf>
    <xf numFmtId="169" fontId="23" fillId="4" borderId="15" xfId="4" applyNumberFormat="1" applyFont="1" applyFill="1" applyBorder="1" applyAlignment="1">
      <alignment horizontal="right" vertical="center"/>
    </xf>
    <xf numFmtId="0" fontId="32" fillId="4" borderId="0" xfId="4" applyNumberFormat="1" applyFont="1" applyFill="1" applyAlignment="1">
      <alignment horizontal="right"/>
    </xf>
    <xf numFmtId="0" fontId="44" fillId="4" borderId="0" xfId="4" applyNumberFormat="1" applyFont="1" applyFill="1" applyAlignment="1">
      <alignment horizontal="right"/>
    </xf>
    <xf numFmtId="2" fontId="52" fillId="4" borderId="0" xfId="4" applyNumberFormat="1" applyFont="1" applyFill="1" applyAlignment="1">
      <alignment horizontal="right"/>
    </xf>
    <xf numFmtId="169" fontId="12" fillId="4" borderId="0" xfId="4" applyNumberFormat="1" applyFont="1" applyFill="1" applyAlignment="1">
      <alignment horizontal="left" vertical="center"/>
    </xf>
    <xf numFmtId="178" fontId="11" fillId="4" borderId="0" xfId="4" applyNumberFormat="1" applyFont="1" applyFill="1"/>
    <xf numFmtId="169" fontId="23" fillId="4" borderId="15" xfId="4" applyNumberFormat="1" applyFont="1" applyFill="1" applyBorder="1" applyAlignment="1">
      <alignment vertical="center"/>
    </xf>
    <xf numFmtId="1" fontId="12" fillId="4" borderId="0" xfId="4" applyNumberFormat="1" applyFont="1" applyFill="1" applyAlignment="1">
      <alignment vertical="center"/>
    </xf>
    <xf numFmtId="1" fontId="20" fillId="4" borderId="0" xfId="4" applyNumberFormat="1" applyFont="1" applyFill="1" applyAlignment="1">
      <alignment horizontal="left" vertical="center"/>
    </xf>
    <xf numFmtId="2" fontId="20" fillId="4" borderId="0" xfId="4" applyNumberFormat="1" applyFont="1" applyFill="1" applyAlignment="1">
      <alignment horizontal="left"/>
    </xf>
    <xf numFmtId="167" fontId="11" fillId="4" borderId="0" xfId="4" applyNumberFormat="1" applyFont="1" applyFill="1" applyAlignment="1">
      <alignment horizontal="right" vertical="center"/>
    </xf>
    <xf numFmtId="167" fontId="11" fillId="4" borderId="15" xfId="4" applyNumberFormat="1" applyFont="1" applyFill="1" applyBorder="1" applyAlignment="1">
      <alignment horizontal="right" vertical="center"/>
    </xf>
    <xf numFmtId="172" fontId="11" fillId="4" borderId="0" xfId="4" applyNumberFormat="1" applyFont="1" applyFill="1" applyAlignment="1">
      <alignment horizontal="right" vertical="center"/>
    </xf>
    <xf numFmtId="165" fontId="20" fillId="4" borderId="0" xfId="4" applyFont="1" applyFill="1" applyAlignment="1">
      <alignment horizontal="left"/>
    </xf>
    <xf numFmtId="165" fontId="53" fillId="4" borderId="0" xfId="4" applyFont="1" applyFill="1"/>
    <xf numFmtId="166" fontId="12" fillId="4" borderId="15" xfId="4" applyNumberFormat="1" applyFont="1" applyFill="1" applyBorder="1" applyAlignment="1">
      <alignment horizontal="right"/>
    </xf>
    <xf numFmtId="3" fontId="12" fillId="4" borderId="15" xfId="4" applyNumberFormat="1" applyFont="1" applyFill="1" applyBorder="1" applyAlignment="1">
      <alignment horizontal="right"/>
    </xf>
    <xf numFmtId="173" fontId="12" fillId="4" borderId="15" xfId="4" applyNumberFormat="1" applyFont="1" applyFill="1" applyBorder="1" applyAlignment="1">
      <alignment horizontal="right"/>
    </xf>
    <xf numFmtId="169" fontId="23" fillId="4" borderId="0" xfId="4" applyNumberFormat="1" applyFont="1" applyFill="1" applyAlignment="1">
      <alignment horizontal="right" vertical="center"/>
    </xf>
    <xf numFmtId="165" fontId="12" fillId="4" borderId="0" xfId="4" applyFont="1" applyFill="1" applyAlignment="1">
      <alignment horizontal="left"/>
    </xf>
    <xf numFmtId="172" fontId="11" fillId="4" borderId="0" xfId="4" applyNumberFormat="1" applyFont="1" applyFill="1" applyAlignment="1">
      <alignment horizontal="right"/>
    </xf>
    <xf numFmtId="3" fontId="20" fillId="4" borderId="0" xfId="4" applyNumberFormat="1" applyFont="1" applyFill="1" applyAlignment="1">
      <alignment horizontal="left" vertical="center"/>
    </xf>
    <xf numFmtId="173" fontId="20" fillId="4" borderId="0" xfId="4" applyNumberFormat="1" applyFont="1" applyFill="1" applyAlignment="1">
      <alignment horizontal="left" vertical="center"/>
    </xf>
    <xf numFmtId="49" fontId="20" fillId="4" borderId="0" xfId="4" applyNumberFormat="1" applyFont="1" applyFill="1" applyAlignment="1">
      <alignment horizontal="right" vertical="center"/>
    </xf>
    <xf numFmtId="2" fontId="54" fillId="4" borderId="0" xfId="4" applyNumberFormat="1" applyFont="1" applyFill="1" applyAlignment="1">
      <alignment horizontal="left" vertical="center"/>
    </xf>
    <xf numFmtId="2" fontId="11" fillId="4" borderId="15" xfId="4" applyNumberFormat="1" applyFont="1" applyFill="1" applyBorder="1" applyAlignment="1">
      <alignment horizontal="right" vertical="center"/>
    </xf>
    <xf numFmtId="166" fontId="24" fillId="4" borderId="0" xfId="4" applyNumberFormat="1" applyFont="1" applyFill="1" applyAlignment="1">
      <alignment vertical="center"/>
    </xf>
    <xf numFmtId="3" fontId="24" fillId="4" borderId="0" xfId="4" applyNumberFormat="1" applyFont="1" applyFill="1" applyAlignment="1">
      <alignment vertical="center"/>
    </xf>
    <xf numFmtId="173" fontId="24" fillId="4" borderId="0" xfId="4" applyNumberFormat="1" applyFont="1" applyFill="1" applyAlignment="1">
      <alignment vertical="center"/>
    </xf>
    <xf numFmtId="165" fontId="17" fillId="4" borderId="0" xfId="4" applyFont="1" applyFill="1" applyAlignment="1">
      <alignment horizontal="left" vertical="center"/>
    </xf>
    <xf numFmtId="179" fontId="11" fillId="4" borderId="0" xfId="4" applyNumberFormat="1" applyFont="1" applyFill="1" applyAlignment="1">
      <alignment vertical="center"/>
    </xf>
    <xf numFmtId="172" fontId="11" fillId="4" borderId="15" xfId="4" applyNumberFormat="1" applyFont="1" applyFill="1" applyBorder="1" applyAlignment="1">
      <alignment horizontal="right" vertical="center"/>
    </xf>
    <xf numFmtId="180" fontId="21" fillId="4" borderId="0" xfId="4" applyNumberFormat="1" applyFont="1" applyFill="1" applyAlignment="1">
      <alignment horizontal="right" vertical="center"/>
    </xf>
    <xf numFmtId="169" fontId="39" fillId="4" borderId="0" xfId="4" applyNumberFormat="1" applyFont="1" applyFill="1" applyAlignment="1">
      <alignment horizontal="right" vertical="center"/>
    </xf>
    <xf numFmtId="169" fontId="11" fillId="4" borderId="0" xfId="4" applyNumberFormat="1" applyFont="1" applyFill="1" applyAlignment="1">
      <alignment horizontal="left" vertical="center"/>
    </xf>
    <xf numFmtId="2" fontId="55" fillId="4" borderId="0" xfId="4" applyNumberFormat="1" applyFont="1" applyFill="1" applyAlignment="1">
      <alignment horizontal="right"/>
    </xf>
    <xf numFmtId="165" fontId="11" fillId="4" borderId="0" xfId="4" applyFont="1" applyFill="1" applyAlignment="1">
      <alignment vertical="top"/>
    </xf>
    <xf numFmtId="0" fontId="11" fillId="4" borderId="0" xfId="4" applyNumberFormat="1" applyFont="1" applyFill="1" applyAlignment="1">
      <alignment horizontal="right"/>
    </xf>
    <xf numFmtId="165" fontId="23" fillId="4" borderId="15" xfId="4" applyFont="1" applyFill="1" applyBorder="1" applyAlignment="1">
      <alignment vertical="center"/>
    </xf>
    <xf numFmtId="166" fontId="12" fillId="4" borderId="0" xfId="4" applyNumberFormat="1" applyFont="1" applyFill="1"/>
    <xf numFmtId="3" fontId="12" fillId="4" borderId="0" xfId="4" applyNumberFormat="1" applyFont="1" applyFill="1"/>
    <xf numFmtId="165" fontId="17" fillId="4" borderId="0" xfId="4" applyFont="1" applyFill="1"/>
    <xf numFmtId="3" fontId="11" fillId="4" borderId="17" xfId="4" applyNumberFormat="1" applyFont="1" applyFill="1" applyBorder="1" applyAlignment="1">
      <alignment vertical="center"/>
    </xf>
    <xf numFmtId="167" fontId="11" fillId="4" borderId="15" xfId="4" applyNumberFormat="1" applyFont="1" applyFill="1" applyBorder="1" applyAlignment="1">
      <alignment vertical="center"/>
    </xf>
    <xf numFmtId="167" fontId="11" fillId="4" borderId="0" xfId="4" applyNumberFormat="1" applyFont="1" applyFill="1" applyAlignment="1">
      <alignment vertical="center"/>
    </xf>
    <xf numFmtId="166" fontId="21" fillId="4" borderId="0" xfId="4" applyNumberFormat="1" applyFont="1" applyFill="1" applyAlignment="1">
      <alignment vertical="center"/>
    </xf>
    <xf numFmtId="3" fontId="21" fillId="4" borderId="0" xfId="4" applyNumberFormat="1" applyFont="1" applyFill="1" applyAlignment="1">
      <alignment vertical="center"/>
    </xf>
    <xf numFmtId="173" fontId="21" fillId="4" borderId="0" xfId="4" applyNumberFormat="1" applyFont="1" applyFill="1" applyAlignment="1">
      <alignment vertical="center"/>
    </xf>
    <xf numFmtId="169" fontId="11" fillId="4" borderId="15" xfId="4" applyNumberFormat="1" applyFont="1" applyFill="1" applyBorder="1" applyAlignment="1">
      <alignment horizontal="left" vertical="center"/>
    </xf>
    <xf numFmtId="2" fontId="21" fillId="4" borderId="0" xfId="4" applyNumberFormat="1" applyFont="1" applyFill="1" applyAlignment="1">
      <alignment vertical="center"/>
    </xf>
    <xf numFmtId="0" fontId="51" fillId="4" borderId="0" xfId="4" applyNumberFormat="1" applyFont="1" applyFill="1" applyAlignment="1">
      <alignment horizontal="right"/>
    </xf>
    <xf numFmtId="2" fontId="24" fillId="4" borderId="0" xfId="4" applyNumberFormat="1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56" fillId="4" borderId="0" xfId="2" applyFont="1" applyFill="1" applyAlignment="1">
      <alignment horizontal="right" vertical="center"/>
    </xf>
    <xf numFmtId="0" fontId="10" fillId="2" borderId="0" xfId="0" applyFont="1" applyFill="1"/>
    <xf numFmtId="165" fontId="26" fillId="2" borderId="0" xfId="4" applyFont="1" applyFill="1" applyAlignment="1">
      <alignment vertical="center"/>
    </xf>
    <xf numFmtId="165" fontId="15" fillId="2" borderId="0" xfId="4" applyFont="1" applyFill="1" applyAlignment="1">
      <alignment vertical="center"/>
    </xf>
    <xf numFmtId="2" fontId="27" fillId="2" borderId="0" xfId="4" applyNumberFormat="1" applyFont="1" applyFill="1" applyAlignment="1">
      <alignment horizontal="left" vertical="center"/>
    </xf>
    <xf numFmtId="2" fontId="10" fillId="2" borderId="0" xfId="4" applyNumberFormat="1" applyFont="1" applyFill="1" applyAlignment="1">
      <alignment vertical="center"/>
    </xf>
    <xf numFmtId="2" fontId="27" fillId="2" borderId="0" xfId="4" applyNumberFormat="1" applyFont="1" applyFill="1" applyAlignment="1">
      <alignment horizontal="right" vertical="center"/>
    </xf>
    <xf numFmtId="1" fontId="27" fillId="2" borderId="0" xfId="6" applyNumberFormat="1" applyFont="1" applyFill="1" applyAlignment="1">
      <alignment horizontal="right" vertical="center"/>
    </xf>
    <xf numFmtId="169" fontId="57" fillId="2" borderId="0" xfId="4" applyNumberFormat="1" applyFont="1" applyFill="1" applyAlignment="1">
      <alignment horizontal="right"/>
    </xf>
    <xf numFmtId="0" fontId="0" fillId="2" borderId="0" xfId="0" applyFill="1"/>
    <xf numFmtId="165" fontId="56" fillId="4" borderId="0" xfId="7" applyFont="1" applyFill="1" applyAlignment="1">
      <alignment horizontal="right" vertical="center"/>
    </xf>
    <xf numFmtId="0" fontId="10" fillId="2" borderId="0" xfId="0" applyFont="1" applyFill="1" applyAlignment="1">
      <alignment horizontal="left"/>
    </xf>
    <xf numFmtId="169" fontId="30" fillId="2" borderId="0" xfId="4" applyNumberFormat="1" applyFont="1" applyFill="1" applyAlignment="1">
      <alignment horizontal="right" vertical="center"/>
    </xf>
    <xf numFmtId="165" fontId="18" fillId="4" borderId="0" xfId="3" quotePrefix="1" applyFont="1" applyFill="1" applyAlignment="1">
      <alignment horizontal="left"/>
    </xf>
    <xf numFmtId="165" fontId="18" fillId="2" borderId="0" xfId="4" applyFont="1" applyFill="1" applyAlignment="1">
      <alignment vertical="center"/>
    </xf>
    <xf numFmtId="165" fontId="19" fillId="2" borderId="0" xfId="4" applyFont="1" applyFill="1" applyAlignment="1">
      <alignment vertical="center"/>
    </xf>
    <xf numFmtId="2" fontId="18" fillId="2" borderId="0" xfId="4" applyNumberFormat="1" applyFont="1" applyFill="1" applyAlignment="1">
      <alignment horizontal="left" vertical="center"/>
    </xf>
    <xf numFmtId="165" fontId="12" fillId="2" borderId="15" xfId="4" applyFont="1" applyFill="1" applyBorder="1" applyAlignment="1">
      <alignment horizontal="left" vertical="center"/>
    </xf>
    <xf numFmtId="165" fontId="9" fillId="2" borderId="15" xfId="4" applyFont="1" applyFill="1" applyBorder="1" applyAlignment="1">
      <alignment horizontal="left" vertical="center"/>
    </xf>
    <xf numFmtId="165" fontId="12" fillId="2" borderId="15" xfId="4" applyFont="1" applyFill="1" applyBorder="1" applyAlignment="1">
      <alignment vertical="center"/>
    </xf>
    <xf numFmtId="2" fontId="12" fillId="2" borderId="15" xfId="4" applyNumberFormat="1" applyFont="1" applyFill="1" applyBorder="1" applyAlignment="1">
      <alignment vertical="center"/>
    </xf>
    <xf numFmtId="2" fontId="12" fillId="2" borderId="15" xfId="4" applyNumberFormat="1" applyFont="1" applyFill="1" applyBorder="1" applyAlignment="1">
      <alignment horizontal="right" vertical="center"/>
    </xf>
    <xf numFmtId="1" fontId="12" fillId="2" borderId="15" xfId="6" applyNumberFormat="1" applyFont="1" applyFill="1" applyBorder="1" applyAlignment="1">
      <alignment horizontal="right" vertical="center"/>
    </xf>
    <xf numFmtId="169" fontId="23" fillId="2" borderId="15" xfId="4" applyNumberFormat="1" applyFont="1" applyFill="1" applyBorder="1" applyAlignment="1">
      <alignment horizontal="right" vertical="center"/>
    </xf>
    <xf numFmtId="165" fontId="12" fillId="2" borderId="0" xfId="4" applyFont="1" applyFill="1" applyAlignment="1">
      <alignment horizontal="left" vertical="center"/>
    </xf>
    <xf numFmtId="165" fontId="9" fillId="2" borderId="0" xfId="4" applyFont="1" applyFill="1" applyAlignment="1">
      <alignment horizontal="left" vertical="center"/>
    </xf>
    <xf numFmtId="165" fontId="12" fillId="2" borderId="0" xfId="4" applyFont="1" applyFill="1" applyAlignment="1">
      <alignment vertical="center"/>
    </xf>
    <xf numFmtId="2" fontId="12" fillId="2" borderId="0" xfId="4" applyNumberFormat="1" applyFont="1" applyFill="1" applyAlignment="1">
      <alignment vertical="center"/>
    </xf>
    <xf numFmtId="2" fontId="12" fillId="2" borderId="0" xfId="4" applyNumberFormat="1" applyFont="1" applyFill="1" applyAlignment="1">
      <alignment horizontal="right" vertical="center"/>
    </xf>
    <xf numFmtId="1" fontId="12" fillId="2" borderId="0" xfId="6" applyNumberFormat="1" applyFont="1" applyFill="1" applyAlignment="1">
      <alignment horizontal="right" vertical="center"/>
    </xf>
    <xf numFmtId="169" fontId="23" fillId="2" borderId="0" xfId="4" applyNumberFormat="1" applyFont="1" applyFill="1" applyAlignment="1">
      <alignment horizontal="right" vertical="center"/>
    </xf>
    <xf numFmtId="168" fontId="12" fillId="2" borderId="0" xfId="4" applyNumberFormat="1" applyFont="1" applyFill="1" applyAlignment="1">
      <alignment horizontal="right" vertical="center"/>
    </xf>
    <xf numFmtId="2" fontId="31" fillId="2" borderId="0" xfId="4" applyNumberFormat="1" applyFont="1" applyFill="1" applyAlignment="1">
      <alignment vertical="center"/>
    </xf>
    <xf numFmtId="2" fontId="17" fillId="2" borderId="0" xfId="4" applyNumberFormat="1" applyFont="1" applyFill="1" applyAlignment="1">
      <alignment horizontal="right" vertical="center"/>
    </xf>
    <xf numFmtId="1" fontId="17" fillId="2" borderId="0" xfId="6" applyNumberFormat="1" applyFont="1" applyFill="1" applyAlignment="1">
      <alignment horizontal="right" vertical="center"/>
    </xf>
    <xf numFmtId="169" fontId="17" fillId="2" borderId="0" xfId="4" applyNumberFormat="1" applyFont="1" applyFill="1" applyAlignment="1">
      <alignment horizontal="right" vertical="center"/>
    </xf>
    <xf numFmtId="165" fontId="12" fillId="2" borderId="0" xfId="4" applyFont="1" applyFill="1" applyAlignment="1">
      <alignment horizontal="right" vertical="center"/>
    </xf>
    <xf numFmtId="2" fontId="17" fillId="2" borderId="0" xfId="4" quotePrefix="1" applyNumberFormat="1" applyFont="1" applyFill="1" applyAlignment="1">
      <alignment horizontal="right" vertical="center"/>
    </xf>
    <xf numFmtId="173" fontId="12" fillId="2" borderId="0" xfId="4" applyNumberFormat="1" applyFont="1" applyFill="1" applyAlignment="1">
      <alignment horizontal="right" vertical="center"/>
    </xf>
    <xf numFmtId="165" fontId="11" fillId="2" borderId="15" xfId="4" applyFont="1" applyFill="1" applyBorder="1" applyAlignment="1">
      <alignment horizontal="left" vertical="center"/>
    </xf>
    <xf numFmtId="165" fontId="11" fillId="2" borderId="15" xfId="4" applyFont="1" applyFill="1" applyBorder="1" applyAlignment="1">
      <alignment vertical="center"/>
    </xf>
    <xf numFmtId="2" fontId="11" fillId="2" borderId="15" xfId="4" applyNumberFormat="1" applyFont="1" applyFill="1" applyBorder="1" applyAlignment="1">
      <alignment vertical="center"/>
    </xf>
    <xf numFmtId="2" fontId="11" fillId="2" borderId="15" xfId="4" applyNumberFormat="1" applyFont="1" applyFill="1" applyBorder="1" applyAlignment="1">
      <alignment horizontal="right" vertical="center"/>
    </xf>
    <xf numFmtId="1" fontId="11" fillId="2" borderId="15" xfId="6" applyNumberFormat="1" applyFont="1" applyFill="1" applyBorder="1" applyAlignment="1">
      <alignment horizontal="right" vertical="center"/>
    </xf>
    <xf numFmtId="169" fontId="13" fillId="2" borderId="15" xfId="4" applyNumberFormat="1" applyFont="1" applyFill="1" applyBorder="1" applyAlignment="1">
      <alignment horizontal="right" vertical="center"/>
    </xf>
    <xf numFmtId="165" fontId="33" fillId="2" borderId="0" xfId="4" applyFont="1" applyFill="1"/>
    <xf numFmtId="2" fontId="0" fillId="2" borderId="0" xfId="0" applyNumberFormat="1" applyFill="1" applyAlignment="1">
      <alignment horizontal="right"/>
    </xf>
    <xf numFmtId="1" fontId="0" fillId="2" borderId="0" xfId="6" applyNumberFormat="1" applyFont="1" applyFill="1" applyAlignment="1">
      <alignment horizontal="right"/>
    </xf>
    <xf numFmtId="1" fontId="58" fillId="2" borderId="0" xfId="6" applyNumberFormat="1" applyFont="1" applyFill="1" applyAlignment="1">
      <alignment horizontal="right"/>
    </xf>
    <xf numFmtId="169" fontId="59" fillId="2" borderId="0" xfId="0" applyNumberFormat="1" applyFont="1" applyFill="1" applyAlignment="1">
      <alignment horizontal="right"/>
    </xf>
    <xf numFmtId="0" fontId="0" fillId="2" borderId="16" xfId="0" applyFill="1" applyBorder="1"/>
    <xf numFmtId="2" fontId="0" fillId="2" borderId="16" xfId="0" applyNumberFormat="1" applyFill="1" applyBorder="1" applyAlignment="1">
      <alignment horizontal="right"/>
    </xf>
    <xf numFmtId="1" fontId="0" fillId="2" borderId="16" xfId="6" applyNumberFormat="1" applyFont="1" applyFill="1" applyBorder="1" applyAlignment="1">
      <alignment horizontal="right"/>
    </xf>
    <xf numFmtId="169" fontId="59" fillId="2" borderId="16" xfId="0" applyNumberFormat="1" applyFont="1" applyFill="1" applyBorder="1" applyAlignment="1">
      <alignment horizontal="right"/>
    </xf>
    <xf numFmtId="165" fontId="33" fillId="2" borderId="0" xfId="4" applyFont="1" applyFill="1" applyAlignment="1">
      <alignment horizontal="left" vertical="center"/>
    </xf>
    <xf numFmtId="0" fontId="21" fillId="2" borderId="0" xfId="0" applyFont="1" applyFill="1"/>
    <xf numFmtId="2" fontId="21" fillId="2" borderId="0" xfId="0" applyNumberFormat="1" applyFont="1" applyFill="1" applyAlignment="1">
      <alignment horizontal="right"/>
    </xf>
    <xf numFmtId="1" fontId="21" fillId="2" borderId="0" xfId="0" applyNumberFormat="1" applyFont="1" applyFill="1" applyAlignment="1">
      <alignment horizontal="right"/>
    </xf>
    <xf numFmtId="169" fontId="21" fillId="2" borderId="0" xfId="0" applyNumberFormat="1" applyFont="1" applyFill="1" applyAlignment="1">
      <alignment horizontal="right"/>
    </xf>
    <xf numFmtId="0" fontId="11" fillId="2" borderId="0" xfId="0" applyFont="1" applyFill="1"/>
    <xf numFmtId="2" fontId="11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169" fontId="11" fillId="2" borderId="0" xfId="0" applyNumberFormat="1" applyFont="1" applyFill="1" applyAlignment="1">
      <alignment horizontal="right"/>
    </xf>
    <xf numFmtId="0" fontId="11" fillId="2" borderId="16" xfId="0" applyFont="1" applyFill="1" applyBorder="1"/>
    <xf numFmtId="2" fontId="11" fillId="2" borderId="16" xfId="0" applyNumberFormat="1" applyFont="1" applyFill="1" applyBorder="1" applyAlignment="1">
      <alignment horizontal="right"/>
    </xf>
    <xf numFmtId="1" fontId="11" fillId="2" borderId="16" xfId="6" applyNumberFormat="1" applyFont="1" applyFill="1" applyBorder="1" applyAlignment="1">
      <alignment horizontal="right"/>
    </xf>
    <xf numFmtId="169" fontId="13" fillId="2" borderId="16" xfId="0" applyNumberFormat="1" applyFont="1" applyFill="1" applyBorder="1" applyAlignment="1">
      <alignment horizontal="right"/>
    </xf>
    <xf numFmtId="1" fontId="11" fillId="2" borderId="0" xfId="6" applyNumberFormat="1" applyFont="1" applyFill="1" applyAlignment="1">
      <alignment horizontal="right"/>
    </xf>
    <xf numFmtId="169" fontId="13" fillId="2" borderId="0" xfId="0" applyNumberFormat="1" applyFont="1" applyFill="1" applyAlignment="1">
      <alignment horizontal="right"/>
    </xf>
    <xf numFmtId="165" fontId="10" fillId="2" borderId="0" xfId="4" applyFont="1" applyFill="1" applyAlignment="1">
      <alignment vertical="center"/>
    </xf>
    <xf numFmtId="165" fontId="9" fillId="2" borderId="0" xfId="4" applyFont="1" applyFill="1"/>
    <xf numFmtId="2" fontId="11" fillId="2" borderId="0" xfId="4" applyNumberFormat="1" applyFont="1" applyFill="1" applyAlignment="1">
      <alignment horizontal="right"/>
    </xf>
    <xf numFmtId="169" fontId="13" fillId="2" borderId="0" xfId="4" applyNumberFormat="1" applyFont="1" applyFill="1" applyAlignment="1">
      <alignment horizontal="right"/>
    </xf>
    <xf numFmtId="165" fontId="10" fillId="2" borderId="0" xfId="4" applyFont="1" applyFill="1" applyAlignment="1">
      <alignment horizontal="left"/>
    </xf>
    <xf numFmtId="165" fontId="40" fillId="2" borderId="0" xfId="4" applyFont="1" applyFill="1" applyAlignment="1">
      <alignment vertical="center"/>
    </xf>
    <xf numFmtId="2" fontId="16" fillId="2" borderId="0" xfId="4" applyNumberFormat="1" applyFont="1" applyFill="1" applyAlignment="1">
      <alignment horizontal="left" vertical="center"/>
    </xf>
    <xf numFmtId="2" fontId="15" fillId="2" borderId="0" xfId="4" applyNumberFormat="1" applyFont="1" applyFill="1" applyAlignment="1">
      <alignment vertical="center"/>
    </xf>
    <xf numFmtId="2" fontId="21" fillId="2" borderId="0" xfId="4" applyNumberFormat="1" applyFont="1" applyFill="1" applyAlignment="1">
      <alignment horizontal="right" vertical="center"/>
    </xf>
    <xf numFmtId="1" fontId="21" fillId="2" borderId="0" xfId="6" applyNumberFormat="1" applyFont="1" applyFill="1" applyAlignment="1">
      <alignment horizontal="right" vertical="center"/>
    </xf>
    <xf numFmtId="169" fontId="48" fillId="2" borderId="0" xfId="4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left"/>
    </xf>
    <xf numFmtId="165" fontId="42" fillId="2" borderId="0" xfId="4" applyFont="1" applyFill="1" applyAlignment="1">
      <alignment vertical="center"/>
    </xf>
    <xf numFmtId="2" fontId="19" fillId="2" borderId="0" xfId="4" applyNumberFormat="1" applyFont="1" applyFill="1" applyAlignment="1">
      <alignment horizontal="left" vertical="center"/>
    </xf>
    <xf numFmtId="169" fontId="39" fillId="2" borderId="0" xfId="4" applyNumberFormat="1" applyFont="1" applyFill="1" applyAlignment="1">
      <alignment horizontal="right" vertical="center"/>
    </xf>
    <xf numFmtId="2" fontId="11" fillId="2" borderId="0" xfId="4" applyNumberFormat="1" applyFont="1" applyFill="1" applyAlignment="1">
      <alignment horizontal="right" vertical="center"/>
    </xf>
    <xf numFmtId="1" fontId="11" fillId="2" borderId="0" xfId="6" applyNumberFormat="1" applyFont="1" applyFill="1" applyAlignment="1">
      <alignment horizontal="right" vertical="center"/>
    </xf>
    <xf numFmtId="169" fontId="13" fillId="2" borderId="0" xfId="4" applyNumberFormat="1" applyFont="1" applyFill="1" applyAlignment="1">
      <alignment horizontal="right" vertical="center"/>
    </xf>
    <xf numFmtId="165" fontId="31" fillId="2" borderId="0" xfId="4" applyFont="1" applyFill="1" applyAlignment="1">
      <alignment horizontal="left" vertical="center"/>
    </xf>
    <xf numFmtId="168" fontId="31" fillId="2" borderId="0" xfId="4" applyNumberFormat="1" applyFont="1" applyFill="1" applyAlignment="1">
      <alignment horizontal="right" vertical="center"/>
    </xf>
    <xf numFmtId="2" fontId="31" fillId="2" borderId="0" xfId="4" applyNumberFormat="1" applyFont="1" applyFill="1" applyAlignment="1">
      <alignment horizontal="right" vertical="center"/>
    </xf>
    <xf numFmtId="165" fontId="31" fillId="2" borderId="0" xfId="4" applyFont="1" applyFill="1" applyAlignment="1">
      <alignment horizontal="right" vertical="center"/>
    </xf>
    <xf numFmtId="165" fontId="35" fillId="2" borderId="0" xfId="4" applyFont="1" applyFill="1" applyAlignment="1">
      <alignment horizontal="left" vertical="center"/>
    </xf>
    <xf numFmtId="165" fontId="35" fillId="2" borderId="0" xfId="4" applyFont="1" applyFill="1" applyAlignment="1">
      <alignment horizontal="centerContinuous" vertical="center"/>
    </xf>
    <xf numFmtId="165" fontId="33" fillId="2" borderId="0" xfId="4" applyFont="1" applyFill="1" applyAlignment="1">
      <alignment vertical="center"/>
    </xf>
    <xf numFmtId="165" fontId="35" fillId="2" borderId="0" xfId="4" applyFont="1" applyFill="1" applyAlignment="1">
      <alignment vertical="center"/>
    </xf>
    <xf numFmtId="2" fontId="33" fillId="2" borderId="0" xfId="4" applyNumberFormat="1" applyFont="1" applyFill="1" applyAlignment="1">
      <alignment horizontal="right" vertical="center"/>
    </xf>
    <xf numFmtId="1" fontId="33" fillId="2" borderId="0" xfId="6" applyNumberFormat="1" applyFont="1" applyFill="1" applyAlignment="1">
      <alignment horizontal="right" vertical="center"/>
    </xf>
    <xf numFmtId="169" fontId="37" fillId="2" borderId="0" xfId="4" applyNumberFormat="1" applyFont="1" applyFill="1" applyAlignment="1">
      <alignment horizontal="right" vertical="center"/>
    </xf>
    <xf numFmtId="1" fontId="25" fillId="2" borderId="0" xfId="4" applyNumberFormat="1" applyFill="1"/>
    <xf numFmtId="1" fontId="21" fillId="2" borderId="0" xfId="6" applyNumberFormat="1" applyFont="1" applyFill="1" applyAlignment="1">
      <alignment horizontal="right"/>
    </xf>
    <xf numFmtId="169" fontId="39" fillId="2" borderId="0" xfId="0" applyNumberFormat="1" applyFont="1" applyFill="1" applyAlignment="1">
      <alignment horizontal="right"/>
    </xf>
    <xf numFmtId="1" fontId="11" fillId="2" borderId="16" xfId="0" applyNumberFormat="1" applyFont="1" applyFill="1" applyBorder="1" applyAlignment="1">
      <alignment horizontal="right"/>
    </xf>
    <xf numFmtId="169" fontId="11" fillId="2" borderId="16" xfId="0" applyNumberFormat="1" applyFont="1" applyFill="1" applyBorder="1" applyAlignment="1">
      <alignment horizontal="right"/>
    </xf>
    <xf numFmtId="1" fontId="32" fillId="2" borderId="0" xfId="4" applyNumberFormat="1" applyFont="1" applyFill="1" applyAlignment="1">
      <alignment horizontal="right"/>
    </xf>
    <xf numFmtId="2" fontId="11" fillId="2" borderId="0" xfId="4" applyNumberFormat="1" applyFont="1" applyFill="1" applyAlignment="1">
      <alignment horizontal="left" vertical="center"/>
    </xf>
    <xf numFmtId="165" fontId="11" fillId="2" borderId="0" xfId="4" applyFont="1" applyFill="1"/>
    <xf numFmtId="2" fontId="11" fillId="2" borderId="0" xfId="4" applyNumberFormat="1" applyFont="1" applyFill="1" applyAlignment="1">
      <alignment vertical="center"/>
    </xf>
    <xf numFmtId="2" fontId="11" fillId="2" borderId="0" xfId="4" applyNumberFormat="1" applyFont="1" applyFill="1"/>
    <xf numFmtId="1" fontId="29" fillId="2" borderId="0" xfId="4" applyNumberFormat="1" applyFont="1" applyFill="1"/>
    <xf numFmtId="2" fontId="41" fillId="2" borderId="0" xfId="4" applyNumberFormat="1" applyFont="1" applyFill="1" applyAlignment="1">
      <alignment horizontal="right" vertical="center"/>
    </xf>
    <xf numFmtId="1" fontId="41" fillId="2" borderId="0" xfId="6" applyNumberFormat="1" applyFont="1" applyFill="1" applyAlignment="1">
      <alignment horizontal="right" vertical="center"/>
    </xf>
    <xf numFmtId="1" fontId="43" fillId="2" borderId="0" xfId="4" applyNumberFormat="1" applyFont="1" applyFill="1"/>
    <xf numFmtId="165" fontId="11" fillId="2" borderId="0" xfId="4" applyFont="1" applyFill="1" applyAlignment="1">
      <alignment horizontal="left" vertical="center"/>
    </xf>
    <xf numFmtId="165" fontId="11" fillId="2" borderId="0" xfId="4" applyFont="1" applyFill="1" applyAlignment="1">
      <alignment horizontal="right" vertical="center"/>
    </xf>
    <xf numFmtId="165" fontId="11" fillId="2" borderId="0" xfId="4" applyFont="1" applyFill="1" applyAlignment="1">
      <alignment vertical="center"/>
    </xf>
    <xf numFmtId="1" fontId="47" fillId="2" borderId="0" xfId="4" applyNumberFormat="1" applyFont="1" applyFill="1" applyAlignment="1">
      <alignment horizontal="right"/>
    </xf>
    <xf numFmtId="165" fontId="24" fillId="2" borderId="0" xfId="4" applyFont="1" applyFill="1"/>
    <xf numFmtId="165" fontId="24" fillId="2" borderId="0" xfId="4" applyFont="1" applyFill="1" applyAlignment="1">
      <alignment vertical="center"/>
    </xf>
    <xf numFmtId="0" fontId="11" fillId="2" borderId="0" xfId="0" applyFont="1" applyFill="1" applyAlignment="1">
      <alignment horizontal="right"/>
    </xf>
    <xf numFmtId="1" fontId="46" fillId="2" borderId="0" xfId="4" applyNumberFormat="1" applyFont="1" applyFill="1" applyAlignment="1">
      <alignment horizontal="right"/>
    </xf>
    <xf numFmtId="169" fontId="11" fillId="2" borderId="15" xfId="4" applyNumberFormat="1" applyFont="1" applyFill="1" applyBorder="1" applyAlignment="1">
      <alignment horizontal="left" vertical="center"/>
    </xf>
    <xf numFmtId="4" fontId="10" fillId="2" borderId="0" xfId="0" applyNumberFormat="1" applyFont="1" applyFill="1"/>
    <xf numFmtId="4" fontId="26" fillId="2" borderId="0" xfId="4" applyNumberFormat="1" applyFont="1" applyFill="1" applyAlignment="1">
      <alignment vertical="center"/>
    </xf>
    <xf numFmtId="4" fontId="15" fillId="2" borderId="0" xfId="4" applyNumberFormat="1" applyFont="1" applyFill="1" applyAlignment="1">
      <alignment vertical="center"/>
    </xf>
    <xf numFmtId="4" fontId="27" fillId="2" borderId="0" xfId="4" applyNumberFormat="1" applyFont="1" applyFill="1" applyAlignment="1">
      <alignment horizontal="left" vertical="center"/>
    </xf>
    <xf numFmtId="4" fontId="10" fillId="2" borderId="0" xfId="4" applyNumberFormat="1" applyFont="1" applyFill="1" applyAlignment="1">
      <alignment vertical="center"/>
    </xf>
    <xf numFmtId="4" fontId="27" fillId="2" borderId="0" xfId="4" applyNumberFormat="1" applyFont="1" applyFill="1" applyAlignment="1">
      <alignment horizontal="right" vertical="center"/>
    </xf>
    <xf numFmtId="3" fontId="27" fillId="2" borderId="0" xfId="6" applyNumberFormat="1" applyFont="1" applyFill="1" applyAlignment="1">
      <alignment horizontal="right" vertical="center"/>
    </xf>
    <xf numFmtId="182" fontId="57" fillId="2" borderId="0" xfId="4" applyNumberFormat="1" applyFont="1" applyFill="1" applyAlignment="1">
      <alignment horizontal="right"/>
    </xf>
    <xf numFmtId="4" fontId="0" fillId="2" borderId="0" xfId="0" applyNumberFormat="1" applyFill="1"/>
    <xf numFmtId="4" fontId="10" fillId="2" borderId="0" xfId="0" applyNumberFormat="1" applyFont="1" applyFill="1" applyAlignment="1">
      <alignment horizontal="left"/>
    </xf>
    <xf numFmtId="182" fontId="30" fillId="2" borderId="0" xfId="4" applyNumberFormat="1" applyFont="1" applyFill="1" applyAlignment="1">
      <alignment horizontal="right" vertical="center"/>
    </xf>
    <xf numFmtId="4" fontId="18" fillId="4" borderId="0" xfId="3" quotePrefix="1" applyNumberFormat="1" applyFont="1" applyFill="1" applyAlignment="1">
      <alignment horizontal="left"/>
    </xf>
    <xf numFmtId="4" fontId="18" fillId="2" borderId="0" xfId="4" applyNumberFormat="1" applyFont="1" applyFill="1" applyAlignment="1">
      <alignment vertical="center"/>
    </xf>
    <xf numFmtId="4" fontId="19" fillId="2" borderId="0" xfId="4" applyNumberFormat="1" applyFont="1" applyFill="1" applyAlignment="1">
      <alignment vertical="center"/>
    </xf>
    <xf numFmtId="4" fontId="18" fillId="2" borderId="0" xfId="4" applyNumberFormat="1" applyFont="1" applyFill="1" applyAlignment="1">
      <alignment horizontal="left" vertical="center"/>
    </xf>
    <xf numFmtId="4" fontId="12" fillId="2" borderId="15" xfId="4" applyNumberFormat="1" applyFont="1" applyFill="1" applyBorder="1" applyAlignment="1">
      <alignment horizontal="left" vertical="center"/>
    </xf>
    <xf numFmtId="4" fontId="9" fillId="2" borderId="15" xfId="4" applyNumberFormat="1" applyFont="1" applyFill="1" applyBorder="1" applyAlignment="1">
      <alignment horizontal="left" vertical="center"/>
    </xf>
    <xf numFmtId="4" fontId="12" fillId="2" borderId="15" xfId="4" applyNumberFormat="1" applyFont="1" applyFill="1" applyBorder="1" applyAlignment="1">
      <alignment vertical="center"/>
    </xf>
    <xf numFmtId="4" fontId="12" fillId="2" borderId="15" xfId="4" applyNumberFormat="1" applyFont="1" applyFill="1" applyBorder="1" applyAlignment="1">
      <alignment horizontal="right" vertical="center"/>
    </xf>
    <xf numFmtId="3" fontId="12" fillId="2" borderId="15" xfId="6" applyNumberFormat="1" applyFont="1" applyFill="1" applyBorder="1" applyAlignment="1">
      <alignment horizontal="right" vertical="center"/>
    </xf>
    <xf numFmtId="182" fontId="23" fillId="2" borderId="15" xfId="4" applyNumberFormat="1" applyFont="1" applyFill="1" applyBorder="1" applyAlignment="1">
      <alignment horizontal="right" vertical="center"/>
    </xf>
    <xf numFmtId="4" fontId="12" fillId="2" borderId="0" xfId="4" applyNumberFormat="1" applyFont="1" applyFill="1" applyAlignment="1">
      <alignment horizontal="left" vertical="center"/>
    </xf>
    <xf numFmtId="4" fontId="9" fillId="2" borderId="0" xfId="4" applyNumberFormat="1" applyFont="1" applyFill="1" applyAlignment="1">
      <alignment horizontal="left" vertical="center"/>
    </xf>
    <xf numFmtId="4" fontId="12" fillId="2" borderId="0" xfId="4" applyNumberFormat="1" applyFont="1" applyFill="1" applyAlignment="1">
      <alignment vertical="center"/>
    </xf>
    <xf numFmtId="4" fontId="12" fillId="2" borderId="0" xfId="4" applyNumberFormat="1" applyFont="1" applyFill="1" applyAlignment="1">
      <alignment horizontal="right" vertical="center"/>
    </xf>
    <xf numFmtId="3" fontId="12" fillId="2" borderId="0" xfId="6" applyNumberFormat="1" applyFont="1" applyFill="1" applyAlignment="1">
      <alignment horizontal="right" vertical="center"/>
    </xf>
    <xf numFmtId="182" fontId="23" fillId="2" borderId="0" xfId="4" applyNumberFormat="1" applyFont="1" applyFill="1" applyAlignment="1">
      <alignment horizontal="right" vertical="center"/>
    </xf>
    <xf numFmtId="4" fontId="31" fillId="2" borderId="0" xfId="4" applyNumberFormat="1" applyFont="1" applyFill="1" applyAlignment="1">
      <alignment vertical="center"/>
    </xf>
    <xf numFmtId="4" fontId="17" fillId="2" borderId="0" xfId="4" applyNumberFormat="1" applyFont="1" applyFill="1" applyAlignment="1">
      <alignment horizontal="right" vertical="center"/>
    </xf>
    <xf numFmtId="3" fontId="17" fillId="2" borderId="0" xfId="6" applyNumberFormat="1" applyFont="1" applyFill="1" applyAlignment="1">
      <alignment horizontal="right" vertical="center"/>
    </xf>
    <xf numFmtId="182" fontId="17" fillId="2" borderId="0" xfId="4" applyNumberFormat="1" applyFont="1" applyFill="1" applyAlignment="1">
      <alignment horizontal="right" vertical="center"/>
    </xf>
    <xf numFmtId="4" fontId="17" fillId="2" borderId="0" xfId="4" quotePrefix="1" applyNumberFormat="1" applyFont="1" applyFill="1" applyAlignment="1">
      <alignment horizontal="right" vertical="center"/>
    </xf>
    <xf numFmtId="4" fontId="11" fillId="2" borderId="15" xfId="4" applyNumberFormat="1" applyFont="1" applyFill="1" applyBorder="1" applyAlignment="1">
      <alignment horizontal="left" vertical="center"/>
    </xf>
    <xf numFmtId="4" fontId="11" fillId="2" borderId="15" xfId="4" applyNumberFormat="1" applyFont="1" applyFill="1" applyBorder="1" applyAlignment="1">
      <alignment vertical="center"/>
    </xf>
    <xf numFmtId="4" fontId="11" fillId="2" borderId="15" xfId="4" applyNumberFormat="1" applyFont="1" applyFill="1" applyBorder="1" applyAlignment="1">
      <alignment horizontal="right" vertical="center"/>
    </xf>
    <xf numFmtId="3" fontId="11" fillId="2" borderId="15" xfId="6" applyNumberFormat="1" applyFont="1" applyFill="1" applyBorder="1" applyAlignment="1">
      <alignment horizontal="right" vertical="center"/>
    </xf>
    <xf numFmtId="182" fontId="13" fillId="2" borderId="15" xfId="4" applyNumberFormat="1" applyFont="1" applyFill="1" applyBorder="1" applyAlignment="1">
      <alignment horizontal="right" vertical="center"/>
    </xf>
    <xf numFmtId="4" fontId="33" fillId="2" borderId="0" xfId="4" applyNumberFormat="1" applyFont="1" applyFill="1"/>
    <xf numFmtId="4" fontId="0" fillId="2" borderId="0" xfId="0" applyNumberFormat="1" applyFill="1" applyAlignment="1">
      <alignment horizontal="right"/>
    </xf>
    <xf numFmtId="3" fontId="0" fillId="2" borderId="0" xfId="6" applyNumberFormat="1" applyFont="1" applyFill="1" applyAlignment="1">
      <alignment horizontal="right"/>
    </xf>
    <xf numFmtId="3" fontId="58" fillId="2" borderId="0" xfId="6" applyNumberFormat="1" applyFont="1" applyFill="1" applyAlignment="1">
      <alignment horizontal="right"/>
    </xf>
    <xf numFmtId="182" fontId="59" fillId="2" borderId="0" xfId="0" applyNumberFormat="1" applyFont="1" applyFill="1" applyAlignment="1">
      <alignment horizontal="right"/>
    </xf>
    <xf numFmtId="4" fontId="0" fillId="2" borderId="16" xfId="0" applyNumberFormat="1" applyFill="1" applyBorder="1"/>
    <xf numFmtId="4" fontId="0" fillId="2" borderId="16" xfId="0" applyNumberFormat="1" applyFill="1" applyBorder="1" applyAlignment="1">
      <alignment horizontal="right"/>
    </xf>
    <xf numFmtId="3" fontId="0" fillId="2" borderId="16" xfId="6" applyNumberFormat="1" applyFont="1" applyFill="1" applyBorder="1" applyAlignment="1">
      <alignment horizontal="right"/>
    </xf>
    <xf numFmtId="182" fontId="59" fillId="2" borderId="16" xfId="0" applyNumberFormat="1" applyFont="1" applyFill="1" applyBorder="1" applyAlignment="1">
      <alignment horizontal="right"/>
    </xf>
    <xf numFmtId="4" fontId="33" fillId="2" borderId="0" xfId="4" applyNumberFormat="1" applyFont="1" applyFill="1" applyAlignment="1">
      <alignment horizontal="left" vertical="center"/>
    </xf>
    <xf numFmtId="4" fontId="21" fillId="2" borderId="0" xfId="0" applyNumberFormat="1" applyFont="1" applyFill="1"/>
    <xf numFmtId="4" fontId="21" fillId="2" borderId="0" xfId="0" applyNumberFormat="1" applyFont="1" applyFill="1" applyAlignment="1">
      <alignment horizontal="right"/>
    </xf>
    <xf numFmtId="3" fontId="21" fillId="2" borderId="0" xfId="0" applyNumberFormat="1" applyFont="1" applyFill="1" applyAlignment="1">
      <alignment horizontal="right"/>
    </xf>
    <xf numFmtId="182" fontId="21" fillId="2" borderId="0" xfId="0" applyNumberFormat="1" applyFont="1" applyFill="1" applyAlignment="1">
      <alignment horizontal="right"/>
    </xf>
    <xf numFmtId="4" fontId="11" fillId="2" borderId="0" xfId="0" applyNumberFormat="1" applyFont="1" applyFill="1"/>
    <xf numFmtId="4" fontId="11" fillId="2" borderId="0" xfId="0" applyNumberFormat="1" applyFont="1" applyFill="1" applyAlignment="1">
      <alignment horizontal="right"/>
    </xf>
    <xf numFmtId="3" fontId="11" fillId="2" borderId="0" xfId="0" applyNumberFormat="1" applyFont="1" applyFill="1" applyAlignment="1">
      <alignment horizontal="right"/>
    </xf>
    <xf numFmtId="182" fontId="11" fillId="2" borderId="0" xfId="0" applyNumberFormat="1" applyFont="1" applyFill="1" applyAlignment="1">
      <alignment horizontal="right"/>
    </xf>
    <xf numFmtId="182" fontId="11" fillId="2" borderId="0" xfId="0" applyNumberFormat="1" applyFont="1" applyFill="1"/>
    <xf numFmtId="4" fontId="11" fillId="2" borderId="16" xfId="0" applyNumberFormat="1" applyFont="1" applyFill="1" applyBorder="1"/>
    <xf numFmtId="4" fontId="11" fillId="2" borderId="16" xfId="0" applyNumberFormat="1" applyFont="1" applyFill="1" applyBorder="1" applyAlignment="1">
      <alignment horizontal="right"/>
    </xf>
    <xf numFmtId="3" fontId="11" fillId="2" borderId="16" xfId="6" applyNumberFormat="1" applyFont="1" applyFill="1" applyBorder="1" applyAlignment="1">
      <alignment horizontal="right"/>
    </xf>
    <xf numFmtId="182" fontId="13" fillId="2" borderId="16" xfId="0" applyNumberFormat="1" applyFont="1" applyFill="1" applyBorder="1" applyAlignment="1">
      <alignment horizontal="right"/>
    </xf>
    <xf numFmtId="3" fontId="11" fillId="2" borderId="0" xfId="6" applyNumberFormat="1" applyFont="1" applyFill="1" applyAlignment="1">
      <alignment horizontal="right"/>
    </xf>
    <xf numFmtId="182" fontId="13" fillId="2" borderId="0" xfId="0" applyNumberFormat="1" applyFont="1" applyFill="1" applyAlignment="1">
      <alignment horizontal="right"/>
    </xf>
    <xf numFmtId="4" fontId="9" fillId="2" borderId="0" xfId="4" applyNumberFormat="1" applyFont="1" applyFill="1"/>
    <xf numFmtId="4" fontId="11" fillId="2" borderId="0" xfId="4" applyNumberFormat="1" applyFont="1" applyFill="1" applyAlignment="1">
      <alignment horizontal="right"/>
    </xf>
    <xf numFmtId="182" fontId="13" fillId="2" borderId="0" xfId="4" applyNumberFormat="1" applyFont="1" applyFill="1" applyAlignment="1">
      <alignment horizontal="right"/>
    </xf>
    <xf numFmtId="4" fontId="10" fillId="2" borderId="0" xfId="4" applyNumberFormat="1" applyFont="1" applyFill="1" applyAlignment="1">
      <alignment horizontal="left"/>
    </xf>
    <xf numFmtId="4" fontId="40" fillId="2" borderId="0" xfId="4" applyNumberFormat="1" applyFont="1" applyFill="1" applyAlignment="1">
      <alignment vertical="center"/>
    </xf>
    <xf numFmtId="4" fontId="16" fillId="2" borderId="0" xfId="4" applyNumberFormat="1" applyFont="1" applyFill="1" applyAlignment="1">
      <alignment horizontal="left" vertical="center"/>
    </xf>
    <xf numFmtId="4" fontId="21" fillId="2" borderId="0" xfId="4" applyNumberFormat="1" applyFont="1" applyFill="1" applyAlignment="1">
      <alignment horizontal="right" vertical="center"/>
    </xf>
    <xf numFmtId="3" fontId="21" fillId="2" borderId="0" xfId="6" applyNumberFormat="1" applyFont="1" applyFill="1" applyAlignment="1">
      <alignment horizontal="right" vertical="center"/>
    </xf>
    <xf numFmtId="182" fontId="48" fillId="2" borderId="0" xfId="4" applyNumberFormat="1" applyFont="1" applyFill="1" applyAlignment="1">
      <alignment horizontal="right" vertical="center"/>
    </xf>
    <xf numFmtId="4" fontId="18" fillId="2" borderId="0" xfId="0" applyNumberFormat="1" applyFont="1" applyFill="1" applyAlignment="1">
      <alignment horizontal="left"/>
    </xf>
    <xf numFmtId="4" fontId="42" fillId="2" borderId="0" xfId="4" applyNumberFormat="1" applyFont="1" applyFill="1" applyAlignment="1">
      <alignment vertical="center"/>
    </xf>
    <xf numFmtId="4" fontId="19" fillId="2" borderId="0" xfId="4" applyNumberFormat="1" applyFont="1" applyFill="1" applyAlignment="1">
      <alignment horizontal="left" vertical="center"/>
    </xf>
    <xf numFmtId="182" fontId="39" fillId="2" borderId="0" xfId="4" applyNumberFormat="1" applyFont="1" applyFill="1" applyAlignment="1">
      <alignment horizontal="right" vertical="center"/>
    </xf>
    <xf numFmtId="4" fontId="11" fillId="2" borderId="0" xfId="4" applyNumberFormat="1" applyFont="1" applyFill="1" applyAlignment="1">
      <alignment horizontal="right" vertical="center"/>
    </xf>
    <xf numFmtId="3" fontId="11" fillId="2" borderId="0" xfId="6" applyNumberFormat="1" applyFont="1" applyFill="1" applyAlignment="1">
      <alignment horizontal="right" vertical="center"/>
    </xf>
    <xf numFmtId="182" fontId="13" fillId="2" borderId="0" xfId="4" applyNumberFormat="1" applyFont="1" applyFill="1" applyAlignment="1">
      <alignment horizontal="right" vertical="center"/>
    </xf>
    <xf numFmtId="4" fontId="31" fillId="2" borderId="0" xfId="4" applyNumberFormat="1" applyFont="1" applyFill="1" applyAlignment="1">
      <alignment horizontal="left" vertical="center"/>
    </xf>
    <xf numFmtId="4" fontId="31" fillId="2" borderId="0" xfId="4" applyNumberFormat="1" applyFont="1" applyFill="1" applyAlignment="1">
      <alignment horizontal="right" vertical="center"/>
    </xf>
    <xf numFmtId="4" fontId="35" fillId="2" borderId="0" xfId="4" applyNumberFormat="1" applyFont="1" applyFill="1" applyAlignment="1">
      <alignment horizontal="left" vertical="center"/>
    </xf>
    <xf numFmtId="4" fontId="35" fillId="2" borderId="0" xfId="4" applyNumberFormat="1" applyFont="1" applyFill="1" applyAlignment="1">
      <alignment horizontal="centerContinuous" vertical="center"/>
    </xf>
    <xf numFmtId="4" fontId="33" fillId="2" borderId="0" xfId="4" applyNumberFormat="1" applyFont="1" applyFill="1" applyAlignment="1">
      <alignment vertical="center"/>
    </xf>
    <xf numFmtId="4" fontId="35" fillId="2" borderId="0" xfId="4" applyNumberFormat="1" applyFont="1" applyFill="1" applyAlignment="1">
      <alignment vertical="center"/>
    </xf>
    <xf numFmtId="4" fontId="33" fillId="2" borderId="0" xfId="4" applyNumberFormat="1" applyFont="1" applyFill="1" applyAlignment="1">
      <alignment horizontal="right" vertical="center"/>
    </xf>
    <xf numFmtId="3" fontId="33" fillId="2" borderId="0" xfId="6" applyNumberFormat="1" applyFont="1" applyFill="1" applyAlignment="1">
      <alignment horizontal="right" vertical="center"/>
    </xf>
    <xf numFmtId="182" fontId="37" fillId="2" borderId="0" xfId="4" applyNumberFormat="1" applyFont="1" applyFill="1" applyAlignment="1">
      <alignment horizontal="right" vertical="center"/>
    </xf>
    <xf numFmtId="4" fontId="25" fillId="2" borderId="0" xfId="4" applyNumberFormat="1" applyFill="1"/>
    <xf numFmtId="3" fontId="21" fillId="2" borderId="0" xfId="0" applyNumberFormat="1" applyFont="1" applyFill="1" applyAlignment="1">
      <alignment horizontal="left"/>
    </xf>
    <xf numFmtId="3" fontId="21" fillId="2" borderId="0" xfId="6" applyNumberFormat="1" applyFont="1" applyFill="1" applyAlignment="1">
      <alignment horizontal="right"/>
    </xf>
    <xf numFmtId="182" fontId="39" fillId="2" borderId="0" xfId="0" applyNumberFormat="1" applyFont="1" applyFill="1" applyAlignment="1">
      <alignment horizontal="right"/>
    </xf>
    <xf numFmtId="3" fontId="11" fillId="2" borderId="16" xfId="0" applyNumberFormat="1" applyFont="1" applyFill="1" applyBorder="1" applyAlignment="1">
      <alignment horizontal="right"/>
    </xf>
    <xf numFmtId="182" fontId="11" fillId="2" borderId="16" xfId="0" applyNumberFormat="1" applyFont="1" applyFill="1" applyBorder="1" applyAlignment="1">
      <alignment horizontal="right"/>
    </xf>
    <xf numFmtId="4" fontId="32" fillId="2" borderId="0" xfId="4" applyNumberFormat="1" applyFont="1" applyFill="1" applyAlignment="1">
      <alignment horizontal="right"/>
    </xf>
    <xf numFmtId="4" fontId="11" fillId="2" borderId="0" xfId="4" applyNumberFormat="1" applyFont="1" applyFill="1" applyAlignment="1">
      <alignment horizontal="left" vertical="center"/>
    </xf>
    <xf numFmtId="4" fontId="11" fillId="2" borderId="0" xfId="4" applyNumberFormat="1" applyFont="1" applyFill="1"/>
    <xf numFmtId="4" fontId="11" fillId="2" borderId="0" xfId="4" applyNumberFormat="1" applyFont="1" applyFill="1" applyAlignment="1">
      <alignment vertical="center"/>
    </xf>
    <xf numFmtId="4" fontId="29" fillId="2" borderId="0" xfId="4" applyNumberFormat="1" applyFont="1" applyFill="1"/>
    <xf numFmtId="4" fontId="41" fillId="2" borderId="0" xfId="4" applyNumberFormat="1" applyFont="1" applyFill="1" applyAlignment="1">
      <alignment horizontal="right" vertical="center"/>
    </xf>
    <xf numFmtId="3" fontId="41" fillId="2" borderId="0" xfId="6" applyNumberFormat="1" applyFont="1" applyFill="1" applyAlignment="1">
      <alignment horizontal="right" vertical="center"/>
    </xf>
    <xf numFmtId="4" fontId="43" fillId="2" borderId="0" xfId="4" applyNumberFormat="1" applyFont="1" applyFill="1"/>
    <xf numFmtId="4" fontId="13" fillId="2" borderId="0" xfId="0" applyNumberFormat="1" applyFont="1" applyFill="1"/>
    <xf numFmtId="4" fontId="11" fillId="4" borderId="0" xfId="4" applyNumberFormat="1" applyFont="1" applyFill="1"/>
    <xf numFmtId="4" fontId="47" fillId="2" borderId="0" xfId="4" applyNumberFormat="1" applyFont="1" applyFill="1" applyAlignment="1">
      <alignment horizontal="right"/>
    </xf>
    <xf numFmtId="4" fontId="24" fillId="2" borderId="0" xfId="4" applyNumberFormat="1" applyFont="1" applyFill="1"/>
    <xf numFmtId="4" fontId="11" fillId="4" borderId="0" xfId="4" applyNumberFormat="1" applyFont="1" applyFill="1" applyAlignment="1">
      <alignment horizontal="left"/>
    </xf>
    <xf numFmtId="4" fontId="24" fillId="2" borderId="0" xfId="4" applyNumberFormat="1" applyFont="1" applyFill="1" applyAlignment="1">
      <alignment vertical="center"/>
    </xf>
    <xf numFmtId="4" fontId="46" fillId="2" borderId="0" xfId="4" applyNumberFormat="1" applyFont="1" applyFill="1" applyAlignment="1">
      <alignment horizontal="right"/>
    </xf>
    <xf numFmtId="4" fontId="11" fillId="4" borderId="0" xfId="4" applyNumberFormat="1" applyFont="1" applyFill="1" applyAlignment="1">
      <alignment horizontal="left" vertical="center"/>
    </xf>
    <xf numFmtId="166" fontId="27" fillId="4" borderId="0" xfId="4" applyNumberFormat="1" applyFont="1" applyFill="1" applyAlignment="1">
      <alignment horizontal="right" vertical="center"/>
    </xf>
    <xf numFmtId="165" fontId="10" fillId="4" borderId="0" xfId="4" applyFont="1" applyFill="1" applyAlignment="1">
      <alignment horizontal="right"/>
    </xf>
    <xf numFmtId="165" fontId="56" fillId="4" borderId="0" xfId="8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165" fontId="12" fillId="4" borderId="18" xfId="4" applyFont="1" applyFill="1" applyBorder="1" applyAlignment="1">
      <alignment horizontal="left" vertical="center"/>
    </xf>
    <xf numFmtId="165" fontId="9" fillId="4" borderId="18" xfId="4" applyFont="1" applyFill="1" applyBorder="1" applyAlignment="1">
      <alignment horizontal="left" vertical="center"/>
    </xf>
    <xf numFmtId="165" fontId="12" fillId="4" borderId="18" xfId="4" applyFont="1" applyFill="1" applyBorder="1" applyAlignment="1">
      <alignment vertical="center"/>
    </xf>
    <xf numFmtId="2" fontId="12" fillId="4" borderId="18" xfId="4" applyNumberFormat="1" applyFont="1" applyFill="1" applyBorder="1" applyAlignment="1">
      <alignment vertical="center"/>
    </xf>
    <xf numFmtId="166" fontId="12" fillId="4" borderId="18" xfId="4" applyNumberFormat="1" applyFont="1" applyFill="1" applyBorder="1" applyAlignment="1">
      <alignment horizontal="right" vertical="center"/>
    </xf>
    <xf numFmtId="3" fontId="12" fillId="4" borderId="18" xfId="4" applyNumberFormat="1" applyFont="1" applyFill="1" applyBorder="1" applyAlignment="1">
      <alignment vertical="center"/>
    </xf>
    <xf numFmtId="173" fontId="12" fillId="4" borderId="18" xfId="4" applyNumberFormat="1" applyFont="1" applyFill="1" applyBorder="1" applyAlignment="1">
      <alignment vertical="center"/>
    </xf>
    <xf numFmtId="2" fontId="23" fillId="4" borderId="18" xfId="4" applyNumberFormat="1" applyFont="1" applyFill="1" applyBorder="1" applyAlignment="1">
      <alignment vertical="center"/>
    </xf>
    <xf numFmtId="166" fontId="12" fillId="4" borderId="0" xfId="4" applyNumberFormat="1" applyFont="1" applyFill="1" applyAlignment="1">
      <alignment horizontal="right" vertical="center"/>
    </xf>
    <xf numFmtId="165" fontId="11" fillId="4" borderId="18" xfId="4" applyFont="1" applyFill="1" applyBorder="1" applyAlignment="1">
      <alignment horizontal="left" vertical="center"/>
    </xf>
    <xf numFmtId="165" fontId="11" fillId="4" borderId="18" xfId="4" applyFont="1" applyFill="1" applyBorder="1" applyAlignment="1">
      <alignment vertical="center"/>
    </xf>
    <xf numFmtId="2" fontId="11" fillId="4" borderId="18" xfId="4" applyNumberFormat="1" applyFont="1" applyFill="1" applyBorder="1" applyAlignment="1">
      <alignment vertical="center"/>
    </xf>
    <xf numFmtId="166" fontId="11" fillId="4" borderId="18" xfId="4" applyNumberFormat="1" applyFont="1" applyFill="1" applyBorder="1" applyAlignment="1">
      <alignment horizontal="right" vertical="center"/>
    </xf>
    <xf numFmtId="3" fontId="11" fillId="4" borderId="18" xfId="4" applyNumberFormat="1" applyFont="1" applyFill="1" applyBorder="1" applyAlignment="1">
      <alignment horizontal="right" vertical="center"/>
    </xf>
    <xf numFmtId="173" fontId="11" fillId="4" borderId="18" xfId="4" applyNumberFormat="1" applyFont="1" applyFill="1" applyBorder="1" applyAlignment="1">
      <alignment horizontal="right" vertical="center"/>
    </xf>
    <xf numFmtId="2" fontId="13" fillId="4" borderId="18" xfId="4" applyNumberFormat="1" applyFont="1" applyFill="1" applyBorder="1" applyAlignment="1">
      <alignment vertical="center"/>
    </xf>
    <xf numFmtId="165" fontId="9" fillId="4" borderId="18" xfId="4" applyFont="1" applyFill="1" applyBorder="1"/>
    <xf numFmtId="3" fontId="11" fillId="4" borderId="18" xfId="4" applyNumberFormat="1" applyFont="1" applyFill="1" applyBorder="1" applyAlignment="1">
      <alignment vertical="center"/>
    </xf>
    <xf numFmtId="173" fontId="11" fillId="4" borderId="18" xfId="4" applyNumberFormat="1" applyFont="1" applyFill="1" applyBorder="1" applyAlignment="1">
      <alignment vertical="center"/>
    </xf>
    <xf numFmtId="165" fontId="13" fillId="4" borderId="18" xfId="4" applyFont="1" applyFill="1" applyBorder="1" applyAlignment="1">
      <alignment vertical="center"/>
    </xf>
    <xf numFmtId="166" fontId="33" fillId="4" borderId="0" xfId="4" applyNumberFormat="1" applyFont="1" applyFill="1" applyAlignment="1">
      <alignment horizontal="right" vertical="center"/>
    </xf>
    <xf numFmtId="166" fontId="21" fillId="4" borderId="0" xfId="4" applyNumberFormat="1" applyFont="1" applyFill="1" applyAlignment="1">
      <alignment horizontal="right"/>
    </xf>
    <xf numFmtId="2" fontId="12" fillId="4" borderId="18" xfId="4" applyNumberFormat="1" applyFont="1" applyFill="1" applyBorder="1"/>
    <xf numFmtId="165" fontId="12" fillId="4" borderId="18" xfId="4" applyFont="1" applyFill="1" applyBorder="1" applyAlignment="1">
      <alignment vertical="top"/>
    </xf>
    <xf numFmtId="166" fontId="11" fillId="4" borderId="18" xfId="4" applyNumberFormat="1" applyFont="1" applyFill="1" applyBorder="1" applyAlignment="1">
      <alignment horizontal="right"/>
    </xf>
    <xf numFmtId="3" fontId="11" fillId="4" borderId="18" xfId="4" applyNumberFormat="1" applyFont="1" applyFill="1" applyBorder="1" applyAlignment="1">
      <alignment horizontal="right"/>
    </xf>
    <xf numFmtId="173" fontId="11" fillId="4" borderId="18" xfId="4" applyNumberFormat="1" applyFont="1" applyFill="1" applyBorder="1" applyAlignment="1">
      <alignment horizontal="right"/>
    </xf>
    <xf numFmtId="169" fontId="13" fillId="4" borderId="18" xfId="4" applyNumberFormat="1" applyFont="1" applyFill="1" applyBorder="1" applyAlignment="1">
      <alignment horizontal="right"/>
    </xf>
    <xf numFmtId="2" fontId="11" fillId="4" borderId="18" xfId="4" applyNumberFormat="1" applyFont="1" applyFill="1" applyBorder="1" applyAlignment="1">
      <alignment horizontal="left" vertical="center"/>
    </xf>
    <xf numFmtId="3" fontId="11" fillId="4" borderId="18" xfId="4" applyNumberFormat="1" applyFont="1" applyFill="1" applyBorder="1"/>
    <xf numFmtId="173" fontId="11" fillId="4" borderId="18" xfId="4" applyNumberFormat="1" applyFont="1" applyFill="1" applyBorder="1"/>
    <xf numFmtId="169" fontId="13" fillId="4" borderId="18" xfId="4" applyNumberFormat="1" applyFont="1" applyFill="1" applyBorder="1"/>
    <xf numFmtId="165" fontId="24" fillId="4" borderId="19" xfId="4" applyFont="1" applyFill="1" applyBorder="1" applyAlignment="1">
      <alignment vertical="center"/>
    </xf>
    <xf numFmtId="165" fontId="12" fillId="4" borderId="19" xfId="4" applyFont="1" applyFill="1" applyBorder="1" applyAlignment="1">
      <alignment horizontal="left" vertical="center"/>
    </xf>
    <xf numFmtId="165" fontId="12" fillId="4" borderId="19" xfId="4" applyFont="1" applyFill="1" applyBorder="1" applyAlignment="1">
      <alignment horizontal="left" vertical="top"/>
    </xf>
    <xf numFmtId="165" fontId="12" fillId="4" borderId="19" xfId="4" applyFont="1" applyFill="1" applyBorder="1"/>
    <xf numFmtId="173" fontId="11" fillId="4" borderId="19" xfId="4" applyNumberFormat="1" applyFont="1" applyFill="1" applyBorder="1" applyAlignment="1">
      <alignment horizontal="right"/>
    </xf>
    <xf numFmtId="166" fontId="41" fillId="4" borderId="0" xfId="4" applyNumberFormat="1" applyFont="1" applyFill="1" applyAlignment="1">
      <alignment horizontal="right" vertical="center"/>
    </xf>
    <xf numFmtId="165" fontId="12" fillId="4" borderId="18" xfId="4" applyFont="1" applyFill="1" applyBorder="1" applyAlignment="1">
      <alignment horizontal="left" vertical="top"/>
    </xf>
    <xf numFmtId="165" fontId="12" fillId="4" borderId="18" xfId="4" applyFont="1" applyFill="1" applyBorder="1"/>
    <xf numFmtId="165" fontId="24" fillId="4" borderId="18" xfId="4" applyFont="1" applyFill="1" applyBorder="1" applyAlignment="1">
      <alignment horizontal="left" vertical="top"/>
    </xf>
    <xf numFmtId="165" fontId="24" fillId="4" borderId="18" xfId="4" applyFont="1" applyFill="1" applyBorder="1" applyAlignment="1">
      <alignment vertical="center"/>
    </xf>
    <xf numFmtId="166" fontId="12" fillId="4" borderId="18" xfId="4" applyNumberFormat="1" applyFont="1" applyFill="1" applyBorder="1" applyAlignment="1">
      <alignment horizontal="right"/>
    </xf>
    <xf numFmtId="3" fontId="12" fillId="4" borderId="18" xfId="4" applyNumberFormat="1" applyFont="1" applyFill="1" applyBorder="1" applyAlignment="1">
      <alignment horizontal="right"/>
    </xf>
    <xf numFmtId="173" fontId="12" fillId="4" borderId="18" xfId="4" applyNumberFormat="1" applyFont="1" applyFill="1" applyBorder="1" applyAlignment="1">
      <alignment horizontal="right"/>
    </xf>
    <xf numFmtId="169" fontId="23" fillId="4" borderId="18" xfId="4" applyNumberFormat="1" applyFont="1" applyFill="1" applyBorder="1" applyAlignment="1">
      <alignment horizontal="right"/>
    </xf>
    <xf numFmtId="165" fontId="10" fillId="4" borderId="18" xfId="4" applyFont="1" applyFill="1" applyBorder="1" applyAlignment="1">
      <alignment horizontal="left"/>
    </xf>
    <xf numFmtId="169" fontId="13" fillId="4" borderId="18" xfId="4" applyNumberFormat="1" applyFont="1" applyFill="1" applyBorder="1" applyAlignment="1">
      <alignment horizontal="right" vertical="center"/>
    </xf>
    <xf numFmtId="2" fontId="12" fillId="4" borderId="18" xfId="4" applyNumberFormat="1" applyFont="1" applyFill="1" applyBorder="1" applyAlignment="1">
      <alignment horizontal="left" vertical="center"/>
    </xf>
    <xf numFmtId="3" fontId="12" fillId="4" borderId="18" xfId="4" applyNumberFormat="1" applyFont="1" applyFill="1" applyBorder="1" applyAlignment="1">
      <alignment horizontal="right" vertical="center"/>
    </xf>
    <xf numFmtId="173" fontId="12" fillId="4" borderId="18" xfId="4" applyNumberFormat="1" applyFont="1" applyFill="1" applyBorder="1" applyAlignment="1">
      <alignment horizontal="right" vertical="center"/>
    </xf>
    <xf numFmtId="169" fontId="23" fillId="4" borderId="18" xfId="4" applyNumberFormat="1" applyFont="1" applyFill="1" applyBorder="1" applyAlignment="1">
      <alignment horizontal="right" vertical="center"/>
    </xf>
    <xf numFmtId="169" fontId="23" fillId="4" borderId="18" xfId="4" applyNumberFormat="1" applyFont="1" applyFill="1" applyBorder="1" applyAlignment="1">
      <alignment vertical="center"/>
    </xf>
    <xf numFmtId="167" fontId="11" fillId="4" borderId="18" xfId="4" applyNumberFormat="1" applyFont="1" applyFill="1" applyBorder="1" applyAlignment="1">
      <alignment horizontal="right" vertical="center"/>
    </xf>
    <xf numFmtId="166" fontId="20" fillId="4" borderId="0" xfId="4" applyNumberFormat="1" applyFont="1" applyFill="1" applyAlignment="1">
      <alignment horizontal="right" vertical="center"/>
    </xf>
    <xf numFmtId="2" fontId="11" fillId="4" borderId="18" xfId="4" applyNumberFormat="1" applyFont="1" applyFill="1" applyBorder="1" applyAlignment="1">
      <alignment horizontal="right" vertical="center"/>
    </xf>
    <xf numFmtId="166" fontId="24" fillId="4" borderId="0" xfId="4" applyNumberFormat="1" applyFont="1" applyFill="1" applyAlignment="1">
      <alignment horizontal="right" vertical="center"/>
    </xf>
    <xf numFmtId="172" fontId="11" fillId="4" borderId="18" xfId="4" applyNumberFormat="1" applyFont="1" applyFill="1" applyBorder="1" applyAlignment="1">
      <alignment horizontal="right" vertical="center"/>
    </xf>
    <xf numFmtId="165" fontId="23" fillId="4" borderId="18" xfId="4" applyFont="1" applyFill="1" applyBorder="1" applyAlignment="1">
      <alignment vertical="center"/>
    </xf>
    <xf numFmtId="3" fontId="11" fillId="4" borderId="19" xfId="4" applyNumberFormat="1" applyFont="1" applyFill="1" applyBorder="1" applyAlignment="1">
      <alignment vertical="center"/>
    </xf>
    <xf numFmtId="167" fontId="11" fillId="4" borderId="18" xfId="4" applyNumberFormat="1" applyFont="1" applyFill="1" applyBorder="1" applyAlignment="1">
      <alignment vertical="center"/>
    </xf>
    <xf numFmtId="169" fontId="11" fillId="4" borderId="18" xfId="4" applyNumberFormat="1" applyFont="1" applyFill="1" applyBorder="1" applyAlignment="1">
      <alignment horizontal="left" vertical="center"/>
    </xf>
    <xf numFmtId="183" fontId="27" fillId="4" borderId="0" xfId="1" applyNumberFormat="1" applyFont="1" applyFill="1" applyAlignment="1">
      <alignment horizontal="left" vertical="center"/>
    </xf>
    <xf numFmtId="169" fontId="57" fillId="4" borderId="0" xfId="4" applyNumberFormat="1" applyFont="1" applyFill="1" applyAlignment="1">
      <alignment horizontal="right"/>
    </xf>
    <xf numFmtId="169" fontId="30" fillId="4" borderId="0" xfId="4" applyNumberFormat="1" applyFont="1" applyFill="1" applyAlignment="1">
      <alignment horizontal="left" vertical="center"/>
    </xf>
    <xf numFmtId="183" fontId="12" fillId="4" borderId="15" xfId="1" applyNumberFormat="1" applyFont="1" applyFill="1" applyBorder="1" applyAlignment="1">
      <alignment vertical="center"/>
    </xf>
    <xf numFmtId="183" fontId="12" fillId="4" borderId="0" xfId="1" applyNumberFormat="1" applyFont="1" applyFill="1" applyAlignment="1">
      <alignment vertical="center"/>
    </xf>
    <xf numFmtId="183" fontId="17" fillId="4" borderId="0" xfId="1" applyNumberFormat="1" applyFont="1" applyFill="1" applyAlignment="1">
      <alignment horizontal="right" vertical="center"/>
    </xf>
    <xf numFmtId="183" fontId="11" fillId="4" borderId="15" xfId="1" applyNumberFormat="1" applyFont="1" applyFill="1" applyBorder="1" applyAlignment="1">
      <alignment horizontal="right" vertical="center"/>
    </xf>
    <xf numFmtId="169" fontId="13" fillId="4" borderId="15" xfId="4" applyNumberFormat="1" applyFont="1" applyFill="1" applyBorder="1" applyAlignment="1">
      <alignment vertical="center"/>
    </xf>
    <xf numFmtId="183" fontId="0" fillId="0" borderId="0" xfId="1" applyNumberFormat="1" applyFont="1"/>
    <xf numFmtId="169" fontId="59" fillId="0" borderId="0" xfId="0" applyNumberFormat="1" applyFont="1"/>
    <xf numFmtId="183" fontId="58" fillId="0" borderId="0" xfId="1" applyNumberFormat="1" applyFont="1"/>
    <xf numFmtId="0" fontId="0" fillId="0" borderId="16" xfId="0" applyBorder="1"/>
    <xf numFmtId="183" fontId="0" fillId="0" borderId="16" xfId="1" applyNumberFormat="1" applyFont="1" applyBorder="1"/>
    <xf numFmtId="169" fontId="59" fillId="0" borderId="16" xfId="0" applyNumberFormat="1" applyFont="1" applyBorder="1"/>
    <xf numFmtId="0" fontId="21" fillId="0" borderId="0" xfId="0" applyFont="1"/>
    <xf numFmtId="2" fontId="21" fillId="0" borderId="0" xfId="0" applyNumberFormat="1" applyFont="1"/>
    <xf numFmtId="183" fontId="21" fillId="0" borderId="0" xfId="1" applyNumberFormat="1" applyFont="1"/>
    <xf numFmtId="169" fontId="39" fillId="0" borderId="0" xfId="0" applyNumberFormat="1" applyFont="1"/>
    <xf numFmtId="0" fontId="11" fillId="0" borderId="0" xfId="0" applyFont="1"/>
    <xf numFmtId="2" fontId="11" fillId="0" borderId="0" xfId="0" applyNumberFormat="1" applyFont="1"/>
    <xf numFmtId="183" fontId="11" fillId="0" borderId="0" xfId="1" applyNumberFormat="1" applyFont="1"/>
    <xf numFmtId="169" fontId="13" fillId="0" borderId="0" xfId="0" applyNumberFormat="1" applyFont="1"/>
    <xf numFmtId="0" fontId="11" fillId="0" borderId="16" xfId="0" applyFont="1" applyBorder="1"/>
    <xf numFmtId="2" fontId="11" fillId="0" borderId="16" xfId="0" applyNumberFormat="1" applyFont="1" applyBorder="1"/>
    <xf numFmtId="183" fontId="11" fillId="0" borderId="16" xfId="1" applyNumberFormat="1" applyFont="1" applyBorder="1"/>
    <xf numFmtId="169" fontId="13" fillId="0" borderId="16" xfId="0" applyNumberFormat="1" applyFont="1" applyBorder="1"/>
    <xf numFmtId="2" fontId="0" fillId="0" borderId="0" xfId="0" applyNumberFormat="1"/>
    <xf numFmtId="183" fontId="11" fillId="4" borderId="0" xfId="1" applyNumberFormat="1" applyFont="1" applyFill="1"/>
    <xf numFmtId="183" fontId="21" fillId="4" borderId="0" xfId="1" applyNumberFormat="1" applyFont="1" applyFill="1" applyBorder="1" applyAlignment="1">
      <alignment horizontal="left" vertical="center"/>
    </xf>
    <xf numFmtId="169" fontId="48" fillId="4" borderId="0" xfId="4" applyNumberFormat="1" applyFont="1" applyFill="1" applyAlignment="1">
      <alignment horizontal="right" vertical="center"/>
    </xf>
    <xf numFmtId="169" fontId="39" fillId="4" borderId="0" xfId="4" applyNumberFormat="1" applyFont="1" applyFill="1" applyAlignment="1">
      <alignment horizontal="left" vertical="center"/>
    </xf>
    <xf numFmtId="183" fontId="11" fillId="4" borderId="15" xfId="1" applyNumberFormat="1" applyFont="1" applyFill="1" applyBorder="1" applyAlignment="1">
      <alignment vertical="center"/>
    </xf>
    <xf numFmtId="183" fontId="11" fillId="4" borderId="0" xfId="1" applyNumberFormat="1" applyFont="1" applyFill="1" applyAlignment="1">
      <alignment vertical="center"/>
    </xf>
    <xf numFmtId="2" fontId="17" fillId="4" borderId="0" xfId="4" applyNumberFormat="1" applyFont="1" applyFill="1" applyAlignment="1">
      <alignment horizontal="right" vertical="center"/>
    </xf>
    <xf numFmtId="2" fontId="17" fillId="4" borderId="0" xfId="4" quotePrefix="1" applyNumberFormat="1" applyFont="1" applyFill="1" applyAlignment="1">
      <alignment horizontal="right" vertical="center"/>
    </xf>
    <xf numFmtId="2" fontId="33" fillId="4" borderId="0" xfId="4" applyNumberFormat="1" applyFont="1" applyFill="1" applyAlignment="1">
      <alignment vertical="center"/>
    </xf>
    <xf numFmtId="183" fontId="33" fillId="4" borderId="0" xfId="1" applyNumberFormat="1" applyFont="1" applyFill="1" applyAlignment="1">
      <alignment vertical="center"/>
    </xf>
    <xf numFmtId="169" fontId="37" fillId="4" borderId="0" xfId="4" applyNumberFormat="1" applyFont="1" applyFill="1" applyAlignment="1">
      <alignment vertical="center"/>
    </xf>
    <xf numFmtId="2" fontId="11" fillId="0" borderId="0" xfId="0" applyNumberFormat="1" applyFont="1" applyAlignment="1">
      <alignment horizontal="right"/>
    </xf>
    <xf numFmtId="183" fontId="11" fillId="0" borderId="0" xfId="1" applyNumberFormat="1" applyFont="1" applyAlignment="1">
      <alignment horizontal="right"/>
    </xf>
    <xf numFmtId="169" fontId="13" fillId="0" borderId="0" xfId="0" applyNumberFormat="1" applyFont="1" applyAlignment="1">
      <alignment horizontal="right"/>
    </xf>
    <xf numFmtId="2" fontId="41" fillId="4" borderId="0" xfId="4" applyNumberFormat="1" applyFont="1" applyFill="1" applyAlignment="1">
      <alignment horizontal="left" vertical="center"/>
    </xf>
    <xf numFmtId="183" fontId="41" fillId="4" borderId="0" xfId="1" applyNumberFormat="1" applyFont="1" applyFill="1" applyAlignment="1">
      <alignment horizontal="left" vertical="center"/>
    </xf>
    <xf numFmtId="169" fontId="48" fillId="4" borderId="0" xfId="4" applyNumberFormat="1" applyFont="1" applyFill="1" applyAlignment="1">
      <alignment horizontal="left" vertical="center"/>
    </xf>
    <xf numFmtId="183" fontId="11" fillId="4" borderId="0" xfId="1" applyNumberFormat="1" applyFont="1" applyFill="1" applyAlignment="1">
      <alignment horizontal="right" vertical="center"/>
    </xf>
    <xf numFmtId="0" fontId="60" fillId="0" borderId="0" xfId="0" applyFont="1"/>
    <xf numFmtId="183" fontId="11" fillId="0" borderId="0" xfId="1" applyNumberFormat="1" applyFont="1" applyBorder="1"/>
    <xf numFmtId="183" fontId="11" fillId="0" borderId="0" xfId="1" applyNumberFormat="1" applyFont="1" applyAlignment="1"/>
    <xf numFmtId="0" fontId="11" fillId="0" borderId="0" xfId="0" applyFont="1" applyAlignment="1">
      <alignment horizontal="right"/>
    </xf>
  </cellXfs>
  <cellStyles count="9">
    <cellStyle name="Comma" xfId="1" builtinId="3"/>
    <cellStyle name="Comma 3" xfId="5" xr:uid="{A48E56E7-46E9-4677-9533-523B10E018D8}"/>
    <cellStyle name="Comma 4" xfId="6" xr:uid="{0051C510-7502-46FB-8562-FAF75545575C}"/>
    <cellStyle name="Hyperlink" xfId="2" builtinId="8"/>
    <cellStyle name="Hyperlink 2 2" xfId="8" xr:uid="{3F1BAA8E-1854-4673-8AA4-B5CE561C849A}"/>
    <cellStyle name="Hyperlink 2 2 3" xfId="7" xr:uid="{9882C9ED-14F0-408C-9FD6-B15E9B1E8B49}"/>
    <cellStyle name="Normal" xfId="0" builtinId="0"/>
    <cellStyle name="Normal 2" xfId="3" xr:uid="{4359D587-F2F3-40C2-9398-358460A7637D}"/>
    <cellStyle name="Normal 3" xfId="4" xr:uid="{0D588D67-4471-4D29-B656-5DA36639E5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6" sqref="H16"/>
    </sheetView>
  </sheetViews>
  <sheetFormatPr defaultRowHeight="14.4" x14ac:dyDescent="0.3"/>
  <cols>
    <col min="1" max="1" width="40.44140625" bestFit="1" customWidth="1"/>
    <col min="2" max="2" width="21.109375" style="1" bestFit="1" customWidth="1"/>
    <col min="3" max="7" width="21.109375" bestFit="1" customWidth="1"/>
  </cols>
  <sheetData>
    <row r="1" spans="1:7" ht="18" thickBot="1" x14ac:dyDescent="0.35">
      <c r="B1" s="26" t="s">
        <v>22</v>
      </c>
      <c r="C1" s="27"/>
      <c r="D1" s="27"/>
      <c r="E1" s="27"/>
      <c r="F1" s="27"/>
      <c r="G1" s="28"/>
    </row>
    <row r="2" spans="1:7" s="2" customFormat="1" ht="18" thickBot="1" x14ac:dyDescent="0.35">
      <c r="A2" s="6" t="s">
        <v>0</v>
      </c>
      <c r="B2" s="4" t="s">
        <v>1</v>
      </c>
      <c r="C2" s="3" t="s">
        <v>2</v>
      </c>
      <c r="D2" s="4" t="s">
        <v>3</v>
      </c>
      <c r="E2" s="4" t="s">
        <v>4</v>
      </c>
      <c r="F2" s="12" t="s">
        <v>5</v>
      </c>
      <c r="G2" s="4" t="s">
        <v>6</v>
      </c>
    </row>
    <row r="3" spans="1:7" s="5" customFormat="1" ht="15.6" x14ac:dyDescent="0.3">
      <c r="A3" s="7" t="s">
        <v>7</v>
      </c>
      <c r="B3" s="13">
        <v>70.5</v>
      </c>
      <c r="C3" s="14">
        <v>63.5</v>
      </c>
      <c r="D3" s="14">
        <v>62.2</v>
      </c>
      <c r="E3" s="15">
        <v>69.2</v>
      </c>
      <c r="F3" s="14">
        <v>63.7</v>
      </c>
      <c r="G3" s="16">
        <v>61.9</v>
      </c>
    </row>
    <row r="4" spans="1:7" s="5" customFormat="1" ht="15.6" x14ac:dyDescent="0.3">
      <c r="A4" s="8" t="s">
        <v>8</v>
      </c>
      <c r="B4" s="17">
        <v>11.1</v>
      </c>
      <c r="C4" s="18">
        <v>10.8</v>
      </c>
      <c r="D4" s="18">
        <v>12.2</v>
      </c>
      <c r="E4" s="19">
        <v>14.1</v>
      </c>
      <c r="F4" s="18">
        <v>12.9</v>
      </c>
      <c r="G4" s="16">
        <v>13</v>
      </c>
    </row>
    <row r="5" spans="1:7" s="5" customFormat="1" ht="15.6" x14ac:dyDescent="0.3">
      <c r="A5" s="8" t="s">
        <v>9</v>
      </c>
      <c r="B5" s="17">
        <v>17.5</v>
      </c>
      <c r="C5" s="18">
        <v>16.8</v>
      </c>
      <c r="D5" s="18">
        <v>17.600000000000001</v>
      </c>
      <c r="E5" s="19">
        <v>14.5</v>
      </c>
      <c r="F5" s="18">
        <v>23.4</v>
      </c>
      <c r="G5" s="16">
        <v>24.4</v>
      </c>
    </row>
    <row r="6" spans="1:7" s="5" customFormat="1" ht="15.6" x14ac:dyDescent="0.3">
      <c r="A6" s="8" t="s">
        <v>10</v>
      </c>
      <c r="B6" s="17">
        <v>113.3</v>
      </c>
      <c r="C6" s="18">
        <v>105.7</v>
      </c>
      <c r="D6" s="18">
        <v>87.7</v>
      </c>
      <c r="E6" s="19">
        <v>84.6</v>
      </c>
      <c r="F6" s="18">
        <v>83</v>
      </c>
      <c r="G6" s="16">
        <v>79.400000000000006</v>
      </c>
    </row>
    <row r="7" spans="1:7" s="5" customFormat="1" ht="15.6" x14ac:dyDescent="0.3">
      <c r="A7" s="8" t="s">
        <v>11</v>
      </c>
      <c r="B7" s="17">
        <v>38.700000000000003</v>
      </c>
      <c r="C7" s="18">
        <v>35.5</v>
      </c>
      <c r="D7" s="18">
        <v>34.700000000000003</v>
      </c>
      <c r="E7" s="19">
        <v>34.5</v>
      </c>
      <c r="F7" s="18">
        <v>36.5</v>
      </c>
      <c r="G7" s="16">
        <v>40.799999999999997</v>
      </c>
    </row>
    <row r="8" spans="1:7" s="5" customFormat="1" ht="15.6" x14ac:dyDescent="0.3">
      <c r="A8" s="8" t="s">
        <v>12</v>
      </c>
      <c r="B8" s="17">
        <v>7.6</v>
      </c>
      <c r="C8" s="18">
        <v>8.9</v>
      </c>
      <c r="D8" s="18">
        <v>9.1</v>
      </c>
      <c r="E8" s="19">
        <v>6.7</v>
      </c>
      <c r="F8" s="18">
        <v>8.1999999999999993</v>
      </c>
      <c r="G8" s="16">
        <v>8</v>
      </c>
    </row>
    <row r="9" spans="1:7" s="5" customFormat="1" ht="15.6" x14ac:dyDescent="0.3">
      <c r="A9" s="8" t="s">
        <v>13</v>
      </c>
      <c r="B9" s="17">
        <v>88.2</v>
      </c>
      <c r="C9" s="18">
        <v>79.2</v>
      </c>
      <c r="D9" s="18">
        <v>74.400000000000006</v>
      </c>
      <c r="E9" s="19">
        <v>60.8</v>
      </c>
      <c r="F9" s="18">
        <v>81.599999999999994</v>
      </c>
      <c r="G9" s="16">
        <v>80.2</v>
      </c>
    </row>
    <row r="10" spans="1:7" s="5" customFormat="1" ht="15.6" x14ac:dyDescent="0.3">
      <c r="A10" s="8" t="s">
        <v>14</v>
      </c>
      <c r="B10" s="17">
        <v>22.2</v>
      </c>
      <c r="C10" s="18">
        <v>20.3</v>
      </c>
      <c r="D10" s="18">
        <v>21.2</v>
      </c>
      <c r="E10" s="19">
        <v>20.9</v>
      </c>
      <c r="F10" s="18">
        <v>21.4</v>
      </c>
      <c r="G10" s="16">
        <v>21.3</v>
      </c>
    </row>
    <row r="11" spans="1:7" s="5" customFormat="1" ht="15.6" x14ac:dyDescent="0.3">
      <c r="A11" s="8" t="s">
        <v>15</v>
      </c>
      <c r="B11" s="17">
        <v>72.8</v>
      </c>
      <c r="C11" s="18">
        <v>65.400000000000006</v>
      </c>
      <c r="D11" s="18">
        <v>56.1</v>
      </c>
      <c r="E11" s="19">
        <v>45.5</v>
      </c>
      <c r="F11" s="18">
        <v>74.8</v>
      </c>
      <c r="G11" s="16">
        <v>76.900000000000006</v>
      </c>
    </row>
    <row r="12" spans="1:7" s="5" customFormat="1" ht="15.6" x14ac:dyDescent="0.3">
      <c r="A12" s="8" t="s">
        <v>16</v>
      </c>
      <c r="B12" s="17">
        <v>5.0999999999999996</v>
      </c>
      <c r="C12" s="18">
        <v>5.0999999999999996</v>
      </c>
      <c r="D12" s="18">
        <v>5.2</v>
      </c>
      <c r="E12" s="19">
        <v>8.3000000000000007</v>
      </c>
      <c r="F12" s="18">
        <v>4.5</v>
      </c>
      <c r="G12" s="16">
        <v>5.7</v>
      </c>
    </row>
    <row r="13" spans="1:7" s="5" customFormat="1" ht="15.6" x14ac:dyDescent="0.3">
      <c r="A13" s="8" t="s">
        <v>17</v>
      </c>
      <c r="B13" s="17">
        <v>44.4</v>
      </c>
      <c r="C13" s="18">
        <v>40.5</v>
      </c>
      <c r="D13" s="18">
        <v>34.799999999999997</v>
      </c>
      <c r="E13" s="19">
        <v>18.3</v>
      </c>
      <c r="F13" s="18">
        <v>52.9</v>
      </c>
      <c r="G13" s="16">
        <v>51.3</v>
      </c>
    </row>
    <row r="14" spans="1:7" s="5" customFormat="1" ht="16.2" thickBot="1" x14ac:dyDescent="0.35">
      <c r="A14" s="9" t="s">
        <v>18</v>
      </c>
      <c r="B14" s="20">
        <v>45.6</v>
      </c>
      <c r="C14" s="21">
        <v>40.299999999999997</v>
      </c>
      <c r="D14" s="21">
        <v>40.6</v>
      </c>
      <c r="E14" s="22">
        <v>37.200000000000003</v>
      </c>
      <c r="F14" s="21">
        <v>45.7</v>
      </c>
      <c r="G14" s="16">
        <v>45.5</v>
      </c>
    </row>
    <row r="15" spans="1:7" s="24" customFormat="1" ht="16.2" thickBot="1" x14ac:dyDescent="0.35">
      <c r="A15" s="10" t="s">
        <v>19</v>
      </c>
      <c r="B15" s="23">
        <f t="shared" ref="B15:G15" si="0">SUM(B3:B14)</f>
        <v>537</v>
      </c>
      <c r="C15" s="23">
        <f t="shared" si="0"/>
        <v>492.00000000000006</v>
      </c>
      <c r="D15" s="23">
        <f t="shared" si="0"/>
        <v>455.8</v>
      </c>
      <c r="E15" s="23">
        <f t="shared" si="0"/>
        <v>414.59999999999997</v>
      </c>
      <c r="F15" s="23">
        <f t="shared" si="0"/>
        <v>508.59999999999991</v>
      </c>
      <c r="G15" s="23">
        <f t="shared" si="0"/>
        <v>508.4</v>
      </c>
    </row>
    <row r="16" spans="1:7" s="5" customFormat="1" ht="16.2" thickBot="1" x14ac:dyDescent="0.35">
      <c r="A16" s="11" t="s">
        <v>20</v>
      </c>
      <c r="B16" s="17">
        <v>86.3</v>
      </c>
      <c r="C16" s="17">
        <v>0</v>
      </c>
      <c r="D16" s="17">
        <v>0</v>
      </c>
      <c r="E16" s="17">
        <v>0</v>
      </c>
      <c r="F16" s="17">
        <v>0</v>
      </c>
      <c r="G16" s="16">
        <v>0</v>
      </c>
    </row>
    <row r="17" spans="1:7" s="24" customFormat="1" ht="16.2" thickBot="1" x14ac:dyDescent="0.35">
      <c r="A17" s="10" t="s">
        <v>21</v>
      </c>
      <c r="B17" s="23">
        <f t="shared" ref="B17:G17" si="1">B15+B16</f>
        <v>623.29999999999995</v>
      </c>
      <c r="C17" s="23">
        <f t="shared" si="1"/>
        <v>492.00000000000006</v>
      </c>
      <c r="D17" s="23">
        <f t="shared" si="1"/>
        <v>455.8</v>
      </c>
      <c r="E17" s="23">
        <f t="shared" si="1"/>
        <v>414.59999999999997</v>
      </c>
      <c r="F17" s="23">
        <f t="shared" si="1"/>
        <v>508.59999999999991</v>
      </c>
      <c r="G17" s="23">
        <f t="shared" si="1"/>
        <v>508.4</v>
      </c>
    </row>
  </sheetData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F84F-99D5-416B-B737-DB411FFC4B4F}">
  <dimension ref="A1:N952"/>
  <sheetViews>
    <sheetView tabSelected="1" workbookViewId="0">
      <selection sqref="A1:XFD1048576"/>
    </sheetView>
  </sheetViews>
  <sheetFormatPr defaultColWidth="8.77734375" defaultRowHeight="12" x14ac:dyDescent="0.2"/>
  <cols>
    <col min="1" max="1" width="3.77734375" style="80" customWidth="1"/>
    <col min="2" max="2" width="4.21875" style="80" customWidth="1"/>
    <col min="3" max="3" width="4.77734375" style="79" customWidth="1"/>
    <col min="4" max="4" width="4.77734375" style="219" customWidth="1"/>
    <col min="5" max="5" width="28.33203125" style="219" customWidth="1"/>
    <col min="6" max="6" width="4.21875" style="219" customWidth="1"/>
    <col min="7" max="7" width="10.77734375" style="107" customWidth="1"/>
    <col min="8" max="8" width="9.77734375" style="108" customWidth="1"/>
    <col min="9" max="9" width="9.77734375" style="109" customWidth="1"/>
    <col min="10" max="10" width="9.77734375" style="171" customWidth="1"/>
    <col min="11" max="11" width="9.77734375" style="53" customWidth="1"/>
    <col min="12" max="12" width="10.21875" style="126" customWidth="1"/>
    <col min="13" max="256" width="8.77734375" style="79"/>
    <col min="257" max="257" width="3.77734375" style="79" customWidth="1"/>
    <col min="258" max="258" width="4.21875" style="79" customWidth="1"/>
    <col min="259" max="260" width="4.77734375" style="79" customWidth="1"/>
    <col min="261" max="261" width="28.33203125" style="79" customWidth="1"/>
    <col min="262" max="262" width="4.21875" style="79" customWidth="1"/>
    <col min="263" max="263" width="10.77734375" style="79" customWidth="1"/>
    <col min="264" max="267" width="9.77734375" style="79" customWidth="1"/>
    <col min="268" max="268" width="10.21875" style="79" customWidth="1"/>
    <col min="269" max="512" width="8.77734375" style="79"/>
    <col min="513" max="513" width="3.77734375" style="79" customWidth="1"/>
    <col min="514" max="514" width="4.21875" style="79" customWidth="1"/>
    <col min="515" max="516" width="4.77734375" style="79" customWidth="1"/>
    <col min="517" max="517" width="28.33203125" style="79" customWidth="1"/>
    <col min="518" max="518" width="4.21875" style="79" customWidth="1"/>
    <col min="519" max="519" width="10.77734375" style="79" customWidth="1"/>
    <col min="520" max="523" width="9.77734375" style="79" customWidth="1"/>
    <col min="524" max="524" width="10.21875" style="79" customWidth="1"/>
    <col min="525" max="768" width="8.77734375" style="79"/>
    <col min="769" max="769" width="3.77734375" style="79" customWidth="1"/>
    <col min="770" max="770" width="4.21875" style="79" customWidth="1"/>
    <col min="771" max="772" width="4.77734375" style="79" customWidth="1"/>
    <col min="773" max="773" width="28.33203125" style="79" customWidth="1"/>
    <col min="774" max="774" width="4.21875" style="79" customWidth="1"/>
    <col min="775" max="775" width="10.77734375" style="79" customWidth="1"/>
    <col min="776" max="779" width="9.77734375" style="79" customWidth="1"/>
    <col min="780" max="780" width="10.21875" style="79" customWidth="1"/>
    <col min="781" max="1024" width="8.77734375" style="79"/>
    <col min="1025" max="1025" width="3.77734375" style="79" customWidth="1"/>
    <col min="1026" max="1026" width="4.21875" style="79" customWidth="1"/>
    <col min="1027" max="1028" width="4.77734375" style="79" customWidth="1"/>
    <col min="1029" max="1029" width="28.33203125" style="79" customWidth="1"/>
    <col min="1030" max="1030" width="4.21875" style="79" customWidth="1"/>
    <col min="1031" max="1031" width="10.77734375" style="79" customWidth="1"/>
    <col min="1032" max="1035" width="9.77734375" style="79" customWidth="1"/>
    <col min="1036" max="1036" width="10.21875" style="79" customWidth="1"/>
    <col min="1037" max="1280" width="8.77734375" style="79"/>
    <col min="1281" max="1281" width="3.77734375" style="79" customWidth="1"/>
    <col min="1282" max="1282" width="4.21875" style="79" customWidth="1"/>
    <col min="1283" max="1284" width="4.77734375" style="79" customWidth="1"/>
    <col min="1285" max="1285" width="28.33203125" style="79" customWidth="1"/>
    <col min="1286" max="1286" width="4.21875" style="79" customWidth="1"/>
    <col min="1287" max="1287" width="10.77734375" style="79" customWidth="1"/>
    <col min="1288" max="1291" width="9.77734375" style="79" customWidth="1"/>
    <col min="1292" max="1292" width="10.21875" style="79" customWidth="1"/>
    <col min="1293" max="1536" width="8.77734375" style="79"/>
    <col min="1537" max="1537" width="3.77734375" style="79" customWidth="1"/>
    <col min="1538" max="1538" width="4.21875" style="79" customWidth="1"/>
    <col min="1539" max="1540" width="4.77734375" style="79" customWidth="1"/>
    <col min="1541" max="1541" width="28.33203125" style="79" customWidth="1"/>
    <col min="1542" max="1542" width="4.21875" style="79" customWidth="1"/>
    <col min="1543" max="1543" width="10.77734375" style="79" customWidth="1"/>
    <col min="1544" max="1547" width="9.77734375" style="79" customWidth="1"/>
    <col min="1548" max="1548" width="10.21875" style="79" customWidth="1"/>
    <col min="1549" max="1792" width="8.77734375" style="79"/>
    <col min="1793" max="1793" width="3.77734375" style="79" customWidth="1"/>
    <col min="1794" max="1794" width="4.21875" style="79" customWidth="1"/>
    <col min="1795" max="1796" width="4.77734375" style="79" customWidth="1"/>
    <col min="1797" max="1797" width="28.33203125" style="79" customWidth="1"/>
    <col min="1798" max="1798" width="4.21875" style="79" customWidth="1"/>
    <col min="1799" max="1799" width="10.77734375" style="79" customWidth="1"/>
    <col min="1800" max="1803" width="9.77734375" style="79" customWidth="1"/>
    <col min="1804" max="1804" width="10.21875" style="79" customWidth="1"/>
    <col min="1805" max="2048" width="8.77734375" style="79"/>
    <col min="2049" max="2049" width="3.77734375" style="79" customWidth="1"/>
    <col min="2050" max="2050" width="4.21875" style="79" customWidth="1"/>
    <col min="2051" max="2052" width="4.77734375" style="79" customWidth="1"/>
    <col min="2053" max="2053" width="28.33203125" style="79" customWidth="1"/>
    <col min="2054" max="2054" width="4.21875" style="79" customWidth="1"/>
    <col min="2055" max="2055" width="10.77734375" style="79" customWidth="1"/>
    <col min="2056" max="2059" width="9.77734375" style="79" customWidth="1"/>
    <col min="2060" max="2060" width="10.21875" style="79" customWidth="1"/>
    <col min="2061" max="2304" width="8.77734375" style="79"/>
    <col min="2305" max="2305" width="3.77734375" style="79" customWidth="1"/>
    <col min="2306" max="2306" width="4.21875" style="79" customWidth="1"/>
    <col min="2307" max="2308" width="4.77734375" style="79" customWidth="1"/>
    <col min="2309" max="2309" width="28.33203125" style="79" customWidth="1"/>
    <col min="2310" max="2310" width="4.21875" style="79" customWidth="1"/>
    <col min="2311" max="2311" width="10.77734375" style="79" customWidth="1"/>
    <col min="2312" max="2315" width="9.77734375" style="79" customWidth="1"/>
    <col min="2316" max="2316" width="10.21875" style="79" customWidth="1"/>
    <col min="2317" max="2560" width="8.77734375" style="79"/>
    <col min="2561" max="2561" width="3.77734375" style="79" customWidth="1"/>
    <col min="2562" max="2562" width="4.21875" style="79" customWidth="1"/>
    <col min="2563" max="2564" width="4.77734375" style="79" customWidth="1"/>
    <col min="2565" max="2565" width="28.33203125" style="79" customWidth="1"/>
    <col min="2566" max="2566" width="4.21875" style="79" customWidth="1"/>
    <col min="2567" max="2567" width="10.77734375" style="79" customWidth="1"/>
    <col min="2568" max="2571" width="9.77734375" style="79" customWidth="1"/>
    <col min="2572" max="2572" width="10.21875" style="79" customWidth="1"/>
    <col min="2573" max="2816" width="8.77734375" style="79"/>
    <col min="2817" max="2817" width="3.77734375" style="79" customWidth="1"/>
    <col min="2818" max="2818" width="4.21875" style="79" customWidth="1"/>
    <col min="2819" max="2820" width="4.77734375" style="79" customWidth="1"/>
    <col min="2821" max="2821" width="28.33203125" style="79" customWidth="1"/>
    <col min="2822" max="2822" width="4.21875" style="79" customWidth="1"/>
    <col min="2823" max="2823" width="10.77734375" style="79" customWidth="1"/>
    <col min="2824" max="2827" width="9.77734375" style="79" customWidth="1"/>
    <col min="2828" max="2828" width="10.21875" style="79" customWidth="1"/>
    <col min="2829" max="3072" width="8.77734375" style="79"/>
    <col min="3073" max="3073" width="3.77734375" style="79" customWidth="1"/>
    <col min="3074" max="3074" width="4.21875" style="79" customWidth="1"/>
    <col min="3075" max="3076" width="4.77734375" style="79" customWidth="1"/>
    <col min="3077" max="3077" width="28.33203125" style="79" customWidth="1"/>
    <col min="3078" max="3078" width="4.21875" style="79" customWidth="1"/>
    <col min="3079" max="3079" width="10.77734375" style="79" customWidth="1"/>
    <col min="3080" max="3083" width="9.77734375" style="79" customWidth="1"/>
    <col min="3084" max="3084" width="10.21875" style="79" customWidth="1"/>
    <col min="3085" max="3328" width="8.77734375" style="79"/>
    <col min="3329" max="3329" width="3.77734375" style="79" customWidth="1"/>
    <col min="3330" max="3330" width="4.21875" style="79" customWidth="1"/>
    <col min="3331" max="3332" width="4.77734375" style="79" customWidth="1"/>
    <col min="3333" max="3333" width="28.33203125" style="79" customWidth="1"/>
    <col min="3334" max="3334" width="4.21875" style="79" customWidth="1"/>
    <col min="3335" max="3335" width="10.77734375" style="79" customWidth="1"/>
    <col min="3336" max="3339" width="9.77734375" style="79" customWidth="1"/>
    <col min="3340" max="3340" width="10.21875" style="79" customWidth="1"/>
    <col min="3341" max="3584" width="8.77734375" style="79"/>
    <col min="3585" max="3585" width="3.77734375" style="79" customWidth="1"/>
    <col min="3586" max="3586" width="4.21875" style="79" customWidth="1"/>
    <col min="3587" max="3588" width="4.77734375" style="79" customWidth="1"/>
    <col min="3589" max="3589" width="28.33203125" style="79" customWidth="1"/>
    <col min="3590" max="3590" width="4.21875" style="79" customWidth="1"/>
    <col min="3591" max="3591" width="10.77734375" style="79" customWidth="1"/>
    <col min="3592" max="3595" width="9.77734375" style="79" customWidth="1"/>
    <col min="3596" max="3596" width="10.21875" style="79" customWidth="1"/>
    <col min="3597" max="3840" width="8.77734375" style="79"/>
    <col min="3841" max="3841" width="3.77734375" style="79" customWidth="1"/>
    <col min="3842" max="3842" width="4.21875" style="79" customWidth="1"/>
    <col min="3843" max="3844" width="4.77734375" style="79" customWidth="1"/>
    <col min="3845" max="3845" width="28.33203125" style="79" customWidth="1"/>
    <col min="3846" max="3846" width="4.21875" style="79" customWidth="1"/>
    <col min="3847" max="3847" width="10.77734375" style="79" customWidth="1"/>
    <col min="3848" max="3851" width="9.77734375" style="79" customWidth="1"/>
    <col min="3852" max="3852" width="10.21875" style="79" customWidth="1"/>
    <col min="3853" max="4096" width="8.77734375" style="79"/>
    <col min="4097" max="4097" width="3.77734375" style="79" customWidth="1"/>
    <col min="4098" max="4098" width="4.21875" style="79" customWidth="1"/>
    <col min="4099" max="4100" width="4.77734375" style="79" customWidth="1"/>
    <col min="4101" max="4101" width="28.33203125" style="79" customWidth="1"/>
    <col min="4102" max="4102" width="4.21875" style="79" customWidth="1"/>
    <col min="4103" max="4103" width="10.77734375" style="79" customWidth="1"/>
    <col min="4104" max="4107" width="9.77734375" style="79" customWidth="1"/>
    <col min="4108" max="4108" width="10.21875" style="79" customWidth="1"/>
    <col min="4109" max="4352" width="8.77734375" style="79"/>
    <col min="4353" max="4353" width="3.77734375" style="79" customWidth="1"/>
    <col min="4354" max="4354" width="4.21875" style="79" customWidth="1"/>
    <col min="4355" max="4356" width="4.77734375" style="79" customWidth="1"/>
    <col min="4357" max="4357" width="28.33203125" style="79" customWidth="1"/>
    <col min="4358" max="4358" width="4.21875" style="79" customWidth="1"/>
    <col min="4359" max="4359" width="10.77734375" style="79" customWidth="1"/>
    <col min="4360" max="4363" width="9.77734375" style="79" customWidth="1"/>
    <col min="4364" max="4364" width="10.21875" style="79" customWidth="1"/>
    <col min="4365" max="4608" width="8.77734375" style="79"/>
    <col min="4609" max="4609" width="3.77734375" style="79" customWidth="1"/>
    <col min="4610" max="4610" width="4.21875" style="79" customWidth="1"/>
    <col min="4611" max="4612" width="4.77734375" style="79" customWidth="1"/>
    <col min="4613" max="4613" width="28.33203125" style="79" customWidth="1"/>
    <col min="4614" max="4614" width="4.21875" style="79" customWidth="1"/>
    <col min="4615" max="4615" width="10.77734375" style="79" customWidth="1"/>
    <col min="4616" max="4619" width="9.77734375" style="79" customWidth="1"/>
    <col min="4620" max="4620" width="10.21875" style="79" customWidth="1"/>
    <col min="4621" max="4864" width="8.77734375" style="79"/>
    <col min="4865" max="4865" width="3.77734375" style="79" customWidth="1"/>
    <col min="4866" max="4866" width="4.21875" style="79" customWidth="1"/>
    <col min="4867" max="4868" width="4.77734375" style="79" customWidth="1"/>
    <col min="4869" max="4869" width="28.33203125" style="79" customWidth="1"/>
    <col min="4870" max="4870" width="4.21875" style="79" customWidth="1"/>
    <col min="4871" max="4871" width="10.77734375" style="79" customWidth="1"/>
    <col min="4872" max="4875" width="9.77734375" style="79" customWidth="1"/>
    <col min="4876" max="4876" width="10.21875" style="79" customWidth="1"/>
    <col min="4877" max="5120" width="8.77734375" style="79"/>
    <col min="5121" max="5121" width="3.77734375" style="79" customWidth="1"/>
    <col min="5122" max="5122" width="4.21875" style="79" customWidth="1"/>
    <col min="5123" max="5124" width="4.77734375" style="79" customWidth="1"/>
    <col min="5125" max="5125" width="28.33203125" style="79" customWidth="1"/>
    <col min="5126" max="5126" width="4.21875" style="79" customWidth="1"/>
    <col min="5127" max="5127" width="10.77734375" style="79" customWidth="1"/>
    <col min="5128" max="5131" width="9.77734375" style="79" customWidth="1"/>
    <col min="5132" max="5132" width="10.21875" style="79" customWidth="1"/>
    <col min="5133" max="5376" width="8.77734375" style="79"/>
    <col min="5377" max="5377" width="3.77734375" style="79" customWidth="1"/>
    <col min="5378" max="5378" width="4.21875" style="79" customWidth="1"/>
    <col min="5379" max="5380" width="4.77734375" style="79" customWidth="1"/>
    <col min="5381" max="5381" width="28.33203125" style="79" customWidth="1"/>
    <col min="5382" max="5382" width="4.21875" style="79" customWidth="1"/>
    <col min="5383" max="5383" width="10.77734375" style="79" customWidth="1"/>
    <col min="5384" max="5387" width="9.77734375" style="79" customWidth="1"/>
    <col min="5388" max="5388" width="10.21875" style="79" customWidth="1"/>
    <col min="5389" max="5632" width="8.77734375" style="79"/>
    <col min="5633" max="5633" width="3.77734375" style="79" customWidth="1"/>
    <col min="5634" max="5634" width="4.21875" style="79" customWidth="1"/>
    <col min="5635" max="5636" width="4.77734375" style="79" customWidth="1"/>
    <col min="5637" max="5637" width="28.33203125" style="79" customWidth="1"/>
    <col min="5638" max="5638" width="4.21875" style="79" customWidth="1"/>
    <col min="5639" max="5639" width="10.77734375" style="79" customWidth="1"/>
    <col min="5640" max="5643" width="9.77734375" style="79" customWidth="1"/>
    <col min="5644" max="5644" width="10.21875" style="79" customWidth="1"/>
    <col min="5645" max="5888" width="8.77734375" style="79"/>
    <col min="5889" max="5889" width="3.77734375" style="79" customWidth="1"/>
    <col min="5890" max="5890" width="4.21875" style="79" customWidth="1"/>
    <col min="5891" max="5892" width="4.77734375" style="79" customWidth="1"/>
    <col min="5893" max="5893" width="28.33203125" style="79" customWidth="1"/>
    <col min="5894" max="5894" width="4.21875" style="79" customWidth="1"/>
    <col min="5895" max="5895" width="10.77734375" style="79" customWidth="1"/>
    <col min="5896" max="5899" width="9.77734375" style="79" customWidth="1"/>
    <col min="5900" max="5900" width="10.21875" style="79" customWidth="1"/>
    <col min="5901" max="6144" width="8.77734375" style="79"/>
    <col min="6145" max="6145" width="3.77734375" style="79" customWidth="1"/>
    <col min="6146" max="6146" width="4.21875" style="79" customWidth="1"/>
    <col min="6147" max="6148" width="4.77734375" style="79" customWidth="1"/>
    <col min="6149" max="6149" width="28.33203125" style="79" customWidth="1"/>
    <col min="6150" max="6150" width="4.21875" style="79" customWidth="1"/>
    <col min="6151" max="6151" width="10.77734375" style="79" customWidth="1"/>
    <col min="6152" max="6155" width="9.77734375" style="79" customWidth="1"/>
    <col min="6156" max="6156" width="10.21875" style="79" customWidth="1"/>
    <col min="6157" max="6400" width="8.77734375" style="79"/>
    <col min="6401" max="6401" width="3.77734375" style="79" customWidth="1"/>
    <col min="6402" max="6402" width="4.21875" style="79" customWidth="1"/>
    <col min="6403" max="6404" width="4.77734375" style="79" customWidth="1"/>
    <col min="6405" max="6405" width="28.33203125" style="79" customWidth="1"/>
    <col min="6406" max="6406" width="4.21875" style="79" customWidth="1"/>
    <col min="6407" max="6407" width="10.77734375" style="79" customWidth="1"/>
    <col min="6408" max="6411" width="9.77734375" style="79" customWidth="1"/>
    <col min="6412" max="6412" width="10.21875" style="79" customWidth="1"/>
    <col min="6413" max="6656" width="8.77734375" style="79"/>
    <col min="6657" max="6657" width="3.77734375" style="79" customWidth="1"/>
    <col min="6658" max="6658" width="4.21875" style="79" customWidth="1"/>
    <col min="6659" max="6660" width="4.77734375" style="79" customWidth="1"/>
    <col min="6661" max="6661" width="28.33203125" style="79" customWidth="1"/>
    <col min="6662" max="6662" width="4.21875" style="79" customWidth="1"/>
    <col min="6663" max="6663" width="10.77734375" style="79" customWidth="1"/>
    <col min="6664" max="6667" width="9.77734375" style="79" customWidth="1"/>
    <col min="6668" max="6668" width="10.21875" style="79" customWidth="1"/>
    <col min="6669" max="6912" width="8.77734375" style="79"/>
    <col min="6913" max="6913" width="3.77734375" style="79" customWidth="1"/>
    <col min="6914" max="6914" width="4.21875" style="79" customWidth="1"/>
    <col min="6915" max="6916" width="4.77734375" style="79" customWidth="1"/>
    <col min="6917" max="6917" width="28.33203125" style="79" customWidth="1"/>
    <col min="6918" max="6918" width="4.21875" style="79" customWidth="1"/>
    <col min="6919" max="6919" width="10.77734375" style="79" customWidth="1"/>
    <col min="6920" max="6923" width="9.77734375" style="79" customWidth="1"/>
    <col min="6924" max="6924" width="10.21875" style="79" customWidth="1"/>
    <col min="6925" max="7168" width="8.77734375" style="79"/>
    <col min="7169" max="7169" width="3.77734375" style="79" customWidth="1"/>
    <col min="7170" max="7170" width="4.21875" style="79" customWidth="1"/>
    <col min="7171" max="7172" width="4.77734375" style="79" customWidth="1"/>
    <col min="7173" max="7173" width="28.33203125" style="79" customWidth="1"/>
    <col min="7174" max="7174" width="4.21875" style="79" customWidth="1"/>
    <col min="7175" max="7175" width="10.77734375" style="79" customWidth="1"/>
    <col min="7176" max="7179" width="9.77734375" style="79" customWidth="1"/>
    <col min="7180" max="7180" width="10.21875" style="79" customWidth="1"/>
    <col min="7181" max="7424" width="8.77734375" style="79"/>
    <col min="7425" max="7425" width="3.77734375" style="79" customWidth="1"/>
    <col min="7426" max="7426" width="4.21875" style="79" customWidth="1"/>
    <col min="7427" max="7428" width="4.77734375" style="79" customWidth="1"/>
    <col min="7429" max="7429" width="28.33203125" style="79" customWidth="1"/>
    <col min="7430" max="7430" width="4.21875" style="79" customWidth="1"/>
    <col min="7431" max="7431" width="10.77734375" style="79" customWidth="1"/>
    <col min="7432" max="7435" width="9.77734375" style="79" customWidth="1"/>
    <col min="7436" max="7436" width="10.21875" style="79" customWidth="1"/>
    <col min="7437" max="7680" width="8.77734375" style="79"/>
    <col min="7681" max="7681" width="3.77734375" style="79" customWidth="1"/>
    <col min="7682" max="7682" width="4.21875" style="79" customWidth="1"/>
    <col min="7683" max="7684" width="4.77734375" style="79" customWidth="1"/>
    <col min="7685" max="7685" width="28.33203125" style="79" customWidth="1"/>
    <col min="7686" max="7686" width="4.21875" style="79" customWidth="1"/>
    <col min="7687" max="7687" width="10.77734375" style="79" customWidth="1"/>
    <col min="7688" max="7691" width="9.77734375" style="79" customWidth="1"/>
    <col min="7692" max="7692" width="10.21875" style="79" customWidth="1"/>
    <col min="7693" max="7936" width="8.77734375" style="79"/>
    <col min="7937" max="7937" width="3.77734375" style="79" customWidth="1"/>
    <col min="7938" max="7938" width="4.21875" style="79" customWidth="1"/>
    <col min="7939" max="7940" width="4.77734375" style="79" customWidth="1"/>
    <col min="7941" max="7941" width="28.33203125" style="79" customWidth="1"/>
    <col min="7942" max="7942" width="4.21875" style="79" customWidth="1"/>
    <col min="7943" max="7943" width="10.77734375" style="79" customWidth="1"/>
    <col min="7944" max="7947" width="9.77734375" style="79" customWidth="1"/>
    <col min="7948" max="7948" width="10.21875" style="79" customWidth="1"/>
    <col min="7949" max="8192" width="8.77734375" style="79"/>
    <col min="8193" max="8193" width="3.77734375" style="79" customWidth="1"/>
    <col min="8194" max="8194" width="4.21875" style="79" customWidth="1"/>
    <col min="8195" max="8196" width="4.77734375" style="79" customWidth="1"/>
    <col min="8197" max="8197" width="28.33203125" style="79" customWidth="1"/>
    <col min="8198" max="8198" width="4.21875" style="79" customWidth="1"/>
    <col min="8199" max="8199" width="10.77734375" style="79" customWidth="1"/>
    <col min="8200" max="8203" width="9.77734375" style="79" customWidth="1"/>
    <col min="8204" max="8204" width="10.21875" style="79" customWidth="1"/>
    <col min="8205" max="8448" width="8.77734375" style="79"/>
    <col min="8449" max="8449" width="3.77734375" style="79" customWidth="1"/>
    <col min="8450" max="8450" width="4.21875" style="79" customWidth="1"/>
    <col min="8451" max="8452" width="4.77734375" style="79" customWidth="1"/>
    <col min="8453" max="8453" width="28.33203125" style="79" customWidth="1"/>
    <col min="8454" max="8454" width="4.21875" style="79" customWidth="1"/>
    <col min="8455" max="8455" width="10.77734375" style="79" customWidth="1"/>
    <col min="8456" max="8459" width="9.77734375" style="79" customWidth="1"/>
    <col min="8460" max="8460" width="10.21875" style="79" customWidth="1"/>
    <col min="8461" max="8704" width="8.77734375" style="79"/>
    <col min="8705" max="8705" width="3.77734375" style="79" customWidth="1"/>
    <col min="8706" max="8706" width="4.21875" style="79" customWidth="1"/>
    <col min="8707" max="8708" width="4.77734375" style="79" customWidth="1"/>
    <col min="8709" max="8709" width="28.33203125" style="79" customWidth="1"/>
    <col min="8710" max="8710" width="4.21875" style="79" customWidth="1"/>
    <col min="8711" max="8711" width="10.77734375" style="79" customWidth="1"/>
    <col min="8712" max="8715" width="9.77734375" style="79" customWidth="1"/>
    <col min="8716" max="8716" width="10.21875" style="79" customWidth="1"/>
    <col min="8717" max="8960" width="8.77734375" style="79"/>
    <col min="8961" max="8961" width="3.77734375" style="79" customWidth="1"/>
    <col min="8962" max="8962" width="4.21875" style="79" customWidth="1"/>
    <col min="8963" max="8964" width="4.77734375" style="79" customWidth="1"/>
    <col min="8965" max="8965" width="28.33203125" style="79" customWidth="1"/>
    <col min="8966" max="8966" width="4.21875" style="79" customWidth="1"/>
    <col min="8967" max="8967" width="10.77734375" style="79" customWidth="1"/>
    <col min="8968" max="8971" width="9.77734375" style="79" customWidth="1"/>
    <col min="8972" max="8972" width="10.21875" style="79" customWidth="1"/>
    <col min="8973" max="9216" width="8.77734375" style="79"/>
    <col min="9217" max="9217" width="3.77734375" style="79" customWidth="1"/>
    <col min="9218" max="9218" width="4.21875" style="79" customWidth="1"/>
    <col min="9219" max="9220" width="4.77734375" style="79" customWidth="1"/>
    <col min="9221" max="9221" width="28.33203125" style="79" customWidth="1"/>
    <col min="9222" max="9222" width="4.21875" style="79" customWidth="1"/>
    <col min="9223" max="9223" width="10.77734375" style="79" customWidth="1"/>
    <col min="9224" max="9227" width="9.77734375" style="79" customWidth="1"/>
    <col min="9228" max="9228" width="10.21875" style="79" customWidth="1"/>
    <col min="9229" max="9472" width="8.77734375" style="79"/>
    <col min="9473" max="9473" width="3.77734375" style="79" customWidth="1"/>
    <col min="9474" max="9474" width="4.21875" style="79" customWidth="1"/>
    <col min="9475" max="9476" width="4.77734375" style="79" customWidth="1"/>
    <col min="9477" max="9477" width="28.33203125" style="79" customWidth="1"/>
    <col min="9478" max="9478" width="4.21875" style="79" customWidth="1"/>
    <col min="9479" max="9479" width="10.77734375" style="79" customWidth="1"/>
    <col min="9480" max="9483" width="9.77734375" style="79" customWidth="1"/>
    <col min="9484" max="9484" width="10.21875" style="79" customWidth="1"/>
    <col min="9485" max="9728" width="8.77734375" style="79"/>
    <col min="9729" max="9729" width="3.77734375" style="79" customWidth="1"/>
    <col min="9730" max="9730" width="4.21875" style="79" customWidth="1"/>
    <col min="9731" max="9732" width="4.77734375" style="79" customWidth="1"/>
    <col min="9733" max="9733" width="28.33203125" style="79" customWidth="1"/>
    <col min="9734" max="9734" width="4.21875" style="79" customWidth="1"/>
    <col min="9735" max="9735" width="10.77734375" style="79" customWidth="1"/>
    <col min="9736" max="9739" width="9.77734375" style="79" customWidth="1"/>
    <col min="9740" max="9740" width="10.21875" style="79" customWidth="1"/>
    <col min="9741" max="9984" width="8.77734375" style="79"/>
    <col min="9985" max="9985" width="3.77734375" style="79" customWidth="1"/>
    <col min="9986" max="9986" width="4.21875" style="79" customWidth="1"/>
    <col min="9987" max="9988" width="4.77734375" style="79" customWidth="1"/>
    <col min="9989" max="9989" width="28.33203125" style="79" customWidth="1"/>
    <col min="9990" max="9990" width="4.21875" style="79" customWidth="1"/>
    <col min="9991" max="9991" width="10.77734375" style="79" customWidth="1"/>
    <col min="9992" max="9995" width="9.77734375" style="79" customWidth="1"/>
    <col min="9996" max="9996" width="10.21875" style="79" customWidth="1"/>
    <col min="9997" max="10240" width="8.77734375" style="79"/>
    <col min="10241" max="10241" width="3.77734375" style="79" customWidth="1"/>
    <col min="10242" max="10242" width="4.21875" style="79" customWidth="1"/>
    <col min="10243" max="10244" width="4.77734375" style="79" customWidth="1"/>
    <col min="10245" max="10245" width="28.33203125" style="79" customWidth="1"/>
    <col min="10246" max="10246" width="4.21875" style="79" customWidth="1"/>
    <col min="10247" max="10247" width="10.77734375" style="79" customWidth="1"/>
    <col min="10248" max="10251" width="9.77734375" style="79" customWidth="1"/>
    <col min="10252" max="10252" width="10.21875" style="79" customWidth="1"/>
    <col min="10253" max="10496" width="8.77734375" style="79"/>
    <col min="10497" max="10497" width="3.77734375" style="79" customWidth="1"/>
    <col min="10498" max="10498" width="4.21875" style="79" customWidth="1"/>
    <col min="10499" max="10500" width="4.77734375" style="79" customWidth="1"/>
    <col min="10501" max="10501" width="28.33203125" style="79" customWidth="1"/>
    <col min="10502" max="10502" width="4.21875" style="79" customWidth="1"/>
    <col min="10503" max="10503" width="10.77734375" style="79" customWidth="1"/>
    <col min="10504" max="10507" width="9.77734375" style="79" customWidth="1"/>
    <col min="10508" max="10508" width="10.21875" style="79" customWidth="1"/>
    <col min="10509" max="10752" width="8.77734375" style="79"/>
    <col min="10753" max="10753" width="3.77734375" style="79" customWidth="1"/>
    <col min="10754" max="10754" width="4.21875" style="79" customWidth="1"/>
    <col min="10755" max="10756" width="4.77734375" style="79" customWidth="1"/>
    <col min="10757" max="10757" width="28.33203125" style="79" customWidth="1"/>
    <col min="10758" max="10758" width="4.21875" style="79" customWidth="1"/>
    <col min="10759" max="10759" width="10.77734375" style="79" customWidth="1"/>
    <col min="10760" max="10763" width="9.77734375" style="79" customWidth="1"/>
    <col min="10764" max="10764" width="10.21875" style="79" customWidth="1"/>
    <col min="10765" max="11008" width="8.77734375" style="79"/>
    <col min="11009" max="11009" width="3.77734375" style="79" customWidth="1"/>
    <col min="11010" max="11010" width="4.21875" style="79" customWidth="1"/>
    <col min="11011" max="11012" width="4.77734375" style="79" customWidth="1"/>
    <col min="11013" max="11013" width="28.33203125" style="79" customWidth="1"/>
    <col min="11014" max="11014" width="4.21875" style="79" customWidth="1"/>
    <col min="11015" max="11015" width="10.77734375" style="79" customWidth="1"/>
    <col min="11016" max="11019" width="9.77734375" style="79" customWidth="1"/>
    <col min="11020" max="11020" width="10.21875" style="79" customWidth="1"/>
    <col min="11021" max="11264" width="8.77734375" style="79"/>
    <col min="11265" max="11265" width="3.77734375" style="79" customWidth="1"/>
    <col min="11266" max="11266" width="4.21875" style="79" customWidth="1"/>
    <col min="11267" max="11268" width="4.77734375" style="79" customWidth="1"/>
    <col min="11269" max="11269" width="28.33203125" style="79" customWidth="1"/>
    <col min="11270" max="11270" width="4.21875" style="79" customWidth="1"/>
    <col min="11271" max="11271" width="10.77734375" style="79" customWidth="1"/>
    <col min="11272" max="11275" width="9.77734375" style="79" customWidth="1"/>
    <col min="11276" max="11276" width="10.21875" style="79" customWidth="1"/>
    <col min="11277" max="11520" width="8.77734375" style="79"/>
    <col min="11521" max="11521" width="3.77734375" style="79" customWidth="1"/>
    <col min="11522" max="11522" width="4.21875" style="79" customWidth="1"/>
    <col min="11523" max="11524" width="4.77734375" style="79" customWidth="1"/>
    <col min="11525" max="11525" width="28.33203125" style="79" customWidth="1"/>
    <col min="11526" max="11526" width="4.21875" style="79" customWidth="1"/>
    <col min="11527" max="11527" width="10.77734375" style="79" customWidth="1"/>
    <col min="11528" max="11531" width="9.77734375" style="79" customWidth="1"/>
    <col min="11532" max="11532" width="10.21875" style="79" customWidth="1"/>
    <col min="11533" max="11776" width="8.77734375" style="79"/>
    <col min="11777" max="11777" width="3.77734375" style="79" customWidth="1"/>
    <col min="11778" max="11778" width="4.21875" style="79" customWidth="1"/>
    <col min="11779" max="11780" width="4.77734375" style="79" customWidth="1"/>
    <col min="11781" max="11781" width="28.33203125" style="79" customWidth="1"/>
    <col min="11782" max="11782" width="4.21875" style="79" customWidth="1"/>
    <col min="11783" max="11783" width="10.77734375" style="79" customWidth="1"/>
    <col min="11784" max="11787" width="9.77734375" style="79" customWidth="1"/>
    <col min="11788" max="11788" width="10.21875" style="79" customWidth="1"/>
    <col min="11789" max="12032" width="8.77734375" style="79"/>
    <col min="12033" max="12033" width="3.77734375" style="79" customWidth="1"/>
    <col min="12034" max="12034" width="4.21875" style="79" customWidth="1"/>
    <col min="12035" max="12036" width="4.77734375" style="79" customWidth="1"/>
    <col min="12037" max="12037" width="28.33203125" style="79" customWidth="1"/>
    <col min="12038" max="12038" width="4.21875" style="79" customWidth="1"/>
    <col min="12039" max="12039" width="10.77734375" style="79" customWidth="1"/>
    <col min="12040" max="12043" width="9.77734375" style="79" customWidth="1"/>
    <col min="12044" max="12044" width="10.21875" style="79" customWidth="1"/>
    <col min="12045" max="12288" width="8.77734375" style="79"/>
    <col min="12289" max="12289" width="3.77734375" style="79" customWidth="1"/>
    <col min="12290" max="12290" width="4.21875" style="79" customWidth="1"/>
    <col min="12291" max="12292" width="4.77734375" style="79" customWidth="1"/>
    <col min="12293" max="12293" width="28.33203125" style="79" customWidth="1"/>
    <col min="12294" max="12294" width="4.21875" style="79" customWidth="1"/>
    <col min="12295" max="12295" width="10.77734375" style="79" customWidth="1"/>
    <col min="12296" max="12299" width="9.77734375" style="79" customWidth="1"/>
    <col min="12300" max="12300" width="10.21875" style="79" customWidth="1"/>
    <col min="12301" max="12544" width="8.77734375" style="79"/>
    <col min="12545" max="12545" width="3.77734375" style="79" customWidth="1"/>
    <col min="12546" max="12546" width="4.21875" style="79" customWidth="1"/>
    <col min="12547" max="12548" width="4.77734375" style="79" customWidth="1"/>
    <col min="12549" max="12549" width="28.33203125" style="79" customWidth="1"/>
    <col min="12550" max="12550" width="4.21875" style="79" customWidth="1"/>
    <col min="12551" max="12551" width="10.77734375" style="79" customWidth="1"/>
    <col min="12552" max="12555" width="9.77734375" style="79" customWidth="1"/>
    <col min="12556" max="12556" width="10.21875" style="79" customWidth="1"/>
    <col min="12557" max="12800" width="8.77734375" style="79"/>
    <col min="12801" max="12801" width="3.77734375" style="79" customWidth="1"/>
    <col min="12802" max="12802" width="4.21875" style="79" customWidth="1"/>
    <col min="12803" max="12804" width="4.77734375" style="79" customWidth="1"/>
    <col min="12805" max="12805" width="28.33203125" style="79" customWidth="1"/>
    <col min="12806" max="12806" width="4.21875" style="79" customWidth="1"/>
    <col min="12807" max="12807" width="10.77734375" style="79" customWidth="1"/>
    <col min="12808" max="12811" width="9.77734375" style="79" customWidth="1"/>
    <col min="12812" max="12812" width="10.21875" style="79" customWidth="1"/>
    <col min="12813" max="13056" width="8.77734375" style="79"/>
    <col min="13057" max="13057" width="3.77734375" style="79" customWidth="1"/>
    <col min="13058" max="13058" width="4.21875" style="79" customWidth="1"/>
    <col min="13059" max="13060" width="4.77734375" style="79" customWidth="1"/>
    <col min="13061" max="13061" width="28.33203125" style="79" customWidth="1"/>
    <col min="13062" max="13062" width="4.21875" style="79" customWidth="1"/>
    <col min="13063" max="13063" width="10.77734375" style="79" customWidth="1"/>
    <col min="13064" max="13067" width="9.77734375" style="79" customWidth="1"/>
    <col min="13068" max="13068" width="10.21875" style="79" customWidth="1"/>
    <col min="13069" max="13312" width="8.77734375" style="79"/>
    <col min="13313" max="13313" width="3.77734375" style="79" customWidth="1"/>
    <col min="13314" max="13314" width="4.21875" style="79" customWidth="1"/>
    <col min="13315" max="13316" width="4.77734375" style="79" customWidth="1"/>
    <col min="13317" max="13317" width="28.33203125" style="79" customWidth="1"/>
    <col min="13318" max="13318" width="4.21875" style="79" customWidth="1"/>
    <col min="13319" max="13319" width="10.77734375" style="79" customWidth="1"/>
    <col min="13320" max="13323" width="9.77734375" style="79" customWidth="1"/>
    <col min="13324" max="13324" width="10.21875" style="79" customWidth="1"/>
    <col min="13325" max="13568" width="8.77734375" style="79"/>
    <col min="13569" max="13569" width="3.77734375" style="79" customWidth="1"/>
    <col min="13570" max="13570" width="4.21875" style="79" customWidth="1"/>
    <col min="13571" max="13572" width="4.77734375" style="79" customWidth="1"/>
    <col min="13573" max="13573" width="28.33203125" style="79" customWidth="1"/>
    <col min="13574" max="13574" width="4.21875" style="79" customWidth="1"/>
    <col min="13575" max="13575" width="10.77734375" style="79" customWidth="1"/>
    <col min="13576" max="13579" width="9.77734375" style="79" customWidth="1"/>
    <col min="13580" max="13580" width="10.21875" style="79" customWidth="1"/>
    <col min="13581" max="13824" width="8.77734375" style="79"/>
    <col min="13825" max="13825" width="3.77734375" style="79" customWidth="1"/>
    <col min="13826" max="13826" width="4.21875" style="79" customWidth="1"/>
    <col min="13827" max="13828" width="4.77734375" style="79" customWidth="1"/>
    <col min="13829" max="13829" width="28.33203125" style="79" customWidth="1"/>
    <col min="13830" max="13830" width="4.21875" style="79" customWidth="1"/>
    <col min="13831" max="13831" width="10.77734375" style="79" customWidth="1"/>
    <col min="13832" max="13835" width="9.77734375" style="79" customWidth="1"/>
    <col min="13836" max="13836" width="10.21875" style="79" customWidth="1"/>
    <col min="13837" max="14080" width="8.77734375" style="79"/>
    <col min="14081" max="14081" width="3.77734375" style="79" customWidth="1"/>
    <col min="14082" max="14082" width="4.21875" style="79" customWidth="1"/>
    <col min="14083" max="14084" width="4.77734375" style="79" customWidth="1"/>
    <col min="14085" max="14085" width="28.33203125" style="79" customWidth="1"/>
    <col min="14086" max="14086" width="4.21875" style="79" customWidth="1"/>
    <col min="14087" max="14087" width="10.77734375" style="79" customWidth="1"/>
    <col min="14088" max="14091" width="9.77734375" style="79" customWidth="1"/>
    <col min="14092" max="14092" width="10.21875" style="79" customWidth="1"/>
    <col min="14093" max="14336" width="8.77734375" style="79"/>
    <col min="14337" max="14337" width="3.77734375" style="79" customWidth="1"/>
    <col min="14338" max="14338" width="4.21875" style="79" customWidth="1"/>
    <col min="14339" max="14340" width="4.77734375" style="79" customWidth="1"/>
    <col min="14341" max="14341" width="28.33203125" style="79" customWidth="1"/>
    <col min="14342" max="14342" width="4.21875" style="79" customWidth="1"/>
    <col min="14343" max="14343" width="10.77734375" style="79" customWidth="1"/>
    <col min="14344" max="14347" width="9.77734375" style="79" customWidth="1"/>
    <col min="14348" max="14348" width="10.21875" style="79" customWidth="1"/>
    <col min="14349" max="14592" width="8.77734375" style="79"/>
    <col min="14593" max="14593" width="3.77734375" style="79" customWidth="1"/>
    <col min="14594" max="14594" width="4.21875" style="79" customWidth="1"/>
    <col min="14595" max="14596" width="4.77734375" style="79" customWidth="1"/>
    <col min="14597" max="14597" width="28.33203125" style="79" customWidth="1"/>
    <col min="14598" max="14598" width="4.21875" style="79" customWidth="1"/>
    <col min="14599" max="14599" width="10.77734375" style="79" customWidth="1"/>
    <col min="14600" max="14603" width="9.77734375" style="79" customWidth="1"/>
    <col min="14604" max="14604" width="10.21875" style="79" customWidth="1"/>
    <col min="14605" max="14848" width="8.77734375" style="79"/>
    <col min="14849" max="14849" width="3.77734375" style="79" customWidth="1"/>
    <col min="14850" max="14850" width="4.21875" style="79" customWidth="1"/>
    <col min="14851" max="14852" width="4.77734375" style="79" customWidth="1"/>
    <col min="14853" max="14853" width="28.33203125" style="79" customWidth="1"/>
    <col min="14854" max="14854" width="4.21875" style="79" customWidth="1"/>
    <col min="14855" max="14855" width="10.77734375" style="79" customWidth="1"/>
    <col min="14856" max="14859" width="9.77734375" style="79" customWidth="1"/>
    <col min="14860" max="14860" width="10.21875" style="79" customWidth="1"/>
    <col min="14861" max="15104" width="8.77734375" style="79"/>
    <col min="15105" max="15105" width="3.77734375" style="79" customWidth="1"/>
    <col min="15106" max="15106" width="4.21875" style="79" customWidth="1"/>
    <col min="15107" max="15108" width="4.77734375" style="79" customWidth="1"/>
    <col min="15109" max="15109" width="28.33203125" style="79" customWidth="1"/>
    <col min="15110" max="15110" width="4.21875" style="79" customWidth="1"/>
    <col min="15111" max="15111" width="10.77734375" style="79" customWidth="1"/>
    <col min="15112" max="15115" width="9.77734375" style="79" customWidth="1"/>
    <col min="15116" max="15116" width="10.21875" style="79" customWidth="1"/>
    <col min="15117" max="15360" width="8.77734375" style="79"/>
    <col min="15361" max="15361" width="3.77734375" style="79" customWidth="1"/>
    <col min="15362" max="15362" width="4.21875" style="79" customWidth="1"/>
    <col min="15363" max="15364" width="4.77734375" style="79" customWidth="1"/>
    <col min="15365" max="15365" width="28.33203125" style="79" customWidth="1"/>
    <col min="15366" max="15366" width="4.21875" style="79" customWidth="1"/>
    <col min="15367" max="15367" width="10.77734375" style="79" customWidth="1"/>
    <col min="15368" max="15371" width="9.77734375" style="79" customWidth="1"/>
    <col min="15372" max="15372" width="10.21875" style="79" customWidth="1"/>
    <col min="15373" max="15616" width="8.77734375" style="79"/>
    <col min="15617" max="15617" width="3.77734375" style="79" customWidth="1"/>
    <col min="15618" max="15618" width="4.21875" style="79" customWidth="1"/>
    <col min="15619" max="15620" width="4.77734375" style="79" customWidth="1"/>
    <col min="15621" max="15621" width="28.33203125" style="79" customWidth="1"/>
    <col min="15622" max="15622" width="4.21875" style="79" customWidth="1"/>
    <col min="15623" max="15623" width="10.77734375" style="79" customWidth="1"/>
    <col min="15624" max="15627" width="9.77734375" style="79" customWidth="1"/>
    <col min="15628" max="15628" width="10.21875" style="79" customWidth="1"/>
    <col min="15629" max="15872" width="8.77734375" style="79"/>
    <col min="15873" max="15873" width="3.77734375" style="79" customWidth="1"/>
    <col min="15874" max="15874" width="4.21875" style="79" customWidth="1"/>
    <col min="15875" max="15876" width="4.77734375" style="79" customWidth="1"/>
    <col min="15877" max="15877" width="28.33203125" style="79" customWidth="1"/>
    <col min="15878" max="15878" width="4.21875" style="79" customWidth="1"/>
    <col min="15879" max="15879" width="10.77734375" style="79" customWidth="1"/>
    <col min="15880" max="15883" width="9.77734375" style="79" customWidth="1"/>
    <col min="15884" max="15884" width="10.21875" style="79" customWidth="1"/>
    <col min="15885" max="16128" width="8.77734375" style="79"/>
    <col min="16129" max="16129" width="3.77734375" style="79" customWidth="1"/>
    <col min="16130" max="16130" width="4.21875" style="79" customWidth="1"/>
    <col min="16131" max="16132" width="4.77734375" style="79" customWidth="1"/>
    <col min="16133" max="16133" width="28.33203125" style="79" customWidth="1"/>
    <col min="16134" max="16134" width="4.21875" style="79" customWidth="1"/>
    <col min="16135" max="16135" width="10.77734375" style="79" customWidth="1"/>
    <col min="16136" max="16139" width="9.77734375" style="79" customWidth="1"/>
    <col min="16140" max="16140" width="10.21875" style="79" customWidth="1"/>
    <col min="16141" max="16384" width="8.77734375" style="79"/>
  </cols>
  <sheetData>
    <row r="1" spans="1:13" s="31" customFormat="1" ht="18" customHeight="1" x14ac:dyDescent="0.3">
      <c r="A1" s="29" t="s">
        <v>114</v>
      </c>
      <c r="B1" s="30"/>
      <c r="D1" s="32"/>
      <c r="E1" s="32"/>
      <c r="F1" s="33"/>
      <c r="G1" s="34"/>
      <c r="H1" s="35"/>
      <c r="I1" s="36"/>
      <c r="J1" s="25" t="s">
        <v>23</v>
      </c>
      <c r="K1" s="37"/>
      <c r="L1" s="38"/>
    </row>
    <row r="2" spans="1:13" s="31" customFormat="1" ht="15" customHeight="1" x14ac:dyDescent="0.3">
      <c r="A2" s="39" t="s">
        <v>115</v>
      </c>
      <c r="B2" s="30"/>
      <c r="D2" s="32"/>
      <c r="E2" s="32"/>
      <c r="F2" s="33"/>
      <c r="G2" s="34"/>
      <c r="H2" s="35"/>
      <c r="I2" s="36"/>
      <c r="J2" s="40"/>
      <c r="K2" s="37"/>
      <c r="L2" s="38"/>
    </row>
    <row r="3" spans="1:13" s="31" customFormat="1" ht="15" customHeight="1" x14ac:dyDescent="0.25">
      <c r="A3" s="41" t="s">
        <v>24</v>
      </c>
      <c r="B3" s="42"/>
      <c r="C3" s="43"/>
      <c r="D3" s="44"/>
      <c r="E3" s="32"/>
      <c r="F3" s="33"/>
      <c r="G3" s="34"/>
      <c r="H3" s="35"/>
      <c r="I3" s="36"/>
      <c r="J3" s="40"/>
      <c r="K3" s="37"/>
      <c r="L3" s="38"/>
    </row>
    <row r="4" spans="1:13" s="55" customFormat="1" ht="3.75" customHeight="1" x14ac:dyDescent="0.2">
      <c r="A4" s="45"/>
      <c r="B4" s="46"/>
      <c r="C4" s="47"/>
      <c r="D4" s="48"/>
      <c r="E4" s="48"/>
      <c r="F4" s="48"/>
      <c r="G4" s="49"/>
      <c r="H4" s="50"/>
      <c r="I4" s="51"/>
      <c r="J4" s="52"/>
      <c r="K4" s="53"/>
      <c r="L4" s="54"/>
    </row>
    <row r="5" spans="1:13" s="55" customFormat="1" ht="10.5" customHeight="1" x14ac:dyDescent="0.15">
      <c r="A5" s="56"/>
      <c r="B5" s="56"/>
      <c r="C5" s="57"/>
      <c r="D5" s="58"/>
      <c r="E5" s="58"/>
      <c r="F5" s="59"/>
      <c r="G5" s="60" t="s">
        <v>116</v>
      </c>
      <c r="H5" s="61" t="s">
        <v>25</v>
      </c>
      <c r="I5" s="62" t="s">
        <v>26</v>
      </c>
      <c r="J5" s="63" t="s">
        <v>117</v>
      </c>
      <c r="K5" s="64"/>
      <c r="L5" s="65"/>
    </row>
    <row r="6" spans="1:13" s="55" customFormat="1" ht="11.1" customHeight="1" x14ac:dyDescent="0.15">
      <c r="A6" s="56"/>
      <c r="B6" s="56"/>
      <c r="C6" s="66"/>
      <c r="D6" s="58"/>
      <c r="E6" s="58"/>
      <c r="F6" s="59"/>
      <c r="G6" s="67" t="s">
        <v>29</v>
      </c>
      <c r="H6" s="61" t="s">
        <v>27</v>
      </c>
      <c r="I6" s="62" t="s">
        <v>28</v>
      </c>
      <c r="J6" s="63" t="s">
        <v>118</v>
      </c>
      <c r="K6" s="64"/>
      <c r="L6" s="65"/>
    </row>
    <row r="7" spans="1:13" s="55" customFormat="1" ht="11.1" customHeight="1" x14ac:dyDescent="0.15">
      <c r="A7" s="56"/>
      <c r="B7" s="56"/>
      <c r="C7" s="66"/>
      <c r="D7" s="68"/>
      <c r="E7" s="68"/>
      <c r="F7" s="59"/>
      <c r="G7" s="60" t="s">
        <v>31</v>
      </c>
      <c r="H7" s="61" t="s">
        <v>29</v>
      </c>
      <c r="I7" s="62" t="s">
        <v>30</v>
      </c>
      <c r="J7" s="69" t="s">
        <v>119</v>
      </c>
      <c r="K7" s="64"/>
      <c r="L7" s="65"/>
    </row>
    <row r="8" spans="1:13" s="55" customFormat="1" ht="11.1" customHeight="1" x14ac:dyDescent="0.15">
      <c r="A8" s="56"/>
      <c r="B8" s="56"/>
      <c r="C8" s="66"/>
      <c r="D8" s="58"/>
      <c r="E8" s="58"/>
      <c r="F8" s="59"/>
      <c r="G8" s="67" t="s">
        <v>32</v>
      </c>
      <c r="H8" s="61" t="s">
        <v>33</v>
      </c>
      <c r="I8" s="62" t="s">
        <v>120</v>
      </c>
      <c r="J8" s="70" t="s">
        <v>121</v>
      </c>
      <c r="K8" s="64"/>
      <c r="L8" s="65"/>
    </row>
    <row r="9" spans="1:13" ht="3" customHeight="1" x14ac:dyDescent="0.2">
      <c r="A9" s="71"/>
      <c r="B9" s="71"/>
      <c r="C9" s="72"/>
      <c r="D9" s="73"/>
      <c r="E9" s="73"/>
      <c r="F9" s="73"/>
      <c r="G9" s="74"/>
      <c r="H9" s="75"/>
      <c r="I9" s="76"/>
      <c r="J9" s="77"/>
      <c r="K9" s="78"/>
      <c r="L9" s="54"/>
    </row>
    <row r="10" spans="1:13" ht="3" customHeight="1" x14ac:dyDescent="0.2">
      <c r="B10" s="81"/>
      <c r="C10" s="82"/>
      <c r="D10" s="83"/>
      <c r="E10" s="83"/>
      <c r="F10" s="84"/>
      <c r="G10" s="85"/>
      <c r="H10" s="86"/>
      <c r="I10" s="87"/>
      <c r="J10" s="88"/>
      <c r="K10" s="78"/>
      <c r="L10" s="54"/>
    </row>
    <row r="11" spans="1:13" s="99" customFormat="1" ht="11.1" customHeight="1" x14ac:dyDescent="0.25">
      <c r="A11" s="89" t="s">
        <v>122</v>
      </c>
      <c r="B11" s="90"/>
      <c r="C11" s="91"/>
      <c r="D11" s="92"/>
      <c r="E11" s="92"/>
      <c r="F11" s="93"/>
      <c r="G11" s="94"/>
      <c r="H11" s="95"/>
      <c r="I11" s="96">
        <v>5480</v>
      </c>
      <c r="J11" s="97"/>
      <c r="K11" s="78"/>
      <c r="L11" s="98"/>
    </row>
    <row r="12" spans="1:13" s="105" customFormat="1" ht="3" customHeight="1" x14ac:dyDescent="0.25">
      <c r="A12" s="100"/>
      <c r="B12" s="46"/>
      <c r="C12" s="100"/>
      <c r="D12" s="72"/>
      <c r="E12" s="72"/>
      <c r="F12" s="72"/>
      <c r="G12" s="101"/>
      <c r="H12" s="102"/>
      <c r="I12" s="103"/>
      <c r="J12" s="104"/>
      <c r="K12" s="78"/>
      <c r="L12" s="54"/>
    </row>
    <row r="13" spans="1:13" s="105" customFormat="1" ht="3" customHeight="1" x14ac:dyDescent="0.25">
      <c r="A13" s="106"/>
      <c r="B13" s="81"/>
      <c r="C13" s="106"/>
      <c r="D13" s="79"/>
      <c r="E13" s="79"/>
      <c r="F13" s="79"/>
      <c r="G13" s="107"/>
      <c r="H13" s="108"/>
      <c r="I13" s="109"/>
      <c r="J13" s="110"/>
      <c r="K13" s="78"/>
      <c r="L13" s="54"/>
    </row>
    <row r="14" spans="1:13" s="93" customFormat="1" ht="11.1" customHeight="1" x14ac:dyDescent="0.2">
      <c r="A14" s="111" t="s">
        <v>123</v>
      </c>
      <c r="B14" s="112"/>
      <c r="C14" s="113"/>
      <c r="F14" s="114" t="s">
        <v>124</v>
      </c>
      <c r="G14" s="115"/>
      <c r="H14" s="116"/>
      <c r="I14" s="117"/>
      <c r="J14" s="97"/>
      <c r="K14" s="78"/>
      <c r="L14" s="98"/>
    </row>
    <row r="15" spans="1:13" s="118" customFormat="1" ht="3" customHeight="1" x14ac:dyDescent="0.2">
      <c r="A15" s="80"/>
      <c r="B15" s="80"/>
      <c r="C15" s="79"/>
      <c r="D15" s="79"/>
      <c r="E15" s="79"/>
      <c r="F15" s="79"/>
      <c r="G15" s="107"/>
      <c r="H15" s="108"/>
      <c r="I15" s="109"/>
      <c r="J15" s="110"/>
      <c r="K15" s="78"/>
      <c r="L15" s="54"/>
    </row>
    <row r="16" spans="1:13" s="128" customFormat="1" ht="12" customHeight="1" x14ac:dyDescent="0.25">
      <c r="A16" s="119" t="s">
        <v>34</v>
      </c>
      <c r="B16" s="120" t="s">
        <v>7</v>
      </c>
      <c r="C16" s="121"/>
      <c r="D16" s="122"/>
      <c r="E16" s="122"/>
      <c r="F16" s="121"/>
      <c r="G16" s="123">
        <v>61.9</v>
      </c>
      <c r="H16" s="124">
        <v>1701</v>
      </c>
      <c r="I16" s="124">
        <v>5430</v>
      </c>
      <c r="J16" s="125">
        <v>1</v>
      </c>
      <c r="K16" s="78"/>
      <c r="L16" s="126"/>
      <c r="M16" s="127"/>
    </row>
    <row r="17" spans="1:13" ht="6" customHeight="1" x14ac:dyDescent="0.2">
      <c r="A17" s="129"/>
      <c r="B17" s="81"/>
      <c r="D17" s="130"/>
      <c r="E17" s="130"/>
      <c r="F17" s="79"/>
      <c r="G17" s="131"/>
      <c r="H17" s="132"/>
      <c r="I17" s="133"/>
      <c r="J17" s="134"/>
      <c r="K17" s="78"/>
      <c r="L17" s="127"/>
      <c r="M17" s="127"/>
    </row>
    <row r="18" spans="1:13" ht="11.1" customHeight="1" x14ac:dyDescent="0.2">
      <c r="A18" s="80">
        <v>1.1000000000000001</v>
      </c>
      <c r="B18" s="129" t="s">
        <v>35</v>
      </c>
      <c r="D18" s="130"/>
      <c r="E18" s="130"/>
      <c r="F18" s="79"/>
      <c r="G18" s="131">
        <v>56.6</v>
      </c>
      <c r="H18" s="132">
        <v>1555</v>
      </c>
      <c r="I18" s="132">
        <v>5420</v>
      </c>
      <c r="J18" s="135">
        <v>1</v>
      </c>
      <c r="K18" s="78"/>
      <c r="M18" s="127"/>
    </row>
    <row r="19" spans="1:13" s="56" customFormat="1" ht="11.1" customHeight="1" x14ac:dyDescent="0.2">
      <c r="B19" s="136" t="s">
        <v>36</v>
      </c>
      <c r="C19" s="56" t="s">
        <v>37</v>
      </c>
      <c r="D19" s="137"/>
      <c r="G19" s="131">
        <v>5.5</v>
      </c>
      <c r="H19" s="132">
        <v>151</v>
      </c>
      <c r="I19" s="132">
        <v>5300</v>
      </c>
      <c r="J19" s="135">
        <v>1.1000000000000001</v>
      </c>
      <c r="K19" s="78"/>
      <c r="L19" s="126"/>
      <c r="M19" s="127"/>
    </row>
    <row r="20" spans="1:13" s="56" customFormat="1" ht="11.1" customHeight="1" x14ac:dyDescent="0.2">
      <c r="C20" s="56" t="s">
        <v>125</v>
      </c>
      <c r="D20" s="56" t="s">
        <v>126</v>
      </c>
      <c r="G20" s="131">
        <v>0.5</v>
      </c>
      <c r="H20" s="132">
        <v>14</v>
      </c>
      <c r="I20" s="132">
        <v>1710</v>
      </c>
      <c r="J20" s="135">
        <v>4.8</v>
      </c>
      <c r="K20" s="78"/>
      <c r="L20" s="126"/>
      <c r="M20" s="127"/>
    </row>
    <row r="21" spans="1:13" s="56" customFormat="1" ht="11.1" customHeight="1" x14ac:dyDescent="0.2">
      <c r="C21" s="56" t="s">
        <v>127</v>
      </c>
      <c r="D21" s="56" t="s">
        <v>128</v>
      </c>
      <c r="G21" s="131">
        <v>2.6</v>
      </c>
      <c r="H21" s="132">
        <v>71</v>
      </c>
      <c r="I21" s="132">
        <v>5090</v>
      </c>
      <c r="J21" s="135">
        <v>1.2</v>
      </c>
      <c r="K21" s="78"/>
      <c r="L21" s="126"/>
      <c r="M21" s="127"/>
    </row>
    <row r="22" spans="1:13" s="56" customFormat="1" ht="11.1" customHeight="1" x14ac:dyDescent="0.2">
      <c r="C22" s="56" t="s">
        <v>129</v>
      </c>
      <c r="D22" s="56" t="s">
        <v>130</v>
      </c>
      <c r="G22" s="131">
        <v>2.5</v>
      </c>
      <c r="H22" s="132">
        <v>67</v>
      </c>
      <c r="I22" s="132">
        <v>4500</v>
      </c>
      <c r="J22" s="135">
        <v>1.4</v>
      </c>
      <c r="K22" s="78"/>
      <c r="L22" s="126"/>
      <c r="M22" s="127"/>
    </row>
    <row r="23" spans="1:13" s="56" customFormat="1" ht="11.1" customHeight="1" x14ac:dyDescent="0.2">
      <c r="B23" s="56" t="s">
        <v>38</v>
      </c>
      <c r="C23" s="56" t="s">
        <v>39</v>
      </c>
      <c r="G23" s="131">
        <v>0.4</v>
      </c>
      <c r="H23" s="132">
        <v>12</v>
      </c>
      <c r="I23" s="132">
        <v>2360</v>
      </c>
      <c r="J23" s="135">
        <v>2.7</v>
      </c>
      <c r="K23" s="78"/>
      <c r="L23" s="126"/>
      <c r="M23" s="127"/>
    </row>
    <row r="24" spans="1:13" s="55" customFormat="1" ht="11.1" customHeight="1" x14ac:dyDescent="0.2">
      <c r="A24" s="56"/>
      <c r="B24" s="56" t="s">
        <v>40</v>
      </c>
      <c r="C24" s="136" t="s">
        <v>41</v>
      </c>
      <c r="E24" s="137"/>
      <c r="G24" s="131">
        <v>3.9</v>
      </c>
      <c r="H24" s="132">
        <v>108</v>
      </c>
      <c r="I24" s="132">
        <v>4900</v>
      </c>
      <c r="J24" s="135">
        <v>1.6</v>
      </c>
      <c r="K24" s="78"/>
      <c r="L24" s="126"/>
      <c r="M24" s="127"/>
    </row>
    <row r="25" spans="1:13" s="55" customFormat="1" ht="11.1" customHeight="1" x14ac:dyDescent="0.2">
      <c r="A25" s="56"/>
      <c r="B25" s="56"/>
      <c r="C25" s="136" t="s">
        <v>131</v>
      </c>
      <c r="D25" s="55" t="s">
        <v>132</v>
      </c>
      <c r="E25" s="137"/>
      <c r="G25" s="131">
        <v>2.2999999999999998</v>
      </c>
      <c r="H25" s="132">
        <v>64</v>
      </c>
      <c r="I25" s="132">
        <v>4560</v>
      </c>
      <c r="J25" s="135">
        <v>1.7</v>
      </c>
      <c r="K25" s="78"/>
      <c r="L25" s="126"/>
      <c r="M25" s="127"/>
    </row>
    <row r="26" spans="1:13" s="55" customFormat="1" ht="11.1" customHeight="1" x14ac:dyDescent="0.2">
      <c r="A26" s="56"/>
      <c r="B26" s="56"/>
      <c r="C26" s="136" t="s">
        <v>133</v>
      </c>
      <c r="D26" s="55" t="s">
        <v>134</v>
      </c>
      <c r="E26" s="137"/>
      <c r="G26" s="131">
        <v>1.6</v>
      </c>
      <c r="H26" s="132">
        <v>44</v>
      </c>
      <c r="I26" s="132">
        <v>3480</v>
      </c>
      <c r="J26" s="135">
        <v>2.5</v>
      </c>
      <c r="K26" s="78"/>
      <c r="L26" s="126"/>
      <c r="M26" s="127"/>
    </row>
    <row r="27" spans="1:13" s="55" customFormat="1" ht="11.1" customHeight="1" x14ac:dyDescent="0.2">
      <c r="A27" s="56"/>
      <c r="B27" s="56" t="s">
        <v>42</v>
      </c>
      <c r="C27" s="136" t="s">
        <v>43</v>
      </c>
      <c r="E27" s="137"/>
      <c r="G27" s="131">
        <v>1</v>
      </c>
      <c r="H27" s="132">
        <v>26</v>
      </c>
      <c r="I27" s="132">
        <v>2250</v>
      </c>
      <c r="J27" s="135">
        <v>2.7</v>
      </c>
      <c r="K27" s="78"/>
      <c r="L27" s="126"/>
      <c r="M27" s="127"/>
    </row>
    <row r="28" spans="1:13" s="55" customFormat="1" ht="3" customHeight="1" x14ac:dyDescent="0.2">
      <c r="A28" s="56"/>
      <c r="B28" s="136"/>
      <c r="D28" s="137"/>
      <c r="E28" s="137"/>
      <c r="G28" s="138"/>
      <c r="H28" s="139"/>
      <c r="I28" s="140"/>
      <c r="J28" s="135"/>
      <c r="K28" s="78"/>
      <c r="L28" s="127"/>
      <c r="M28" s="127"/>
    </row>
    <row r="29" spans="1:13" s="84" customFormat="1" ht="11.1" customHeight="1" x14ac:dyDescent="0.2">
      <c r="B29" s="56" t="s">
        <v>44</v>
      </c>
      <c r="C29" s="136" t="s">
        <v>45</v>
      </c>
      <c r="D29" s="55"/>
      <c r="E29" s="137"/>
      <c r="F29" s="55"/>
      <c r="G29" s="131">
        <v>1.9</v>
      </c>
      <c r="H29" s="132">
        <v>53</v>
      </c>
      <c r="I29" s="132">
        <v>2430</v>
      </c>
      <c r="J29" s="135">
        <v>2.8</v>
      </c>
      <c r="K29" s="78"/>
      <c r="L29" s="126"/>
      <c r="M29" s="127"/>
    </row>
    <row r="30" spans="1:13" s="84" customFormat="1" ht="11.1" customHeight="1" x14ac:dyDescent="0.2">
      <c r="B30" s="56" t="s">
        <v>46</v>
      </c>
      <c r="C30" s="136" t="s">
        <v>47</v>
      </c>
      <c r="D30" s="55"/>
      <c r="E30" s="137"/>
      <c r="F30" s="55"/>
      <c r="G30" s="131">
        <v>0.5</v>
      </c>
      <c r="H30" s="132">
        <v>15</v>
      </c>
      <c r="I30" s="132">
        <v>1140</v>
      </c>
      <c r="J30" s="135">
        <v>3.6</v>
      </c>
      <c r="K30" s="78"/>
      <c r="L30" s="126"/>
      <c r="M30" s="127"/>
    </row>
    <row r="31" spans="1:13" s="84" customFormat="1" ht="11.1" customHeight="1" x14ac:dyDescent="0.2">
      <c r="B31" s="56" t="s">
        <v>48</v>
      </c>
      <c r="C31" s="136" t="s">
        <v>49</v>
      </c>
      <c r="D31" s="55"/>
      <c r="E31" s="137"/>
      <c r="F31" s="55"/>
      <c r="G31" s="131">
        <v>0.6</v>
      </c>
      <c r="H31" s="132">
        <v>15</v>
      </c>
      <c r="I31" s="132">
        <v>630</v>
      </c>
      <c r="J31" s="135">
        <v>6.8</v>
      </c>
      <c r="K31" s="78"/>
      <c r="L31" s="126"/>
      <c r="M31" s="127"/>
    </row>
    <row r="32" spans="1:13" s="141" customFormat="1" ht="11.1" customHeight="1" x14ac:dyDescent="0.2">
      <c r="B32" s="56" t="s">
        <v>50</v>
      </c>
      <c r="C32" s="136" t="s">
        <v>51</v>
      </c>
      <c r="D32" s="55"/>
      <c r="E32" s="137"/>
      <c r="F32" s="55"/>
      <c r="G32" s="131">
        <v>2.2999999999999998</v>
      </c>
      <c r="H32" s="132">
        <v>64</v>
      </c>
      <c r="I32" s="132">
        <v>2950</v>
      </c>
      <c r="J32" s="135">
        <v>2.2000000000000002</v>
      </c>
      <c r="K32" s="78"/>
      <c r="L32" s="126"/>
      <c r="M32" s="127"/>
    </row>
    <row r="33" spans="1:13" s="55" customFormat="1" ht="11.1" customHeight="1" x14ac:dyDescent="0.2">
      <c r="B33" s="56" t="s">
        <v>52</v>
      </c>
      <c r="C33" s="56" t="s">
        <v>53</v>
      </c>
      <c r="D33" s="142"/>
      <c r="E33" s="137"/>
      <c r="F33" s="143"/>
      <c r="G33" s="131">
        <v>0.8</v>
      </c>
      <c r="H33" s="132">
        <v>23</v>
      </c>
      <c r="I33" s="132">
        <v>2330</v>
      </c>
      <c r="J33" s="135">
        <v>2.6</v>
      </c>
      <c r="K33" s="78"/>
      <c r="L33" s="126"/>
      <c r="M33" s="127"/>
    </row>
    <row r="34" spans="1:13" s="55" customFormat="1" ht="11.1" customHeight="1" x14ac:dyDescent="0.2">
      <c r="B34" s="56" t="s">
        <v>54</v>
      </c>
      <c r="C34" s="56" t="s">
        <v>55</v>
      </c>
      <c r="D34" s="142"/>
      <c r="E34" s="137"/>
      <c r="F34" s="143"/>
      <c r="G34" s="131">
        <v>6.6</v>
      </c>
      <c r="H34" s="132">
        <v>181</v>
      </c>
      <c r="I34" s="132">
        <v>4840</v>
      </c>
      <c r="J34" s="135">
        <v>1.4</v>
      </c>
      <c r="K34" s="78"/>
      <c r="L34" s="126"/>
      <c r="M34" s="127"/>
    </row>
    <row r="35" spans="1:13" s="55" customFormat="1" ht="11.1" customHeight="1" x14ac:dyDescent="0.2">
      <c r="B35" s="56"/>
      <c r="C35" s="56" t="s">
        <v>135</v>
      </c>
      <c r="D35" s="144" t="s">
        <v>136</v>
      </c>
      <c r="E35" s="137"/>
      <c r="F35" s="143"/>
      <c r="G35" s="131">
        <v>0.9</v>
      </c>
      <c r="H35" s="132">
        <v>25</v>
      </c>
      <c r="I35" s="132">
        <v>2480</v>
      </c>
      <c r="J35" s="135">
        <v>2.5</v>
      </c>
      <c r="K35" s="78"/>
      <c r="L35" s="126"/>
      <c r="M35" s="127"/>
    </row>
    <row r="36" spans="1:13" s="55" customFormat="1" ht="11.1" customHeight="1" x14ac:dyDescent="0.2">
      <c r="B36" s="56"/>
      <c r="C36" s="56" t="s">
        <v>137</v>
      </c>
      <c r="D36" s="144" t="s">
        <v>138</v>
      </c>
      <c r="E36" s="137"/>
      <c r="F36" s="143"/>
      <c r="G36" s="131">
        <v>0.1</v>
      </c>
      <c r="H36" s="132">
        <v>3</v>
      </c>
      <c r="I36" s="132">
        <v>610</v>
      </c>
      <c r="J36" s="135">
        <v>8.6</v>
      </c>
      <c r="K36" s="78"/>
      <c r="L36" s="126"/>
      <c r="M36" s="127"/>
    </row>
    <row r="37" spans="1:13" s="55" customFormat="1" ht="11.1" customHeight="1" x14ac:dyDescent="0.2">
      <c r="B37" s="56"/>
      <c r="C37" s="56" t="s">
        <v>139</v>
      </c>
      <c r="D37" s="144" t="s">
        <v>140</v>
      </c>
      <c r="E37" s="137"/>
      <c r="F37" s="143"/>
      <c r="G37" s="131">
        <v>5.5</v>
      </c>
      <c r="H37" s="132">
        <v>152</v>
      </c>
      <c r="I37" s="132">
        <v>4650</v>
      </c>
      <c r="J37" s="135">
        <v>1.5</v>
      </c>
      <c r="K37" s="78"/>
      <c r="L37" s="126"/>
      <c r="M37" s="127"/>
    </row>
    <row r="38" spans="1:13" s="55" customFormat="1" ht="11.1" customHeight="1" x14ac:dyDescent="0.2">
      <c r="B38" s="56"/>
      <c r="C38" s="56" t="s">
        <v>141</v>
      </c>
      <c r="D38" s="144" t="s">
        <v>142</v>
      </c>
      <c r="E38" s="137"/>
      <c r="F38" s="143"/>
      <c r="G38" s="145">
        <v>0</v>
      </c>
      <c r="H38" s="132">
        <v>1</v>
      </c>
      <c r="I38" s="132">
        <v>30</v>
      </c>
      <c r="J38" s="135">
        <v>27.1</v>
      </c>
      <c r="K38" s="78"/>
      <c r="L38" s="126"/>
      <c r="M38" s="127"/>
    </row>
    <row r="39" spans="1:13" s="55" customFormat="1" ht="3" customHeight="1" x14ac:dyDescent="0.2">
      <c r="A39" s="56"/>
      <c r="B39" s="56"/>
      <c r="C39" s="144"/>
      <c r="D39" s="137"/>
      <c r="E39" s="137"/>
      <c r="F39" s="143"/>
      <c r="G39" s="138"/>
      <c r="H39" s="139"/>
      <c r="I39" s="140"/>
      <c r="J39" s="135"/>
      <c r="K39" s="78"/>
      <c r="L39" s="127"/>
      <c r="M39" s="127"/>
    </row>
    <row r="40" spans="1:13" s="55" customFormat="1" ht="11.1" customHeight="1" x14ac:dyDescent="0.2">
      <c r="B40" s="56" t="s">
        <v>56</v>
      </c>
      <c r="C40" s="136" t="s">
        <v>57</v>
      </c>
      <c r="E40" s="137"/>
      <c r="G40" s="131">
        <v>3</v>
      </c>
      <c r="H40" s="132">
        <v>82</v>
      </c>
      <c r="I40" s="132">
        <v>3570</v>
      </c>
      <c r="J40" s="135">
        <v>2.2999999999999998</v>
      </c>
      <c r="K40" s="78"/>
      <c r="L40" s="126"/>
      <c r="M40" s="127"/>
    </row>
    <row r="41" spans="1:13" s="55" customFormat="1" ht="11.1" customHeight="1" x14ac:dyDescent="0.2">
      <c r="B41" s="56"/>
      <c r="C41" s="136" t="s">
        <v>143</v>
      </c>
      <c r="D41" s="55" t="s">
        <v>144</v>
      </c>
      <c r="E41" s="137"/>
      <c r="F41" s="143"/>
      <c r="G41" s="131">
        <v>1</v>
      </c>
      <c r="H41" s="132">
        <v>27</v>
      </c>
      <c r="I41" s="132">
        <v>1330</v>
      </c>
      <c r="J41" s="135">
        <v>4.3</v>
      </c>
      <c r="K41" s="78"/>
      <c r="L41" s="126"/>
      <c r="M41" s="127"/>
    </row>
    <row r="42" spans="1:13" s="55" customFormat="1" ht="11.1" customHeight="1" x14ac:dyDescent="0.2">
      <c r="B42" s="56"/>
      <c r="C42" s="136" t="s">
        <v>145</v>
      </c>
      <c r="D42" s="55" t="s">
        <v>146</v>
      </c>
      <c r="E42" s="137"/>
      <c r="F42" s="143"/>
      <c r="G42" s="131">
        <v>0.7</v>
      </c>
      <c r="H42" s="132">
        <v>19</v>
      </c>
      <c r="I42" s="132">
        <v>1230</v>
      </c>
      <c r="J42" s="135">
        <v>4.2</v>
      </c>
      <c r="K42" s="78"/>
      <c r="L42" s="126"/>
      <c r="M42" s="127"/>
    </row>
    <row r="43" spans="1:13" s="141" customFormat="1" ht="11.1" customHeight="1" x14ac:dyDescent="0.2">
      <c r="B43" s="56"/>
      <c r="C43" s="136" t="s">
        <v>147</v>
      </c>
      <c r="D43" s="55" t="s">
        <v>148</v>
      </c>
      <c r="E43" s="137"/>
      <c r="F43" s="143"/>
      <c r="G43" s="131">
        <v>1.3</v>
      </c>
      <c r="H43" s="132">
        <v>37</v>
      </c>
      <c r="I43" s="132">
        <v>2850</v>
      </c>
      <c r="J43" s="135">
        <v>2.2999999999999998</v>
      </c>
      <c r="K43" s="78"/>
      <c r="L43" s="126"/>
      <c r="M43" s="127"/>
    </row>
    <row r="44" spans="1:13" s="55" customFormat="1" ht="3" customHeight="1" x14ac:dyDescent="0.2">
      <c r="B44" s="56"/>
      <c r="C44" s="136"/>
      <c r="E44" s="137"/>
      <c r="F44" s="143"/>
      <c r="G44" s="138"/>
      <c r="H44" s="139"/>
      <c r="I44" s="140"/>
      <c r="J44" s="146"/>
      <c r="K44" s="78"/>
      <c r="L44" s="127"/>
      <c r="M44" s="127"/>
    </row>
    <row r="45" spans="1:13" s="55" customFormat="1" ht="11.1" customHeight="1" x14ac:dyDescent="0.2">
      <c r="B45" s="56" t="s">
        <v>58</v>
      </c>
      <c r="C45" s="136" t="s">
        <v>59</v>
      </c>
      <c r="E45" s="137"/>
      <c r="G45" s="131">
        <v>2.2000000000000002</v>
      </c>
      <c r="H45" s="132">
        <v>60</v>
      </c>
      <c r="I45" s="132">
        <v>4920</v>
      </c>
      <c r="J45" s="135">
        <v>1.8</v>
      </c>
      <c r="K45" s="78"/>
      <c r="L45" s="126"/>
      <c r="M45" s="127"/>
    </row>
    <row r="46" spans="1:13" s="55" customFormat="1" ht="11.1" customHeight="1" x14ac:dyDescent="0.2">
      <c r="B46" s="56"/>
      <c r="C46" s="56" t="s">
        <v>149</v>
      </c>
      <c r="D46" s="147" t="s">
        <v>150</v>
      </c>
      <c r="E46" s="137"/>
      <c r="F46" s="143"/>
      <c r="G46" s="131">
        <v>0.4</v>
      </c>
      <c r="H46" s="132">
        <v>12</v>
      </c>
      <c r="I46" s="132">
        <v>1420</v>
      </c>
      <c r="J46" s="135">
        <v>3.5</v>
      </c>
      <c r="K46" s="78"/>
      <c r="L46" s="126"/>
      <c r="M46" s="127"/>
    </row>
    <row r="47" spans="1:13" s="55" customFormat="1" ht="11.1" customHeight="1" x14ac:dyDescent="0.2">
      <c r="B47" s="56"/>
      <c r="C47" s="56" t="s">
        <v>151</v>
      </c>
      <c r="D47" s="142" t="s">
        <v>152</v>
      </c>
      <c r="E47" s="137"/>
      <c r="F47" s="143"/>
      <c r="G47" s="131">
        <v>1.5</v>
      </c>
      <c r="H47" s="132">
        <v>41</v>
      </c>
      <c r="I47" s="132">
        <v>4180</v>
      </c>
      <c r="J47" s="135">
        <v>1.7</v>
      </c>
      <c r="K47" s="78"/>
      <c r="L47" s="126"/>
      <c r="M47" s="127"/>
    </row>
    <row r="48" spans="1:13" s="55" customFormat="1" ht="11.1" customHeight="1" x14ac:dyDescent="0.2">
      <c r="B48" s="56"/>
      <c r="C48" s="56" t="s">
        <v>153</v>
      </c>
      <c r="D48" s="144" t="s">
        <v>154</v>
      </c>
      <c r="E48" s="137"/>
      <c r="F48" s="143"/>
      <c r="G48" s="131">
        <v>0.3</v>
      </c>
      <c r="H48" s="132">
        <v>7</v>
      </c>
      <c r="I48" s="132">
        <v>310</v>
      </c>
      <c r="J48" s="135">
        <v>10.1</v>
      </c>
      <c r="K48" s="78"/>
      <c r="L48" s="126"/>
      <c r="M48" s="127"/>
    </row>
    <row r="49" spans="2:13" s="149" customFormat="1" ht="11.1" customHeight="1" x14ac:dyDescent="0.2">
      <c r="B49" s="56" t="s">
        <v>60</v>
      </c>
      <c r="C49" s="56" t="s">
        <v>61</v>
      </c>
      <c r="D49" s="148"/>
      <c r="E49" s="55"/>
      <c r="F49" s="55"/>
      <c r="G49" s="131">
        <v>2.1</v>
      </c>
      <c r="H49" s="132">
        <v>57</v>
      </c>
      <c r="I49" s="132">
        <v>4000</v>
      </c>
      <c r="J49" s="135">
        <v>1.9</v>
      </c>
      <c r="K49" s="78"/>
      <c r="L49" s="126"/>
      <c r="M49" s="127"/>
    </row>
    <row r="50" spans="2:13" s="55" customFormat="1" ht="11.1" customHeight="1" x14ac:dyDescent="0.2">
      <c r="B50" s="56" t="s">
        <v>62</v>
      </c>
      <c r="C50" s="136" t="s">
        <v>63</v>
      </c>
      <c r="E50" s="143"/>
      <c r="F50" s="142"/>
      <c r="G50" s="131">
        <v>0.7</v>
      </c>
      <c r="H50" s="132">
        <v>20</v>
      </c>
      <c r="I50" s="132">
        <v>3270</v>
      </c>
      <c r="J50" s="135">
        <v>2</v>
      </c>
      <c r="K50" s="78"/>
      <c r="L50" s="126"/>
      <c r="M50" s="127"/>
    </row>
    <row r="51" spans="2:13" s="149" customFormat="1" ht="11.1" customHeight="1" x14ac:dyDescent="0.2">
      <c r="B51" s="56" t="s">
        <v>64</v>
      </c>
      <c r="C51" s="136" t="s">
        <v>65</v>
      </c>
      <c r="D51" s="55"/>
      <c r="E51" s="137"/>
      <c r="F51" s="142"/>
      <c r="G51" s="131">
        <v>2.2999999999999998</v>
      </c>
      <c r="H51" s="132">
        <v>62</v>
      </c>
      <c r="I51" s="132">
        <v>4310</v>
      </c>
      <c r="J51" s="135">
        <v>1.6</v>
      </c>
      <c r="K51" s="78"/>
      <c r="L51" s="126"/>
      <c r="M51" s="127"/>
    </row>
    <row r="52" spans="2:13" s="55" customFormat="1" ht="11.1" customHeight="1" x14ac:dyDescent="0.2">
      <c r="B52" s="56"/>
      <c r="C52" s="136" t="s">
        <v>155</v>
      </c>
      <c r="D52" s="55" t="s">
        <v>65</v>
      </c>
      <c r="E52" s="137"/>
      <c r="G52" s="131">
        <v>1.1000000000000001</v>
      </c>
      <c r="H52" s="132">
        <v>31</v>
      </c>
      <c r="I52" s="132">
        <v>3250</v>
      </c>
      <c r="J52" s="135">
        <v>2.2000000000000002</v>
      </c>
      <c r="K52" s="78"/>
      <c r="L52" s="126"/>
      <c r="M52" s="127"/>
    </row>
    <row r="53" spans="2:13" s="55" customFormat="1" ht="11.1" customHeight="1" x14ac:dyDescent="0.2">
      <c r="B53" s="56"/>
      <c r="C53" s="136" t="s">
        <v>156</v>
      </c>
      <c r="D53" s="55" t="s">
        <v>157</v>
      </c>
      <c r="E53" s="137"/>
      <c r="G53" s="131">
        <v>1.2</v>
      </c>
      <c r="H53" s="132">
        <v>32</v>
      </c>
      <c r="I53" s="132">
        <v>3220</v>
      </c>
      <c r="J53" s="135">
        <v>2.1</v>
      </c>
      <c r="K53" s="78"/>
      <c r="L53" s="126"/>
      <c r="M53" s="127"/>
    </row>
    <row r="54" spans="2:13" s="55" customFormat="1" ht="3" customHeight="1" x14ac:dyDescent="0.2">
      <c r="B54" s="56"/>
      <c r="C54" s="136"/>
      <c r="E54" s="137"/>
      <c r="G54" s="138"/>
      <c r="H54" s="139"/>
      <c r="I54" s="140"/>
      <c r="J54" s="135"/>
      <c r="K54" s="78"/>
      <c r="L54" s="127"/>
      <c r="M54" s="127"/>
    </row>
    <row r="55" spans="2:13" s="55" customFormat="1" ht="11.1" customHeight="1" x14ac:dyDescent="0.2">
      <c r="B55" s="56" t="s">
        <v>66</v>
      </c>
      <c r="C55" s="136" t="s">
        <v>67</v>
      </c>
      <c r="E55" s="137"/>
      <c r="G55" s="131">
        <v>0.5</v>
      </c>
      <c r="H55" s="132">
        <v>14</v>
      </c>
      <c r="I55" s="132">
        <v>1560</v>
      </c>
      <c r="J55" s="135">
        <v>3.3</v>
      </c>
      <c r="K55" s="78"/>
      <c r="L55" s="126"/>
      <c r="M55" s="127"/>
    </row>
    <row r="56" spans="2:13" s="55" customFormat="1" ht="11.1" customHeight="1" x14ac:dyDescent="0.2">
      <c r="B56" s="56" t="s">
        <v>68</v>
      </c>
      <c r="C56" s="136" t="s">
        <v>69</v>
      </c>
      <c r="E56" s="137"/>
      <c r="G56" s="131">
        <v>0.6</v>
      </c>
      <c r="H56" s="132">
        <v>17</v>
      </c>
      <c r="I56" s="132">
        <v>2350</v>
      </c>
      <c r="J56" s="135">
        <v>2.4</v>
      </c>
      <c r="K56" s="78"/>
      <c r="L56" s="126"/>
      <c r="M56" s="127"/>
    </row>
    <row r="57" spans="2:13" s="55" customFormat="1" ht="11.1" customHeight="1" x14ac:dyDescent="0.2">
      <c r="B57" s="56" t="s">
        <v>70</v>
      </c>
      <c r="C57" s="136" t="s">
        <v>71</v>
      </c>
      <c r="E57" s="137"/>
      <c r="G57" s="131">
        <v>0.3</v>
      </c>
      <c r="H57" s="132">
        <v>10</v>
      </c>
      <c r="I57" s="132">
        <v>1170</v>
      </c>
      <c r="J57" s="135">
        <v>4.2</v>
      </c>
      <c r="K57" s="78"/>
      <c r="L57" s="126"/>
      <c r="M57" s="127"/>
    </row>
    <row r="58" spans="2:13" s="55" customFormat="1" ht="11.1" customHeight="1" x14ac:dyDescent="0.2">
      <c r="B58" s="56"/>
      <c r="C58" s="136" t="s">
        <v>158</v>
      </c>
      <c r="D58" s="55" t="s">
        <v>159</v>
      </c>
      <c r="E58" s="137"/>
      <c r="G58" s="131">
        <v>0.2</v>
      </c>
      <c r="H58" s="132">
        <v>5</v>
      </c>
      <c r="I58" s="132">
        <v>450</v>
      </c>
      <c r="J58" s="135">
        <v>7</v>
      </c>
      <c r="K58" s="78"/>
      <c r="L58" s="126"/>
      <c r="M58" s="127"/>
    </row>
    <row r="59" spans="2:13" s="55" customFormat="1" ht="11.1" customHeight="1" x14ac:dyDescent="0.2">
      <c r="B59" s="56"/>
      <c r="C59" s="136" t="s">
        <v>160</v>
      </c>
      <c r="D59" s="55" t="s">
        <v>161</v>
      </c>
      <c r="E59" s="137"/>
      <c r="G59" s="131">
        <v>0.2</v>
      </c>
      <c r="H59" s="132">
        <v>5</v>
      </c>
      <c r="I59" s="132">
        <v>830</v>
      </c>
      <c r="J59" s="135">
        <v>5.8</v>
      </c>
      <c r="K59" s="78"/>
      <c r="L59" s="126"/>
      <c r="M59" s="127"/>
    </row>
    <row r="60" spans="2:13" s="55" customFormat="1" ht="3" customHeight="1" x14ac:dyDescent="0.2">
      <c r="B60" s="56"/>
      <c r="C60" s="136"/>
      <c r="E60" s="137"/>
      <c r="G60" s="138"/>
      <c r="H60" s="139"/>
      <c r="I60" s="140"/>
      <c r="J60" s="135"/>
      <c r="K60" s="78"/>
      <c r="L60" s="127"/>
      <c r="M60" s="127"/>
    </row>
    <row r="61" spans="2:13" s="55" customFormat="1" ht="11.1" customHeight="1" x14ac:dyDescent="0.2">
      <c r="B61" s="56" t="s">
        <v>72</v>
      </c>
      <c r="C61" s="56" t="s">
        <v>73</v>
      </c>
      <c r="E61" s="137"/>
      <c r="G61" s="131">
        <v>4.0999999999999996</v>
      </c>
      <c r="H61" s="132">
        <v>112</v>
      </c>
      <c r="I61" s="132">
        <v>4740</v>
      </c>
      <c r="J61" s="135">
        <v>1.4</v>
      </c>
      <c r="K61" s="78"/>
      <c r="L61" s="126"/>
      <c r="M61" s="127"/>
    </row>
    <row r="62" spans="2:13" s="55" customFormat="1" ht="11.1" customHeight="1" x14ac:dyDescent="0.2">
      <c r="B62" s="56"/>
      <c r="C62" s="56" t="s">
        <v>162</v>
      </c>
      <c r="D62" s="142" t="s">
        <v>163</v>
      </c>
      <c r="E62" s="137"/>
      <c r="F62" s="143"/>
      <c r="G62" s="131">
        <v>0.6</v>
      </c>
      <c r="H62" s="132">
        <v>17</v>
      </c>
      <c r="I62" s="132">
        <v>2680</v>
      </c>
      <c r="J62" s="135">
        <v>2.2999999999999998</v>
      </c>
      <c r="K62" s="78"/>
      <c r="L62" s="126"/>
      <c r="M62" s="127"/>
    </row>
    <row r="63" spans="2:13" s="55" customFormat="1" ht="11.1" customHeight="1" x14ac:dyDescent="0.2">
      <c r="B63" s="56"/>
      <c r="C63" s="56" t="s">
        <v>164</v>
      </c>
      <c r="D63" s="144" t="s">
        <v>165</v>
      </c>
      <c r="E63" s="137"/>
      <c r="F63" s="143"/>
      <c r="G63" s="131">
        <v>0.5</v>
      </c>
      <c r="H63" s="132">
        <v>15</v>
      </c>
      <c r="I63" s="132">
        <v>3430</v>
      </c>
      <c r="J63" s="135">
        <v>1.9</v>
      </c>
      <c r="K63" s="78"/>
      <c r="L63" s="126"/>
      <c r="M63" s="127"/>
    </row>
    <row r="64" spans="2:13" s="55" customFormat="1" ht="11.1" customHeight="1" x14ac:dyDescent="0.2">
      <c r="B64" s="56"/>
      <c r="C64" s="56" t="s">
        <v>166</v>
      </c>
      <c r="D64" s="55" t="s">
        <v>167</v>
      </c>
      <c r="E64" s="137"/>
      <c r="F64" s="144"/>
      <c r="G64" s="131">
        <v>0.6</v>
      </c>
      <c r="H64" s="132">
        <v>16</v>
      </c>
      <c r="I64" s="132">
        <v>2360</v>
      </c>
      <c r="J64" s="135">
        <v>2.4</v>
      </c>
      <c r="K64" s="78"/>
      <c r="L64" s="126"/>
      <c r="M64" s="127"/>
    </row>
    <row r="65" spans="1:13" s="55" customFormat="1" ht="11.1" customHeight="1" x14ac:dyDescent="0.2">
      <c r="B65" s="56"/>
      <c r="C65" s="56" t="s">
        <v>168</v>
      </c>
      <c r="D65" s="55" t="s">
        <v>169</v>
      </c>
      <c r="E65" s="137"/>
      <c r="F65" s="144"/>
      <c r="G65" s="131">
        <v>0.1</v>
      </c>
      <c r="H65" s="132">
        <v>4</v>
      </c>
      <c r="I65" s="132">
        <v>890</v>
      </c>
      <c r="J65" s="135">
        <v>4.0999999999999996</v>
      </c>
      <c r="K65" s="78"/>
      <c r="L65" s="126"/>
      <c r="M65" s="127"/>
    </row>
    <row r="66" spans="1:13" s="55" customFormat="1" ht="11.1" customHeight="1" x14ac:dyDescent="0.2">
      <c r="B66" s="56"/>
      <c r="C66" s="56" t="s">
        <v>170</v>
      </c>
      <c r="D66" s="144" t="s">
        <v>171</v>
      </c>
      <c r="E66" s="137"/>
      <c r="F66" s="144" t="s">
        <v>124</v>
      </c>
      <c r="G66" s="131">
        <v>0.6</v>
      </c>
      <c r="H66" s="132">
        <v>17</v>
      </c>
      <c r="I66" s="132">
        <v>1920</v>
      </c>
      <c r="J66" s="135">
        <v>3.2</v>
      </c>
      <c r="K66" s="78"/>
      <c r="L66" s="126"/>
      <c r="M66" s="127"/>
    </row>
    <row r="67" spans="1:13" s="55" customFormat="1" ht="11.1" customHeight="1" x14ac:dyDescent="0.2">
      <c r="B67" s="56"/>
      <c r="C67" s="56" t="s">
        <v>172</v>
      </c>
      <c r="D67" s="144" t="s">
        <v>173</v>
      </c>
      <c r="E67" s="137"/>
      <c r="F67" s="144" t="s">
        <v>124</v>
      </c>
      <c r="G67" s="131">
        <v>1.6</v>
      </c>
      <c r="H67" s="132">
        <v>43</v>
      </c>
      <c r="I67" s="132">
        <v>3110</v>
      </c>
      <c r="J67" s="135">
        <v>2.1</v>
      </c>
      <c r="K67" s="78"/>
      <c r="L67" s="126"/>
      <c r="M67" s="127"/>
    </row>
    <row r="68" spans="1:13" s="55" customFormat="1" ht="11.1" customHeight="1" x14ac:dyDescent="0.2">
      <c r="B68" s="56" t="s">
        <v>74</v>
      </c>
      <c r="C68" s="56" t="s">
        <v>75</v>
      </c>
      <c r="D68" s="142"/>
      <c r="E68" s="137"/>
      <c r="F68" s="143"/>
      <c r="G68" s="131">
        <v>0.5</v>
      </c>
      <c r="H68" s="132">
        <v>13</v>
      </c>
      <c r="I68" s="132">
        <v>1730</v>
      </c>
      <c r="J68" s="135">
        <v>3</v>
      </c>
      <c r="K68" s="78"/>
      <c r="L68" s="126"/>
      <c r="M68" s="127"/>
    </row>
    <row r="69" spans="1:13" s="55" customFormat="1" ht="11.1" customHeight="1" x14ac:dyDescent="0.2">
      <c r="B69" s="56" t="s">
        <v>76</v>
      </c>
      <c r="C69" s="136" t="s">
        <v>77</v>
      </c>
      <c r="E69" s="137"/>
      <c r="F69" s="142"/>
      <c r="G69" s="131">
        <v>0.9</v>
      </c>
      <c r="H69" s="132">
        <v>24</v>
      </c>
      <c r="I69" s="132">
        <v>2040</v>
      </c>
      <c r="J69" s="135">
        <v>3.2</v>
      </c>
      <c r="K69" s="78"/>
      <c r="L69" s="126"/>
      <c r="M69" s="127"/>
    </row>
    <row r="70" spans="1:13" s="55" customFormat="1" ht="11.1" customHeight="1" x14ac:dyDescent="0.2">
      <c r="B70" s="56" t="s">
        <v>78</v>
      </c>
      <c r="C70" s="136" t="s">
        <v>79</v>
      </c>
      <c r="E70" s="137"/>
      <c r="F70" s="142"/>
      <c r="G70" s="131">
        <v>0.2</v>
      </c>
      <c r="H70" s="132">
        <v>4</v>
      </c>
      <c r="I70" s="132">
        <v>860</v>
      </c>
      <c r="J70" s="135">
        <v>5.0999999999999996</v>
      </c>
      <c r="K70" s="78"/>
      <c r="L70" s="126"/>
      <c r="M70" s="127"/>
    </row>
    <row r="71" spans="1:13" s="56" customFormat="1" ht="3" customHeight="1" x14ac:dyDescent="0.2">
      <c r="G71" s="138"/>
      <c r="H71" s="139"/>
      <c r="I71" s="140"/>
      <c r="J71" s="135"/>
      <c r="K71" s="78"/>
      <c r="L71" s="127"/>
      <c r="M71" s="127"/>
    </row>
    <row r="72" spans="1:13" s="56" customFormat="1" ht="11.1" customHeight="1" x14ac:dyDescent="0.2">
      <c r="B72" s="56" t="s">
        <v>80</v>
      </c>
      <c r="C72" s="56" t="s">
        <v>81</v>
      </c>
      <c r="D72" s="55"/>
      <c r="E72" s="137"/>
      <c r="F72" s="142"/>
      <c r="G72" s="131">
        <v>4.4000000000000004</v>
      </c>
      <c r="H72" s="132">
        <v>120</v>
      </c>
      <c r="I72" s="132">
        <v>4940</v>
      </c>
      <c r="J72" s="135">
        <v>1.4</v>
      </c>
      <c r="K72" s="78"/>
      <c r="L72" s="126"/>
      <c r="M72" s="127"/>
    </row>
    <row r="73" spans="1:13" ht="11.1" customHeight="1" x14ac:dyDescent="0.25">
      <c r="A73" s="106"/>
      <c r="B73" s="56"/>
      <c r="C73" s="56" t="s">
        <v>174</v>
      </c>
      <c r="D73" s="55" t="s">
        <v>175</v>
      </c>
      <c r="E73" s="137"/>
      <c r="F73" s="142"/>
      <c r="G73" s="131">
        <v>1</v>
      </c>
      <c r="H73" s="132">
        <v>28</v>
      </c>
      <c r="I73" s="132">
        <v>3540</v>
      </c>
      <c r="J73" s="135">
        <v>2.2000000000000002</v>
      </c>
      <c r="K73" s="78"/>
      <c r="M73" s="127"/>
    </row>
    <row r="74" spans="1:13" ht="11.1" customHeight="1" x14ac:dyDescent="0.25">
      <c r="A74" s="106"/>
      <c r="B74" s="56"/>
      <c r="C74" s="56" t="s">
        <v>176</v>
      </c>
      <c r="D74" s="55" t="s">
        <v>177</v>
      </c>
      <c r="E74" s="137"/>
      <c r="F74" s="142"/>
      <c r="G74" s="131">
        <v>0.4</v>
      </c>
      <c r="H74" s="132">
        <v>11</v>
      </c>
      <c r="I74" s="132">
        <v>2460</v>
      </c>
      <c r="J74" s="135">
        <v>2.5</v>
      </c>
      <c r="K74" s="78"/>
      <c r="M74" s="127"/>
    </row>
    <row r="75" spans="1:13" ht="11.1" customHeight="1" x14ac:dyDescent="0.25">
      <c r="A75" s="106"/>
      <c r="B75" s="56"/>
      <c r="C75" s="56" t="s">
        <v>178</v>
      </c>
      <c r="D75" s="55" t="s">
        <v>179</v>
      </c>
      <c r="E75" s="137"/>
      <c r="F75" s="142"/>
      <c r="G75" s="131">
        <v>1.6</v>
      </c>
      <c r="H75" s="132">
        <v>43</v>
      </c>
      <c r="I75" s="132">
        <v>4190</v>
      </c>
      <c r="J75" s="135">
        <v>1.7</v>
      </c>
      <c r="K75" s="78"/>
      <c r="M75" s="127"/>
    </row>
    <row r="76" spans="1:13" ht="11.1" customHeight="1" x14ac:dyDescent="0.25">
      <c r="A76" s="106"/>
      <c r="B76" s="56"/>
      <c r="C76" s="56" t="s">
        <v>180</v>
      </c>
      <c r="D76" s="55" t="s">
        <v>181</v>
      </c>
      <c r="E76" s="137"/>
      <c r="F76" s="142"/>
      <c r="G76" s="131">
        <v>1.4</v>
      </c>
      <c r="H76" s="132">
        <v>39</v>
      </c>
      <c r="I76" s="132">
        <v>4400</v>
      </c>
      <c r="J76" s="135">
        <v>1.7</v>
      </c>
      <c r="K76" s="78"/>
      <c r="M76" s="127"/>
    </row>
    <row r="77" spans="1:13" ht="3.75" customHeight="1" x14ac:dyDescent="0.25">
      <c r="A77" s="100"/>
      <c r="B77" s="45"/>
      <c r="C77" s="45"/>
      <c r="D77" s="47"/>
      <c r="E77" s="150"/>
      <c r="F77" s="151"/>
      <c r="G77" s="152"/>
      <c r="H77" s="153"/>
      <c r="I77" s="154"/>
      <c r="J77" s="155"/>
      <c r="K77" s="156"/>
      <c r="L77" s="65"/>
    </row>
    <row r="78" spans="1:13" ht="6" customHeight="1" x14ac:dyDescent="0.25">
      <c r="A78" s="106"/>
      <c r="B78" s="56"/>
      <c r="C78" s="56"/>
      <c r="D78" s="55"/>
      <c r="E78" s="137"/>
      <c r="F78" s="142"/>
      <c r="G78" s="138"/>
      <c r="H78" s="139"/>
      <c r="I78" s="140"/>
      <c r="J78" s="135"/>
      <c r="L78" s="65"/>
    </row>
    <row r="79" spans="1:13" ht="11.1" customHeight="1" x14ac:dyDescent="0.2">
      <c r="A79" s="157" t="s">
        <v>111</v>
      </c>
      <c r="B79" s="56"/>
      <c r="C79" s="56"/>
      <c r="D79" s="55"/>
      <c r="E79" s="137"/>
      <c r="F79" s="142"/>
      <c r="G79" s="138"/>
      <c r="H79" s="139"/>
      <c r="I79" s="140"/>
      <c r="J79" s="135"/>
      <c r="L79" s="65"/>
    </row>
    <row r="80" spans="1:13" ht="11.1" customHeight="1" x14ac:dyDescent="0.2">
      <c r="A80" s="157" t="s">
        <v>182</v>
      </c>
      <c r="B80" s="56"/>
      <c r="C80" s="56"/>
      <c r="D80" s="55"/>
      <c r="E80" s="137"/>
      <c r="F80" s="142"/>
      <c r="G80" s="138"/>
      <c r="H80" s="139"/>
      <c r="I80" s="140"/>
      <c r="J80" s="135"/>
      <c r="L80" s="65"/>
    </row>
    <row r="81" spans="1:12" ht="11.1" customHeight="1" x14ac:dyDescent="0.2">
      <c r="A81" s="157" t="s">
        <v>112</v>
      </c>
      <c r="B81" s="56"/>
      <c r="C81" s="56"/>
      <c r="D81" s="55"/>
      <c r="E81" s="137"/>
      <c r="F81" s="142"/>
      <c r="G81" s="138"/>
      <c r="H81" s="139"/>
      <c r="I81" s="140"/>
      <c r="J81" s="135"/>
      <c r="L81" s="65"/>
    </row>
    <row r="82" spans="1:12" ht="11.1" customHeight="1" x14ac:dyDescent="0.25">
      <c r="A82" s="106"/>
      <c r="B82" s="56"/>
      <c r="C82" s="56"/>
      <c r="D82" s="55"/>
      <c r="E82" s="137"/>
      <c r="F82" s="142"/>
      <c r="G82" s="138"/>
      <c r="H82" s="139"/>
      <c r="I82" s="140"/>
      <c r="J82" s="135"/>
      <c r="L82" s="65"/>
    </row>
    <row r="83" spans="1:12" ht="11.1" customHeight="1" x14ac:dyDescent="0.25">
      <c r="A83" s="158"/>
      <c r="B83" s="81"/>
      <c r="C83" s="106"/>
      <c r="D83" s="106"/>
      <c r="E83" s="106"/>
      <c r="F83" s="106"/>
      <c r="G83" s="131"/>
      <c r="H83" s="132"/>
      <c r="I83" s="133"/>
      <c r="J83" s="134"/>
      <c r="L83" s="65"/>
    </row>
    <row r="84" spans="1:12" ht="11.1" customHeight="1" x14ac:dyDescent="0.25">
      <c r="A84" s="158"/>
      <c r="B84" s="81"/>
      <c r="C84" s="106"/>
      <c r="D84" s="106"/>
      <c r="E84" s="106"/>
      <c r="F84" s="106"/>
      <c r="G84" s="131"/>
      <c r="H84" s="132"/>
      <c r="I84" s="133"/>
      <c r="J84" s="134"/>
      <c r="L84" s="65"/>
    </row>
    <row r="85" spans="1:12" ht="11.1" customHeight="1" x14ac:dyDescent="0.25">
      <c r="A85" s="106"/>
      <c r="B85" s="81"/>
      <c r="C85" s="106"/>
      <c r="D85" s="106"/>
      <c r="E85" s="106"/>
      <c r="F85" s="106"/>
      <c r="G85" s="131"/>
      <c r="H85" s="132"/>
      <c r="I85" s="133"/>
      <c r="J85" s="134"/>
      <c r="L85" s="65"/>
    </row>
    <row r="86" spans="1:12" ht="13.5" customHeight="1" x14ac:dyDescent="0.25">
      <c r="A86" s="159" t="s">
        <v>114</v>
      </c>
      <c r="B86" s="81"/>
      <c r="C86" s="106"/>
      <c r="D86" s="106"/>
      <c r="E86" s="106"/>
      <c r="F86" s="106"/>
      <c r="G86" s="131"/>
      <c r="H86" s="132"/>
      <c r="I86" s="133"/>
      <c r="J86" s="134"/>
      <c r="L86" s="65"/>
    </row>
    <row r="87" spans="1:12" s="31" customFormat="1" ht="13.5" customHeight="1" x14ac:dyDescent="0.3">
      <c r="A87" s="160" t="s">
        <v>183</v>
      </c>
      <c r="B87" s="161"/>
      <c r="D87" s="162"/>
      <c r="E87" s="162"/>
      <c r="F87" s="163"/>
      <c r="G87" s="164"/>
      <c r="H87" s="165"/>
      <c r="I87" s="166"/>
      <c r="J87" s="167"/>
      <c r="K87" s="37"/>
      <c r="L87" s="65"/>
    </row>
    <row r="88" spans="1:12" s="31" customFormat="1" ht="15" customHeight="1" x14ac:dyDescent="0.25">
      <c r="A88" s="41" t="s">
        <v>24</v>
      </c>
      <c r="B88" s="168"/>
      <c r="C88" s="43"/>
      <c r="D88" s="169"/>
      <c r="E88" s="162"/>
      <c r="F88" s="163"/>
      <c r="G88" s="164"/>
      <c r="H88" s="165"/>
      <c r="I88" s="166"/>
      <c r="J88" s="170"/>
      <c r="K88" s="37"/>
      <c r="L88" s="65"/>
    </row>
    <row r="89" spans="1:12" ht="6" customHeight="1" x14ac:dyDescent="0.2">
      <c r="A89" s="71"/>
      <c r="B89" s="71"/>
      <c r="C89" s="72"/>
      <c r="D89" s="73"/>
      <c r="E89" s="73"/>
      <c r="F89" s="73"/>
      <c r="G89" s="101"/>
      <c r="H89" s="102"/>
      <c r="I89" s="103"/>
      <c r="J89" s="77"/>
      <c r="L89" s="65"/>
    </row>
    <row r="90" spans="1:12" s="55" customFormat="1" ht="3" customHeight="1" x14ac:dyDescent="0.2">
      <c r="A90" s="81"/>
      <c r="B90" s="81"/>
      <c r="D90" s="84"/>
      <c r="E90" s="84"/>
      <c r="F90" s="84"/>
      <c r="G90" s="107"/>
      <c r="H90" s="108"/>
      <c r="I90" s="109"/>
      <c r="J90" s="171"/>
      <c r="K90" s="53"/>
      <c r="L90" s="65"/>
    </row>
    <row r="91" spans="1:12" s="180" customFormat="1" ht="11.1" customHeight="1" x14ac:dyDescent="0.15">
      <c r="A91" s="172"/>
      <c r="B91" s="172"/>
      <c r="C91" s="173"/>
      <c r="D91" s="174"/>
      <c r="E91" s="174"/>
      <c r="F91" s="59"/>
      <c r="G91" s="175" t="s">
        <v>116</v>
      </c>
      <c r="H91" s="176" t="s">
        <v>25</v>
      </c>
      <c r="I91" s="177" t="s">
        <v>26</v>
      </c>
      <c r="J91" s="178" t="s">
        <v>117</v>
      </c>
      <c r="K91" s="179"/>
      <c r="L91" s="65"/>
    </row>
    <row r="92" spans="1:12" s="180" customFormat="1" ht="11.1" customHeight="1" x14ac:dyDescent="0.15">
      <c r="A92" s="172"/>
      <c r="B92" s="172"/>
      <c r="C92" s="181"/>
      <c r="D92" s="174"/>
      <c r="E92" s="174"/>
      <c r="F92" s="59"/>
      <c r="G92" s="182" t="s">
        <v>29</v>
      </c>
      <c r="H92" s="176" t="s">
        <v>27</v>
      </c>
      <c r="I92" s="177" t="s">
        <v>28</v>
      </c>
      <c r="J92" s="178" t="s">
        <v>118</v>
      </c>
      <c r="K92" s="179"/>
      <c r="L92" s="65"/>
    </row>
    <row r="93" spans="1:12" s="180" customFormat="1" ht="11.1" customHeight="1" x14ac:dyDescent="0.15">
      <c r="A93" s="172"/>
      <c r="B93" s="172"/>
      <c r="C93" s="181"/>
      <c r="D93" s="174"/>
      <c r="E93" s="174"/>
      <c r="F93" s="59"/>
      <c r="G93" s="175" t="s">
        <v>31</v>
      </c>
      <c r="H93" s="176" t="s">
        <v>29</v>
      </c>
      <c r="I93" s="177" t="s">
        <v>30</v>
      </c>
      <c r="J93" s="183" t="s">
        <v>119</v>
      </c>
      <c r="K93" s="179"/>
      <c r="L93" s="65"/>
    </row>
    <row r="94" spans="1:12" s="180" customFormat="1" ht="11.1" customHeight="1" x14ac:dyDescent="0.15">
      <c r="A94" s="172"/>
      <c r="B94" s="172"/>
      <c r="C94" s="181"/>
      <c r="D94" s="174"/>
      <c r="E94" s="174"/>
      <c r="F94" s="59"/>
      <c r="G94" s="182" t="s">
        <v>32</v>
      </c>
      <c r="H94" s="176" t="s">
        <v>33</v>
      </c>
      <c r="I94" s="177" t="s">
        <v>120</v>
      </c>
      <c r="J94" s="184" t="s">
        <v>121</v>
      </c>
      <c r="K94" s="179"/>
      <c r="L94" s="65"/>
    </row>
    <row r="95" spans="1:12" ht="3.75" customHeight="1" x14ac:dyDescent="0.2">
      <c r="A95" s="71"/>
      <c r="B95" s="71"/>
      <c r="C95" s="72"/>
      <c r="D95" s="73"/>
      <c r="E95" s="73"/>
      <c r="F95" s="73"/>
      <c r="G95" s="101"/>
      <c r="H95" s="102"/>
      <c r="I95" s="103"/>
      <c r="J95" s="73"/>
      <c r="L95" s="65"/>
    </row>
    <row r="96" spans="1:12" ht="3" customHeight="1" x14ac:dyDescent="0.2">
      <c r="B96" s="81"/>
      <c r="C96" s="82"/>
      <c r="D96" s="83"/>
      <c r="E96" s="83"/>
      <c r="F96" s="84"/>
      <c r="G96" s="85"/>
      <c r="H96" s="86"/>
      <c r="I96" s="87"/>
      <c r="J96" s="83"/>
      <c r="L96" s="65"/>
    </row>
    <row r="97" spans="1:14" s="93" customFormat="1" ht="11.1" customHeight="1" x14ac:dyDescent="0.2">
      <c r="A97" s="111" t="s">
        <v>123</v>
      </c>
      <c r="B97" s="112"/>
      <c r="C97" s="113"/>
      <c r="F97" s="114" t="s">
        <v>124</v>
      </c>
      <c r="G97" s="115"/>
      <c r="H97" s="116"/>
      <c r="I97" s="117"/>
      <c r="K97" s="53"/>
      <c r="L97" s="185"/>
    </row>
    <row r="98" spans="1:14" s="128" customFormat="1" ht="3" customHeight="1" x14ac:dyDescent="0.2">
      <c r="A98" s="186"/>
      <c r="B98" s="186"/>
      <c r="C98" s="187"/>
      <c r="D98" s="79"/>
      <c r="E98" s="79"/>
      <c r="G98" s="107"/>
      <c r="H98" s="108"/>
      <c r="I98" s="109"/>
      <c r="J98" s="110"/>
      <c r="K98" s="53"/>
      <c r="L98" s="65"/>
    </row>
    <row r="99" spans="1:14" s="128" customFormat="1" ht="3" customHeight="1" x14ac:dyDescent="0.25">
      <c r="A99" s="106"/>
      <c r="B99" s="81"/>
      <c r="C99" s="106"/>
      <c r="D99" s="106"/>
      <c r="E99" s="106"/>
      <c r="F99" s="106"/>
      <c r="G99" s="131"/>
      <c r="H99" s="132"/>
      <c r="I99" s="133"/>
      <c r="J99" s="134"/>
      <c r="K99" s="53"/>
      <c r="L99" s="65"/>
    </row>
    <row r="100" spans="1:14" s="192" customFormat="1" ht="12.75" customHeight="1" x14ac:dyDescent="0.25">
      <c r="A100" s="188">
        <v>1</v>
      </c>
      <c r="B100" s="189" t="s">
        <v>184</v>
      </c>
      <c r="C100" s="190"/>
      <c r="D100" s="191"/>
      <c r="E100" s="191"/>
      <c r="F100" s="106"/>
      <c r="G100" s="131"/>
      <c r="H100" s="132"/>
      <c r="I100" s="133"/>
      <c r="J100" s="134"/>
      <c r="K100" s="53"/>
      <c r="L100" s="65"/>
    </row>
    <row r="101" spans="1:14" s="192" customFormat="1" ht="6" customHeight="1" x14ac:dyDescent="0.25">
      <c r="A101" s="186"/>
      <c r="B101" s="193"/>
      <c r="C101" s="106"/>
      <c r="D101" s="130"/>
      <c r="E101" s="130"/>
      <c r="F101" s="106"/>
      <c r="G101" s="131"/>
      <c r="H101" s="132"/>
      <c r="I101" s="133"/>
      <c r="J101" s="134"/>
      <c r="K101" s="53"/>
      <c r="L101" s="65"/>
    </row>
    <row r="102" spans="1:14" s="55" customFormat="1" ht="11.1" customHeight="1" x14ac:dyDescent="0.2">
      <c r="B102" s="56" t="s">
        <v>82</v>
      </c>
      <c r="C102" s="56" t="s">
        <v>185</v>
      </c>
      <c r="E102" s="137"/>
      <c r="F102" s="142"/>
      <c r="G102" s="131">
        <v>0.1</v>
      </c>
      <c r="H102" s="132">
        <v>2</v>
      </c>
      <c r="I102" s="132">
        <v>300</v>
      </c>
      <c r="J102" s="135">
        <v>7.4</v>
      </c>
      <c r="K102" s="78"/>
      <c r="L102" s="78"/>
      <c r="M102" s="194"/>
      <c r="N102" s="194"/>
    </row>
    <row r="103" spans="1:14" s="55" customFormat="1" ht="11.1" customHeight="1" x14ac:dyDescent="0.2">
      <c r="B103" s="56" t="s">
        <v>83</v>
      </c>
      <c r="C103" s="56" t="s">
        <v>186</v>
      </c>
      <c r="E103" s="137"/>
      <c r="F103" s="142"/>
      <c r="G103" s="131">
        <v>1.7</v>
      </c>
      <c r="H103" s="132">
        <v>48</v>
      </c>
      <c r="I103" s="132">
        <v>4150</v>
      </c>
      <c r="J103" s="135">
        <v>1.9</v>
      </c>
      <c r="K103" s="78"/>
      <c r="L103" s="78"/>
      <c r="M103" s="194"/>
      <c r="N103" s="194"/>
    </row>
    <row r="104" spans="1:14" s="55" customFormat="1" ht="11.1" customHeight="1" x14ac:dyDescent="0.2">
      <c r="B104" s="56" t="s">
        <v>85</v>
      </c>
      <c r="C104" s="56" t="s">
        <v>84</v>
      </c>
      <c r="E104" s="137"/>
      <c r="F104" s="142"/>
      <c r="G104" s="131">
        <v>0.7</v>
      </c>
      <c r="H104" s="132">
        <v>20</v>
      </c>
      <c r="I104" s="132">
        <v>3360</v>
      </c>
      <c r="J104" s="135">
        <v>1.9</v>
      </c>
      <c r="K104" s="78"/>
      <c r="L104" s="78"/>
      <c r="M104" s="194"/>
      <c r="N104" s="194"/>
    </row>
    <row r="105" spans="1:14" s="55" customFormat="1" ht="11.1" customHeight="1" x14ac:dyDescent="0.2">
      <c r="B105" s="56" t="s">
        <v>87</v>
      </c>
      <c r="C105" s="56" t="s">
        <v>86</v>
      </c>
      <c r="E105" s="137"/>
      <c r="F105" s="142"/>
      <c r="G105" s="131">
        <v>1.8</v>
      </c>
      <c r="H105" s="132">
        <v>49</v>
      </c>
      <c r="I105" s="132">
        <v>4040</v>
      </c>
      <c r="J105" s="135">
        <v>1.5</v>
      </c>
      <c r="K105" s="78"/>
      <c r="L105" s="78"/>
      <c r="M105" s="194"/>
      <c r="N105" s="194"/>
    </row>
    <row r="106" spans="1:14" s="55" customFormat="1" ht="3" customHeight="1" x14ac:dyDescent="0.2">
      <c r="B106" s="56"/>
      <c r="C106" s="56"/>
      <c r="E106" s="137"/>
      <c r="F106" s="142"/>
      <c r="G106" s="138"/>
      <c r="H106" s="139"/>
      <c r="I106" s="140"/>
      <c r="J106" s="135"/>
      <c r="K106" s="78"/>
      <c r="L106" s="78"/>
      <c r="M106" s="194"/>
      <c r="N106" s="194"/>
    </row>
    <row r="107" spans="1:14" s="55" customFormat="1" ht="11.1" customHeight="1" x14ac:dyDescent="0.2">
      <c r="B107" s="56" t="s">
        <v>89</v>
      </c>
      <c r="C107" s="56" t="s">
        <v>88</v>
      </c>
      <c r="D107" s="56"/>
      <c r="E107" s="137"/>
      <c r="F107" s="142"/>
      <c r="G107" s="131">
        <v>0.4</v>
      </c>
      <c r="H107" s="132">
        <v>11</v>
      </c>
      <c r="I107" s="132">
        <v>1750</v>
      </c>
      <c r="J107" s="135">
        <v>3.5</v>
      </c>
      <c r="K107" s="78"/>
      <c r="L107" s="78"/>
      <c r="M107" s="194"/>
      <c r="N107" s="194"/>
    </row>
    <row r="108" spans="1:14" s="56" customFormat="1" ht="11.1" customHeight="1" x14ac:dyDescent="0.2">
      <c r="C108" s="56" t="s">
        <v>187</v>
      </c>
      <c r="D108" s="56" t="s">
        <v>188</v>
      </c>
      <c r="G108" s="131">
        <v>0.2</v>
      </c>
      <c r="H108" s="132">
        <v>6</v>
      </c>
      <c r="I108" s="132">
        <v>1350</v>
      </c>
      <c r="J108" s="135">
        <v>3.6</v>
      </c>
      <c r="K108" s="78"/>
      <c r="L108" s="78"/>
      <c r="M108" s="194"/>
      <c r="N108" s="194"/>
    </row>
    <row r="109" spans="1:14" s="56" customFormat="1" ht="11.1" customHeight="1" x14ac:dyDescent="0.2">
      <c r="C109" s="56" t="s">
        <v>189</v>
      </c>
      <c r="D109" s="56" t="s">
        <v>190</v>
      </c>
      <c r="G109" s="131">
        <v>0.2</v>
      </c>
      <c r="H109" s="132">
        <v>5</v>
      </c>
      <c r="I109" s="132">
        <v>670</v>
      </c>
      <c r="J109" s="135">
        <v>6.1</v>
      </c>
      <c r="K109" s="78"/>
      <c r="L109" s="78"/>
      <c r="M109" s="194"/>
      <c r="N109" s="194"/>
    </row>
    <row r="110" spans="1:14" s="56" customFormat="1" ht="11.1" customHeight="1" x14ac:dyDescent="0.2">
      <c r="B110" s="56" t="s">
        <v>91</v>
      </c>
      <c r="C110" s="56" t="s">
        <v>90</v>
      </c>
      <c r="G110" s="131">
        <v>0.3</v>
      </c>
      <c r="H110" s="132">
        <v>8</v>
      </c>
      <c r="I110" s="132">
        <v>1430</v>
      </c>
      <c r="J110" s="135">
        <v>3.6</v>
      </c>
      <c r="K110" s="78"/>
      <c r="L110" s="78"/>
      <c r="M110" s="194"/>
      <c r="N110" s="194"/>
    </row>
    <row r="111" spans="1:14" s="56" customFormat="1" ht="11.1" customHeight="1" x14ac:dyDescent="0.2">
      <c r="B111" s="56" t="s">
        <v>93</v>
      </c>
      <c r="C111" s="56" t="s">
        <v>92</v>
      </c>
      <c r="G111" s="131">
        <v>2.1</v>
      </c>
      <c r="H111" s="132">
        <v>57</v>
      </c>
      <c r="I111" s="132">
        <v>3610</v>
      </c>
      <c r="J111" s="135">
        <v>2.7</v>
      </c>
      <c r="K111" s="78"/>
      <c r="L111" s="78"/>
      <c r="M111" s="194"/>
      <c r="N111" s="194"/>
    </row>
    <row r="112" spans="1:14" s="56" customFormat="1" ht="11.1" customHeight="1" x14ac:dyDescent="0.2">
      <c r="B112" s="56" t="s">
        <v>95</v>
      </c>
      <c r="C112" s="56" t="s">
        <v>94</v>
      </c>
      <c r="G112" s="131">
        <v>0.8</v>
      </c>
      <c r="H112" s="132">
        <v>22</v>
      </c>
      <c r="I112" s="132">
        <v>2660</v>
      </c>
      <c r="J112" s="135">
        <v>2.5</v>
      </c>
      <c r="K112" s="78"/>
      <c r="L112" s="78"/>
      <c r="M112" s="194"/>
      <c r="N112" s="194"/>
    </row>
    <row r="113" spans="1:14" s="56" customFormat="1" ht="11.1" customHeight="1" x14ac:dyDescent="0.2">
      <c r="B113" s="56" t="s">
        <v>97</v>
      </c>
      <c r="C113" s="56" t="s">
        <v>96</v>
      </c>
      <c r="G113" s="131">
        <v>0.8</v>
      </c>
      <c r="H113" s="132">
        <v>21</v>
      </c>
      <c r="I113" s="132">
        <v>1990</v>
      </c>
      <c r="J113" s="135">
        <v>2.7</v>
      </c>
      <c r="K113" s="78"/>
      <c r="L113" s="78"/>
      <c r="M113" s="194"/>
      <c r="N113" s="194"/>
    </row>
    <row r="114" spans="1:14" s="56" customFormat="1" ht="3.75" customHeight="1" x14ac:dyDescent="0.2">
      <c r="G114" s="138"/>
      <c r="H114" s="139"/>
      <c r="I114" s="140"/>
      <c r="J114" s="135"/>
      <c r="K114" s="78"/>
      <c r="L114" s="78"/>
      <c r="M114" s="194"/>
      <c r="N114" s="194"/>
    </row>
    <row r="115" spans="1:14" s="56" customFormat="1" ht="11.1" customHeight="1" x14ac:dyDescent="0.2">
      <c r="B115" s="56" t="s">
        <v>191</v>
      </c>
      <c r="C115" s="56" t="s">
        <v>98</v>
      </c>
      <c r="D115" s="55"/>
      <c r="G115" s="131">
        <v>2.7</v>
      </c>
      <c r="H115" s="132">
        <v>74</v>
      </c>
      <c r="I115" s="132">
        <v>4540</v>
      </c>
      <c r="J115" s="135">
        <v>2</v>
      </c>
      <c r="K115" s="78"/>
      <c r="L115" s="78"/>
      <c r="M115" s="194"/>
      <c r="N115" s="194"/>
    </row>
    <row r="116" spans="1:14" s="55" customFormat="1" ht="11.1" customHeight="1" x14ac:dyDescent="0.2">
      <c r="B116" s="56"/>
      <c r="C116" s="56" t="s">
        <v>192</v>
      </c>
      <c r="D116" s="142" t="s">
        <v>193</v>
      </c>
      <c r="E116" s="137"/>
      <c r="F116" s="142"/>
      <c r="G116" s="131">
        <v>1.3</v>
      </c>
      <c r="H116" s="132">
        <v>35</v>
      </c>
      <c r="I116" s="132">
        <v>3700</v>
      </c>
      <c r="J116" s="135">
        <v>1.8</v>
      </c>
      <c r="K116" s="78"/>
      <c r="L116" s="78"/>
      <c r="M116" s="194"/>
      <c r="N116" s="194"/>
    </row>
    <row r="117" spans="1:14" s="55" customFormat="1" ht="11.1" customHeight="1" x14ac:dyDescent="0.2">
      <c r="B117" s="56"/>
      <c r="C117" s="56" t="s">
        <v>194</v>
      </c>
      <c r="D117" s="144" t="s">
        <v>195</v>
      </c>
      <c r="E117" s="137"/>
      <c r="F117" s="143"/>
      <c r="G117" s="131">
        <v>1.1000000000000001</v>
      </c>
      <c r="H117" s="132">
        <v>29</v>
      </c>
      <c r="I117" s="132">
        <v>2870</v>
      </c>
      <c r="J117" s="135">
        <v>3.8</v>
      </c>
      <c r="K117" s="78"/>
      <c r="L117" s="78"/>
      <c r="M117" s="194"/>
      <c r="N117" s="194"/>
    </row>
    <row r="118" spans="1:14" s="55" customFormat="1" ht="11.1" customHeight="1" x14ac:dyDescent="0.2">
      <c r="B118" s="56"/>
      <c r="C118" s="56" t="s">
        <v>196</v>
      </c>
      <c r="D118" s="142" t="s">
        <v>197</v>
      </c>
      <c r="E118" s="137"/>
      <c r="F118" s="143"/>
      <c r="G118" s="131">
        <v>0.4</v>
      </c>
      <c r="H118" s="132">
        <v>10</v>
      </c>
      <c r="I118" s="132">
        <v>1400</v>
      </c>
      <c r="J118" s="135">
        <v>6.5</v>
      </c>
      <c r="K118" s="78"/>
      <c r="L118" s="78"/>
      <c r="M118" s="194"/>
      <c r="N118" s="194"/>
    </row>
    <row r="119" spans="1:14" s="55" customFormat="1" ht="6.75" customHeight="1" x14ac:dyDescent="0.2">
      <c r="B119" s="56"/>
      <c r="C119" s="56"/>
      <c r="D119" s="142"/>
      <c r="E119" s="137"/>
      <c r="F119" s="143"/>
      <c r="G119" s="138"/>
      <c r="H119" s="139"/>
      <c r="I119" s="140"/>
      <c r="J119" s="135"/>
      <c r="K119" s="78"/>
      <c r="L119" s="78"/>
      <c r="M119" s="194"/>
      <c r="N119" s="194"/>
    </row>
    <row r="120" spans="1:14" s="55" customFormat="1" ht="11.1" customHeight="1" x14ac:dyDescent="0.2">
      <c r="A120" s="80">
        <v>1.2</v>
      </c>
      <c r="B120" s="80" t="s">
        <v>99</v>
      </c>
      <c r="C120" s="79"/>
      <c r="D120" s="130"/>
      <c r="E120" s="130"/>
      <c r="F120" s="143"/>
      <c r="G120" s="131">
        <v>5.3</v>
      </c>
      <c r="H120" s="132">
        <v>147</v>
      </c>
      <c r="I120" s="132">
        <v>4980</v>
      </c>
      <c r="J120" s="135">
        <v>1.6</v>
      </c>
      <c r="K120" s="78"/>
      <c r="L120" s="78"/>
      <c r="M120" s="194"/>
      <c r="N120" s="194"/>
    </row>
    <row r="121" spans="1:14" ht="11.1" customHeight="1" x14ac:dyDescent="0.25">
      <c r="A121" s="55"/>
      <c r="B121" s="56" t="s">
        <v>100</v>
      </c>
      <c r="C121" s="56" t="s">
        <v>101</v>
      </c>
      <c r="D121" s="55"/>
      <c r="E121" s="137"/>
      <c r="F121" s="106"/>
      <c r="G121" s="131">
        <v>1</v>
      </c>
      <c r="H121" s="132">
        <v>27</v>
      </c>
      <c r="I121" s="132">
        <v>2000</v>
      </c>
      <c r="J121" s="135">
        <v>3.3</v>
      </c>
      <c r="K121" s="78"/>
      <c r="L121" s="78"/>
      <c r="M121" s="194"/>
      <c r="N121" s="194"/>
    </row>
    <row r="122" spans="1:14" ht="11.1" customHeight="1" x14ac:dyDescent="0.2">
      <c r="A122" s="55"/>
      <c r="B122" s="56" t="s">
        <v>102</v>
      </c>
      <c r="C122" s="56" t="s">
        <v>103</v>
      </c>
      <c r="D122" s="55"/>
      <c r="E122" s="55"/>
      <c r="F122" s="157"/>
      <c r="G122" s="131">
        <v>0.5</v>
      </c>
      <c r="H122" s="132">
        <v>13</v>
      </c>
      <c r="I122" s="132">
        <v>1560</v>
      </c>
      <c r="J122" s="135">
        <v>3.8</v>
      </c>
      <c r="K122" s="78"/>
      <c r="L122" s="78"/>
      <c r="M122" s="194"/>
      <c r="N122" s="194"/>
    </row>
    <row r="123" spans="1:14" s="55" customFormat="1" ht="11.1" customHeight="1" x14ac:dyDescent="0.2">
      <c r="B123" s="56" t="s">
        <v>104</v>
      </c>
      <c r="C123" s="136" t="s">
        <v>105</v>
      </c>
      <c r="F123" s="143"/>
      <c r="G123" s="131">
        <v>0.1</v>
      </c>
      <c r="H123" s="132">
        <v>3</v>
      </c>
      <c r="I123" s="132">
        <v>390</v>
      </c>
      <c r="J123" s="135">
        <v>8.1</v>
      </c>
      <c r="K123" s="78"/>
      <c r="L123" s="78"/>
      <c r="M123" s="194"/>
      <c r="N123" s="194"/>
    </row>
    <row r="124" spans="1:14" s="55" customFormat="1" ht="11.1" customHeight="1" x14ac:dyDescent="0.2">
      <c r="B124" s="56" t="s">
        <v>106</v>
      </c>
      <c r="C124" s="136" t="s">
        <v>198</v>
      </c>
      <c r="F124" s="143"/>
      <c r="G124" s="131">
        <v>1.1000000000000001</v>
      </c>
      <c r="H124" s="132">
        <v>29</v>
      </c>
      <c r="I124" s="132">
        <v>3080</v>
      </c>
      <c r="J124" s="135">
        <v>2.1</v>
      </c>
      <c r="K124" s="78"/>
      <c r="L124" s="78"/>
      <c r="M124" s="194"/>
      <c r="N124" s="194"/>
    </row>
    <row r="125" spans="1:14" s="55" customFormat="1" ht="11.1" customHeight="1" x14ac:dyDescent="0.2">
      <c r="B125" s="56" t="s">
        <v>107</v>
      </c>
      <c r="C125" s="144" t="s">
        <v>108</v>
      </c>
      <c r="F125" s="143"/>
      <c r="G125" s="131">
        <v>0.4</v>
      </c>
      <c r="H125" s="132">
        <v>12</v>
      </c>
      <c r="I125" s="132">
        <v>1630</v>
      </c>
      <c r="J125" s="135">
        <v>3.8</v>
      </c>
      <c r="K125" s="78"/>
      <c r="L125" s="78"/>
      <c r="M125" s="194"/>
      <c r="N125" s="194"/>
    </row>
    <row r="126" spans="1:14" s="55" customFormat="1" ht="11.1" customHeight="1" x14ac:dyDescent="0.2">
      <c r="B126" s="56" t="s">
        <v>109</v>
      </c>
      <c r="C126" s="56" t="s">
        <v>199</v>
      </c>
      <c r="E126" s="143"/>
      <c r="F126" s="143"/>
      <c r="G126" s="131">
        <v>2.2999999999999998</v>
      </c>
      <c r="H126" s="132">
        <v>63</v>
      </c>
      <c r="I126" s="132">
        <v>3640</v>
      </c>
      <c r="J126" s="135">
        <v>2.4</v>
      </c>
      <c r="K126" s="78"/>
      <c r="L126" s="78"/>
      <c r="M126" s="194"/>
      <c r="N126" s="194"/>
    </row>
    <row r="127" spans="1:14" ht="3" customHeight="1" x14ac:dyDescent="0.25">
      <c r="A127" s="71"/>
      <c r="B127" s="195"/>
      <c r="C127" s="72"/>
      <c r="D127" s="72"/>
      <c r="E127" s="72"/>
      <c r="F127" s="100"/>
      <c r="G127" s="196"/>
      <c r="H127" s="197"/>
      <c r="I127" s="198"/>
      <c r="J127" s="199"/>
      <c r="K127" s="78"/>
      <c r="L127" s="78"/>
      <c r="M127" s="194"/>
      <c r="N127" s="194"/>
    </row>
    <row r="128" spans="1:14" ht="3" customHeight="1" x14ac:dyDescent="0.25">
      <c r="B128" s="129"/>
      <c r="D128" s="79"/>
      <c r="E128" s="79"/>
      <c r="F128" s="106"/>
      <c r="G128" s="131"/>
      <c r="H128" s="132"/>
      <c r="I128" s="133"/>
      <c r="J128" s="146"/>
      <c r="K128" s="78"/>
      <c r="L128" s="78"/>
      <c r="M128" s="194"/>
      <c r="N128" s="194"/>
    </row>
    <row r="129" spans="1:14" s="128" customFormat="1" ht="12.75" customHeight="1" x14ac:dyDescent="0.25">
      <c r="A129" s="188">
        <v>2</v>
      </c>
      <c r="B129" s="188" t="s">
        <v>8</v>
      </c>
      <c r="C129" s="121"/>
      <c r="D129" s="121"/>
      <c r="E129" s="121"/>
      <c r="F129" s="200"/>
      <c r="G129" s="123">
        <v>13</v>
      </c>
      <c r="H129" s="124">
        <v>357</v>
      </c>
      <c r="I129" s="124">
        <v>3420</v>
      </c>
      <c r="J129" s="125">
        <v>2.2999999999999998</v>
      </c>
      <c r="K129" s="78"/>
      <c r="L129" s="78"/>
      <c r="M129" s="194"/>
      <c r="N129" s="194"/>
    </row>
    <row r="130" spans="1:14" ht="6" customHeight="1" x14ac:dyDescent="0.25">
      <c r="B130" s="129"/>
      <c r="D130" s="79"/>
      <c r="E130" s="79"/>
      <c r="F130" s="106"/>
      <c r="G130" s="138"/>
      <c r="H130" s="139"/>
      <c r="I130" s="140"/>
      <c r="J130" s="135"/>
      <c r="K130" s="78"/>
      <c r="L130" s="78"/>
      <c r="M130" s="194"/>
      <c r="N130" s="194"/>
    </row>
    <row r="131" spans="1:14" ht="11.1" customHeight="1" x14ac:dyDescent="0.2">
      <c r="A131" s="80">
        <v>2.1</v>
      </c>
      <c r="B131" s="129" t="s">
        <v>200</v>
      </c>
      <c r="D131" s="79"/>
      <c r="E131" s="79"/>
      <c r="F131" s="157"/>
      <c r="G131" s="131">
        <v>9.1</v>
      </c>
      <c r="H131" s="132">
        <v>250</v>
      </c>
      <c r="I131" s="132">
        <v>3030</v>
      </c>
      <c r="J131" s="135">
        <v>2.6</v>
      </c>
      <c r="K131" s="78"/>
      <c r="L131" s="78"/>
      <c r="M131" s="194"/>
      <c r="N131" s="194"/>
    </row>
    <row r="132" spans="1:14" s="55" customFormat="1" ht="11.1" customHeight="1" x14ac:dyDescent="0.2">
      <c r="B132" s="56" t="s">
        <v>201</v>
      </c>
      <c r="C132" s="56" t="s">
        <v>202</v>
      </c>
      <c r="D132" s="142"/>
      <c r="F132" s="143"/>
      <c r="G132" s="131">
        <v>2</v>
      </c>
      <c r="H132" s="132">
        <v>56</v>
      </c>
      <c r="I132" s="132">
        <v>1010</v>
      </c>
      <c r="J132" s="135">
        <v>4.2</v>
      </c>
      <c r="K132" s="78"/>
      <c r="L132" s="78"/>
      <c r="M132" s="194"/>
      <c r="N132" s="194"/>
    </row>
    <row r="133" spans="1:14" s="55" customFormat="1" ht="3" customHeight="1" x14ac:dyDescent="0.2">
      <c r="B133" s="56"/>
      <c r="C133" s="56"/>
      <c r="D133" s="142"/>
      <c r="F133" s="143"/>
      <c r="G133" s="138"/>
      <c r="H133" s="139"/>
      <c r="I133" s="140"/>
      <c r="J133" s="135"/>
      <c r="K133" s="78"/>
      <c r="L133" s="78"/>
      <c r="M133" s="194"/>
      <c r="N133" s="194"/>
    </row>
    <row r="134" spans="1:14" s="55" customFormat="1" ht="11.1" customHeight="1" x14ac:dyDescent="0.2">
      <c r="B134" s="56" t="s">
        <v>203</v>
      </c>
      <c r="C134" s="56" t="s">
        <v>204</v>
      </c>
      <c r="D134" s="142"/>
      <c r="F134" s="143"/>
      <c r="G134" s="131">
        <v>4.5999999999999996</v>
      </c>
      <c r="H134" s="132">
        <v>125</v>
      </c>
      <c r="I134" s="132">
        <v>2000</v>
      </c>
      <c r="J134" s="135">
        <v>3.8</v>
      </c>
      <c r="K134" s="78"/>
      <c r="L134" s="78"/>
      <c r="M134" s="194"/>
      <c r="N134" s="194"/>
    </row>
    <row r="135" spans="1:14" s="55" customFormat="1" ht="11.1" customHeight="1" x14ac:dyDescent="0.2">
      <c r="B135" s="56"/>
      <c r="C135" s="136" t="s">
        <v>205</v>
      </c>
      <c r="D135" s="55" t="s">
        <v>206</v>
      </c>
      <c r="F135" s="143"/>
      <c r="G135" s="131">
        <v>3.8</v>
      </c>
      <c r="H135" s="132">
        <v>105</v>
      </c>
      <c r="I135" s="132">
        <v>1830</v>
      </c>
      <c r="J135" s="135">
        <v>3.7</v>
      </c>
      <c r="K135" s="78"/>
      <c r="L135" s="78"/>
      <c r="M135" s="194"/>
      <c r="N135" s="194"/>
    </row>
    <row r="136" spans="1:14" s="55" customFormat="1" ht="11.1" customHeight="1" x14ac:dyDescent="0.2">
      <c r="B136" s="56"/>
      <c r="C136" s="136" t="s">
        <v>207</v>
      </c>
      <c r="D136" s="55" t="s">
        <v>208</v>
      </c>
      <c r="F136" s="143"/>
      <c r="G136" s="131">
        <v>0.1</v>
      </c>
      <c r="H136" s="132">
        <v>3</v>
      </c>
      <c r="I136" s="132">
        <v>110</v>
      </c>
      <c r="J136" s="135">
        <v>12.9</v>
      </c>
      <c r="K136" s="78"/>
      <c r="L136" s="78"/>
      <c r="M136" s="194"/>
      <c r="N136" s="194"/>
    </row>
    <row r="137" spans="1:14" s="55" customFormat="1" ht="11.1" customHeight="1" x14ac:dyDescent="0.2">
      <c r="B137" s="56"/>
      <c r="C137" s="56" t="s">
        <v>209</v>
      </c>
      <c r="D137" s="142" t="s">
        <v>210</v>
      </c>
      <c r="F137" s="143"/>
      <c r="G137" s="131">
        <v>0.6</v>
      </c>
      <c r="H137" s="132">
        <v>16</v>
      </c>
      <c r="I137" s="132">
        <v>390</v>
      </c>
      <c r="J137" s="135">
        <v>13.9</v>
      </c>
      <c r="K137" s="78"/>
      <c r="L137" s="78"/>
      <c r="M137" s="194"/>
      <c r="N137" s="194"/>
    </row>
    <row r="138" spans="1:14" s="55" customFormat="1" ht="3" customHeight="1" x14ac:dyDescent="0.2">
      <c r="B138" s="56"/>
      <c r="C138" s="56"/>
      <c r="D138" s="142"/>
      <c r="F138" s="143"/>
      <c r="G138" s="138"/>
      <c r="H138" s="139"/>
      <c r="I138" s="140"/>
      <c r="J138" s="135"/>
      <c r="K138" s="78"/>
      <c r="L138" s="78"/>
      <c r="M138" s="194"/>
      <c r="N138" s="194"/>
    </row>
    <row r="139" spans="1:14" s="55" customFormat="1" ht="11.1" customHeight="1" x14ac:dyDescent="0.2">
      <c r="B139" s="56" t="s">
        <v>211</v>
      </c>
      <c r="C139" s="56" t="s">
        <v>212</v>
      </c>
      <c r="D139" s="142"/>
      <c r="F139" s="143"/>
      <c r="G139" s="131">
        <v>2.5</v>
      </c>
      <c r="H139" s="132">
        <v>68</v>
      </c>
      <c r="I139" s="132">
        <v>1670</v>
      </c>
      <c r="J139" s="135">
        <v>3.6</v>
      </c>
      <c r="K139" s="78"/>
      <c r="L139" s="78"/>
      <c r="M139" s="194"/>
      <c r="N139" s="194"/>
    </row>
    <row r="140" spans="1:14" s="55" customFormat="1" ht="11.1" customHeight="1" x14ac:dyDescent="0.2">
      <c r="B140" s="56"/>
      <c r="C140" s="56" t="s">
        <v>213</v>
      </c>
      <c r="D140" s="142" t="s">
        <v>214</v>
      </c>
      <c r="F140" s="143"/>
      <c r="G140" s="131">
        <v>2</v>
      </c>
      <c r="H140" s="132">
        <v>56</v>
      </c>
      <c r="I140" s="132">
        <v>1370</v>
      </c>
      <c r="J140" s="135">
        <v>4</v>
      </c>
      <c r="K140" s="78"/>
      <c r="L140" s="78"/>
      <c r="M140" s="194"/>
      <c r="N140" s="194"/>
    </row>
    <row r="141" spans="1:14" s="55" customFormat="1" ht="11.1" customHeight="1" x14ac:dyDescent="0.2">
      <c r="B141" s="56"/>
      <c r="C141" s="136" t="s">
        <v>215</v>
      </c>
      <c r="D141" s="55" t="s">
        <v>216</v>
      </c>
      <c r="F141" s="143"/>
      <c r="G141" s="131">
        <v>0.4</v>
      </c>
      <c r="H141" s="132">
        <v>12</v>
      </c>
      <c r="I141" s="132">
        <v>540</v>
      </c>
      <c r="J141" s="135">
        <v>6.2</v>
      </c>
      <c r="K141" s="78"/>
      <c r="L141" s="78"/>
      <c r="M141" s="194"/>
      <c r="N141" s="194"/>
    </row>
    <row r="142" spans="1:14" s="55" customFormat="1" ht="3" customHeight="1" x14ac:dyDescent="0.2">
      <c r="A142" s="56"/>
      <c r="B142" s="136"/>
      <c r="F142" s="143"/>
      <c r="G142" s="131"/>
      <c r="H142" s="132"/>
      <c r="I142" s="133"/>
      <c r="J142" s="146"/>
      <c r="K142" s="78"/>
      <c r="L142" s="78"/>
      <c r="M142" s="194"/>
      <c r="N142" s="194"/>
    </row>
    <row r="143" spans="1:14" s="55" customFormat="1" ht="11.1" customHeight="1" x14ac:dyDescent="0.2">
      <c r="B143" s="56" t="s">
        <v>217</v>
      </c>
      <c r="C143" s="136" t="s">
        <v>218</v>
      </c>
      <c r="F143" s="143"/>
      <c r="G143" s="145">
        <v>0</v>
      </c>
      <c r="H143" s="132">
        <v>1</v>
      </c>
      <c r="I143" s="132">
        <v>60</v>
      </c>
      <c r="J143" s="135">
        <v>15.7</v>
      </c>
      <c r="K143" s="78"/>
      <c r="L143" s="78"/>
      <c r="M143" s="194"/>
      <c r="N143" s="194"/>
    </row>
    <row r="144" spans="1:14" s="149" customFormat="1" ht="7.5" customHeight="1" x14ac:dyDescent="0.2">
      <c r="A144" s="56"/>
      <c r="B144" s="56"/>
      <c r="C144" s="142"/>
      <c r="D144" s="55"/>
      <c r="E144" s="55"/>
      <c r="F144" s="143"/>
      <c r="G144" s="138"/>
      <c r="H144" s="139"/>
      <c r="I144" s="140"/>
      <c r="J144" s="135"/>
      <c r="K144" s="78"/>
      <c r="L144" s="78"/>
      <c r="M144" s="194"/>
      <c r="N144" s="194"/>
    </row>
    <row r="145" spans="1:14" ht="11.1" customHeight="1" x14ac:dyDescent="0.2">
      <c r="A145" s="80">
        <v>2.2000000000000002</v>
      </c>
      <c r="B145" s="80" t="s">
        <v>219</v>
      </c>
      <c r="C145" s="201"/>
      <c r="D145" s="79"/>
      <c r="E145" s="79"/>
      <c r="F145" s="157"/>
      <c r="G145" s="131">
        <v>3.9</v>
      </c>
      <c r="H145" s="132">
        <v>107</v>
      </c>
      <c r="I145" s="132">
        <v>950</v>
      </c>
      <c r="J145" s="135">
        <v>4.5999999999999996</v>
      </c>
      <c r="K145" s="78"/>
      <c r="L145" s="78"/>
      <c r="M145" s="194"/>
      <c r="N145" s="194"/>
    </row>
    <row r="146" spans="1:14" s="55" customFormat="1" ht="11.1" customHeight="1" x14ac:dyDescent="0.2">
      <c r="B146" s="56" t="s">
        <v>220</v>
      </c>
      <c r="C146" s="136" t="s">
        <v>221</v>
      </c>
      <c r="F146" s="143"/>
      <c r="G146" s="131">
        <v>2.7</v>
      </c>
      <c r="H146" s="132">
        <v>74</v>
      </c>
      <c r="I146" s="132">
        <v>690</v>
      </c>
      <c r="J146" s="135">
        <v>6</v>
      </c>
      <c r="K146" s="78"/>
      <c r="L146" s="78"/>
      <c r="M146" s="194"/>
      <c r="N146" s="194"/>
    </row>
    <row r="147" spans="1:14" s="55" customFormat="1" ht="3" customHeight="1" x14ac:dyDescent="0.2">
      <c r="B147" s="56"/>
      <c r="C147" s="136"/>
      <c r="F147" s="143"/>
      <c r="G147" s="131"/>
      <c r="H147" s="132"/>
      <c r="I147" s="133"/>
      <c r="J147" s="146"/>
      <c r="K147" s="78"/>
      <c r="L147" s="78"/>
      <c r="M147" s="194"/>
      <c r="N147" s="194"/>
    </row>
    <row r="148" spans="1:14" s="55" customFormat="1" ht="11.1" customHeight="1" x14ac:dyDescent="0.2">
      <c r="B148" s="56" t="s">
        <v>222</v>
      </c>
      <c r="C148" s="136" t="s">
        <v>223</v>
      </c>
      <c r="F148" s="143"/>
      <c r="G148" s="131">
        <v>1.2</v>
      </c>
      <c r="H148" s="132">
        <v>33</v>
      </c>
      <c r="I148" s="132">
        <v>470</v>
      </c>
      <c r="J148" s="135">
        <v>6.4</v>
      </c>
      <c r="K148" s="78"/>
      <c r="L148" s="78"/>
      <c r="M148" s="194"/>
      <c r="N148" s="194"/>
    </row>
    <row r="149" spans="1:14" s="55" customFormat="1" ht="11.1" customHeight="1" x14ac:dyDescent="0.2">
      <c r="B149" s="56"/>
      <c r="C149" s="56" t="s">
        <v>224</v>
      </c>
      <c r="D149" s="55" t="s">
        <v>225</v>
      </c>
      <c r="F149" s="143"/>
      <c r="G149" s="202">
        <v>0</v>
      </c>
      <c r="H149" s="203">
        <v>1</v>
      </c>
      <c r="I149" s="132">
        <v>10</v>
      </c>
      <c r="J149" s="135">
        <v>59.8</v>
      </c>
      <c r="K149" s="78"/>
      <c r="L149" s="78"/>
      <c r="M149" s="194"/>
      <c r="N149" s="194"/>
    </row>
    <row r="150" spans="1:14" s="55" customFormat="1" ht="11.1" customHeight="1" x14ac:dyDescent="0.2">
      <c r="B150" s="56"/>
      <c r="C150" s="136" t="s">
        <v>226</v>
      </c>
      <c r="D150" s="55" t="s">
        <v>227</v>
      </c>
      <c r="F150" s="143"/>
      <c r="G150" s="131">
        <v>1.1000000000000001</v>
      </c>
      <c r="H150" s="132">
        <v>31</v>
      </c>
      <c r="I150" s="132">
        <v>460</v>
      </c>
      <c r="J150" s="135">
        <v>5.8</v>
      </c>
      <c r="K150" s="78"/>
      <c r="L150" s="78"/>
      <c r="M150" s="194"/>
      <c r="N150" s="194"/>
    </row>
    <row r="151" spans="1:14" s="55" customFormat="1" ht="11.1" customHeight="1" x14ac:dyDescent="0.2">
      <c r="B151" s="56"/>
      <c r="C151" s="136" t="s">
        <v>228</v>
      </c>
      <c r="D151" s="55" t="s">
        <v>229</v>
      </c>
      <c r="F151" s="143"/>
      <c r="G151" s="138" t="s">
        <v>230</v>
      </c>
      <c r="H151" s="139" t="s">
        <v>230</v>
      </c>
      <c r="I151" s="139" t="s">
        <v>230</v>
      </c>
      <c r="J151" s="135" t="s">
        <v>230</v>
      </c>
      <c r="K151" s="78"/>
      <c r="L151" s="78"/>
      <c r="M151" s="194"/>
      <c r="N151" s="194"/>
    </row>
    <row r="152" spans="1:14" s="141" customFormat="1" ht="3" customHeight="1" x14ac:dyDescent="0.25">
      <c r="A152" s="71"/>
      <c r="B152" s="195"/>
      <c r="C152" s="72"/>
      <c r="D152" s="72"/>
      <c r="E152" s="72"/>
      <c r="F152" s="100"/>
      <c r="G152" s="152"/>
      <c r="H152" s="153"/>
      <c r="I152" s="154"/>
      <c r="J152" s="155"/>
      <c r="K152" s="78"/>
      <c r="L152" s="78"/>
      <c r="M152" s="194"/>
      <c r="N152" s="194"/>
    </row>
    <row r="153" spans="1:14" s="141" customFormat="1" ht="3.75" customHeight="1" x14ac:dyDescent="0.25">
      <c r="A153" s="80"/>
      <c r="B153" s="129"/>
      <c r="C153" s="79"/>
      <c r="D153" s="79"/>
      <c r="E153" s="79"/>
      <c r="F153" s="106"/>
      <c r="G153" s="138"/>
      <c r="H153" s="139"/>
      <c r="I153" s="140"/>
      <c r="J153" s="135"/>
      <c r="K153" s="78"/>
      <c r="L153" s="78"/>
      <c r="M153" s="194"/>
      <c r="N153" s="194"/>
    </row>
    <row r="154" spans="1:14" ht="12.75" customHeight="1" x14ac:dyDescent="0.2">
      <c r="A154" s="204" t="s">
        <v>231</v>
      </c>
      <c r="B154" s="205" t="s">
        <v>9</v>
      </c>
      <c r="C154" s="206"/>
      <c r="D154" s="191"/>
      <c r="E154" s="191"/>
      <c r="F154" s="206"/>
      <c r="G154" s="123">
        <v>24.5</v>
      </c>
      <c r="H154" s="124">
        <v>673</v>
      </c>
      <c r="I154" s="124">
        <v>3620</v>
      </c>
      <c r="J154" s="125">
        <v>2.6</v>
      </c>
      <c r="K154" s="78"/>
      <c r="L154" s="78"/>
      <c r="M154" s="194"/>
      <c r="N154" s="194"/>
    </row>
    <row r="155" spans="1:14" ht="6" customHeight="1" x14ac:dyDescent="0.25">
      <c r="A155" s="186"/>
      <c r="B155" s="193"/>
      <c r="C155" s="106"/>
      <c r="D155" s="130"/>
      <c r="E155" s="130"/>
      <c r="F155" s="106"/>
      <c r="G155" s="131"/>
      <c r="H155" s="132"/>
      <c r="I155" s="133"/>
      <c r="J155" s="146"/>
      <c r="K155" s="78"/>
      <c r="L155" s="78"/>
      <c r="M155" s="194"/>
      <c r="N155" s="194"/>
    </row>
    <row r="156" spans="1:14" ht="11.1" customHeight="1" x14ac:dyDescent="0.2">
      <c r="A156" s="80">
        <v>3.1</v>
      </c>
      <c r="B156" s="129" t="s">
        <v>232</v>
      </c>
      <c r="C156" s="157"/>
      <c r="D156" s="79"/>
      <c r="E156" s="79"/>
      <c r="F156" s="157"/>
      <c r="G156" s="131">
        <v>19.2</v>
      </c>
      <c r="H156" s="132">
        <v>527</v>
      </c>
      <c r="I156" s="132">
        <v>3410</v>
      </c>
      <c r="J156" s="135">
        <v>2.7</v>
      </c>
      <c r="K156" s="78"/>
      <c r="L156" s="78"/>
      <c r="M156" s="194"/>
      <c r="N156" s="194"/>
    </row>
    <row r="157" spans="1:14" ht="11.1" customHeight="1" x14ac:dyDescent="0.2">
      <c r="B157" s="56" t="s">
        <v>233</v>
      </c>
      <c r="C157" s="136" t="s">
        <v>234</v>
      </c>
      <c r="D157" s="55"/>
      <c r="E157" s="55"/>
      <c r="F157" s="143"/>
      <c r="G157" s="131">
        <v>4.8</v>
      </c>
      <c r="H157" s="132">
        <v>133</v>
      </c>
      <c r="I157" s="132">
        <v>1070</v>
      </c>
      <c r="J157" s="135">
        <v>4.9000000000000004</v>
      </c>
      <c r="K157" s="78"/>
      <c r="L157" s="78"/>
      <c r="M157" s="194"/>
      <c r="N157" s="194"/>
    </row>
    <row r="158" spans="1:14" ht="11.1" customHeight="1" x14ac:dyDescent="0.2">
      <c r="B158" s="56" t="s">
        <v>235</v>
      </c>
      <c r="C158" s="136" t="s">
        <v>236</v>
      </c>
      <c r="D158" s="55"/>
      <c r="E158" s="55"/>
      <c r="F158" s="143"/>
      <c r="G158" s="131">
        <v>0.5</v>
      </c>
      <c r="H158" s="132">
        <v>13</v>
      </c>
      <c r="I158" s="132">
        <v>420</v>
      </c>
      <c r="J158" s="135">
        <v>6.7</v>
      </c>
      <c r="K158" s="78"/>
      <c r="L158" s="78"/>
      <c r="M158" s="194"/>
      <c r="N158" s="194"/>
    </row>
    <row r="159" spans="1:14" s="192" customFormat="1" ht="11.1" customHeight="1" x14ac:dyDescent="0.2">
      <c r="A159" s="80"/>
      <c r="B159" s="56" t="s">
        <v>237</v>
      </c>
      <c r="C159" s="136" t="s">
        <v>238</v>
      </c>
      <c r="D159" s="55"/>
      <c r="E159" s="55"/>
      <c r="F159" s="143"/>
      <c r="G159" s="131">
        <v>8.4</v>
      </c>
      <c r="H159" s="132">
        <v>232</v>
      </c>
      <c r="I159" s="132">
        <v>2030</v>
      </c>
      <c r="J159" s="135">
        <v>4</v>
      </c>
      <c r="K159" s="78"/>
      <c r="L159" s="78"/>
      <c r="M159" s="194"/>
      <c r="N159" s="194"/>
    </row>
    <row r="160" spans="1:14" ht="11.1" customHeight="1" x14ac:dyDescent="0.2">
      <c r="B160" s="56" t="s">
        <v>239</v>
      </c>
      <c r="C160" s="136" t="s">
        <v>240</v>
      </c>
      <c r="D160" s="55"/>
      <c r="E160" s="55"/>
      <c r="F160" s="143"/>
      <c r="G160" s="131">
        <v>1.2</v>
      </c>
      <c r="H160" s="132">
        <v>33</v>
      </c>
      <c r="I160" s="132">
        <v>910</v>
      </c>
      <c r="J160" s="135">
        <v>5.0999999999999996</v>
      </c>
      <c r="K160" s="78"/>
      <c r="L160" s="78"/>
      <c r="M160" s="194"/>
      <c r="N160" s="194"/>
    </row>
    <row r="161" spans="1:14" s="141" customFormat="1" ht="11.1" customHeight="1" x14ac:dyDescent="0.2">
      <c r="B161" s="56" t="s">
        <v>241</v>
      </c>
      <c r="C161" s="56" t="s">
        <v>242</v>
      </c>
      <c r="D161" s="55"/>
      <c r="E161" s="55"/>
      <c r="F161" s="143"/>
      <c r="G161" s="131">
        <v>0.8</v>
      </c>
      <c r="H161" s="132">
        <v>22</v>
      </c>
      <c r="I161" s="132">
        <v>400</v>
      </c>
      <c r="J161" s="135">
        <v>7.6</v>
      </c>
      <c r="K161" s="78"/>
      <c r="L161" s="78"/>
      <c r="M161" s="194"/>
      <c r="N161" s="194"/>
    </row>
    <row r="162" spans="1:14" s="106" customFormat="1" ht="11.1" customHeight="1" x14ac:dyDescent="0.25">
      <c r="A162" s="207"/>
      <c r="B162" s="56" t="s">
        <v>243</v>
      </c>
      <c r="C162" s="56" t="s">
        <v>244</v>
      </c>
      <c r="D162" s="55"/>
      <c r="E162" s="55"/>
      <c r="F162" s="143"/>
      <c r="G162" s="131">
        <v>1.1000000000000001</v>
      </c>
      <c r="H162" s="132">
        <v>30</v>
      </c>
      <c r="I162" s="132">
        <v>440</v>
      </c>
      <c r="J162" s="135">
        <v>8.6999999999999993</v>
      </c>
      <c r="K162" s="78"/>
      <c r="L162" s="78"/>
      <c r="M162" s="194"/>
      <c r="N162" s="194"/>
    </row>
    <row r="163" spans="1:14" s="128" customFormat="1" ht="11.1" customHeight="1" x14ac:dyDescent="0.2">
      <c r="B163" s="56" t="s">
        <v>245</v>
      </c>
      <c r="C163" s="56" t="s">
        <v>246</v>
      </c>
      <c r="D163" s="144"/>
      <c r="E163" s="144"/>
      <c r="F163" s="143"/>
      <c r="G163" s="131">
        <v>0.6</v>
      </c>
      <c r="H163" s="132">
        <v>17</v>
      </c>
      <c r="I163" s="132">
        <v>340</v>
      </c>
      <c r="J163" s="135">
        <v>8.1</v>
      </c>
      <c r="K163" s="78"/>
      <c r="L163" s="78"/>
      <c r="M163" s="194"/>
      <c r="N163" s="194"/>
    </row>
    <row r="164" spans="1:14" s="128" customFormat="1" ht="11.1" customHeight="1" x14ac:dyDescent="0.2">
      <c r="B164" s="56" t="s">
        <v>247</v>
      </c>
      <c r="C164" s="56" t="s">
        <v>248</v>
      </c>
      <c r="D164" s="144"/>
      <c r="E164" s="144"/>
      <c r="F164" s="143"/>
      <c r="G164" s="131">
        <v>0.4</v>
      </c>
      <c r="H164" s="132">
        <v>12</v>
      </c>
      <c r="I164" s="132">
        <v>460</v>
      </c>
      <c r="J164" s="135">
        <v>6</v>
      </c>
      <c r="K164" s="78"/>
      <c r="L164" s="78"/>
      <c r="M164" s="194"/>
      <c r="N164" s="194"/>
    </row>
    <row r="165" spans="1:14" s="128" customFormat="1" ht="3" customHeight="1" x14ac:dyDescent="0.2">
      <c r="B165" s="56"/>
      <c r="C165" s="56"/>
      <c r="D165" s="144"/>
      <c r="E165" s="144"/>
      <c r="F165" s="143"/>
      <c r="G165" s="152"/>
      <c r="H165" s="153"/>
      <c r="I165" s="140"/>
      <c r="J165" s="155"/>
      <c r="K165" s="208"/>
      <c r="L165" s="65"/>
    </row>
    <row r="166" spans="1:14" s="128" customFormat="1" ht="6.75" customHeight="1" x14ac:dyDescent="0.2">
      <c r="A166" s="209"/>
      <c r="B166" s="210"/>
      <c r="C166" s="210"/>
      <c r="D166" s="211"/>
      <c r="E166" s="211"/>
      <c r="F166" s="212"/>
      <c r="G166" s="138"/>
      <c r="H166" s="139"/>
      <c r="I166" s="213"/>
      <c r="J166" s="135"/>
      <c r="K166" s="208"/>
      <c r="L166" s="65"/>
    </row>
    <row r="167" spans="1:14" s="128" customFormat="1" ht="11.1" customHeight="1" x14ac:dyDescent="0.2">
      <c r="A167" s="157" t="s">
        <v>111</v>
      </c>
      <c r="B167" s="56"/>
      <c r="C167" s="56"/>
      <c r="D167" s="55"/>
      <c r="E167" s="137"/>
      <c r="F167" s="142"/>
      <c r="G167" s="138"/>
      <c r="H167" s="139"/>
      <c r="I167" s="140"/>
      <c r="J167" s="135"/>
      <c r="K167" s="208"/>
      <c r="L167" s="65"/>
    </row>
    <row r="168" spans="1:14" s="128" customFormat="1" ht="11.1" customHeight="1" x14ac:dyDescent="0.2">
      <c r="A168" s="157" t="s">
        <v>182</v>
      </c>
      <c r="B168" s="56"/>
      <c r="C168" s="56"/>
      <c r="D168" s="55"/>
      <c r="E168" s="137"/>
      <c r="F168" s="142"/>
      <c r="G168" s="138"/>
      <c r="H168" s="139"/>
      <c r="I168" s="140"/>
      <c r="J168" s="135"/>
      <c r="K168" s="208"/>
      <c r="L168" s="65"/>
    </row>
    <row r="169" spans="1:14" s="128" customFormat="1" ht="11.1" customHeight="1" x14ac:dyDescent="0.2">
      <c r="A169" s="157" t="s">
        <v>112</v>
      </c>
      <c r="B169" s="56"/>
      <c r="C169" s="56"/>
      <c r="D169" s="55"/>
      <c r="E169" s="137"/>
      <c r="F169" s="142"/>
      <c r="G169" s="138"/>
      <c r="H169" s="139"/>
      <c r="I169" s="140"/>
      <c r="J169" s="135"/>
      <c r="K169" s="208"/>
      <c r="L169" s="65"/>
    </row>
    <row r="170" spans="1:14" s="128" customFormat="1" ht="11.1" customHeight="1" x14ac:dyDescent="0.2">
      <c r="B170" s="56"/>
      <c r="C170" s="56"/>
      <c r="D170" s="144"/>
      <c r="E170" s="144"/>
      <c r="F170" s="143"/>
      <c r="G170" s="138"/>
      <c r="H170" s="139"/>
      <c r="I170" s="140"/>
      <c r="J170" s="135"/>
      <c r="K170" s="208"/>
      <c r="L170" s="65"/>
    </row>
    <row r="171" spans="1:14" ht="11.1" customHeight="1" x14ac:dyDescent="0.2">
      <c r="A171" s="79"/>
      <c r="B171" s="79"/>
      <c r="D171" s="79"/>
      <c r="E171" s="79"/>
      <c r="F171" s="79"/>
      <c r="I171" s="79"/>
      <c r="J171" s="146"/>
      <c r="K171" s="214"/>
      <c r="L171" s="65"/>
    </row>
    <row r="172" spans="1:14" ht="11.1" customHeight="1" x14ac:dyDescent="0.2">
      <c r="A172" s="158"/>
      <c r="B172" s="79"/>
      <c r="D172" s="79"/>
      <c r="E172" s="79"/>
      <c r="F172" s="79"/>
      <c r="I172" s="79"/>
      <c r="J172" s="146"/>
      <c r="K172" s="214"/>
      <c r="L172" s="65"/>
    </row>
    <row r="173" spans="1:14" ht="10.5" customHeight="1" x14ac:dyDescent="0.2">
      <c r="A173" s="79"/>
      <c r="B173" s="79"/>
      <c r="D173" s="79"/>
      <c r="E173" s="79"/>
      <c r="F173" s="79"/>
      <c r="I173" s="79"/>
      <c r="J173" s="146"/>
      <c r="K173" s="214"/>
      <c r="L173" s="65"/>
    </row>
    <row r="174" spans="1:14" s="141" customFormat="1" ht="11.1" customHeight="1" x14ac:dyDescent="0.15">
      <c r="G174" s="215"/>
      <c r="H174" s="216"/>
      <c r="I174" s="217"/>
      <c r="J174" s="217"/>
      <c r="K174" s="218"/>
      <c r="L174" s="65"/>
    </row>
    <row r="175" spans="1:14" s="55" customFormat="1" ht="15" customHeight="1" x14ac:dyDescent="0.2">
      <c r="A175" s="159" t="s">
        <v>114</v>
      </c>
      <c r="B175" s="129"/>
      <c r="C175" s="157"/>
      <c r="D175" s="219"/>
      <c r="E175" s="219"/>
      <c r="F175" s="130"/>
      <c r="G175" s="107"/>
      <c r="H175" s="108"/>
      <c r="I175" s="109"/>
      <c r="J175" s="220"/>
      <c r="K175" s="218"/>
      <c r="L175" s="65"/>
    </row>
    <row r="176" spans="1:14" s="31" customFormat="1" ht="16.5" customHeight="1" x14ac:dyDescent="0.3">
      <c r="A176" s="160" t="s">
        <v>183</v>
      </c>
      <c r="B176" s="161"/>
      <c r="D176" s="32"/>
      <c r="E176" s="32"/>
      <c r="F176" s="33"/>
      <c r="G176" s="221"/>
      <c r="H176" s="222"/>
      <c r="I176" s="223"/>
      <c r="J176" s="167"/>
      <c r="K176" s="37"/>
      <c r="L176" s="65"/>
    </row>
    <row r="177" spans="1:14" s="31" customFormat="1" ht="13.5" customHeight="1" x14ac:dyDescent="0.25">
      <c r="A177" s="41" t="s">
        <v>24</v>
      </c>
      <c r="B177" s="168"/>
      <c r="C177" s="43"/>
      <c r="D177" s="44"/>
      <c r="E177" s="32"/>
      <c r="F177" s="33"/>
      <c r="G177" s="221"/>
      <c r="H177" s="222"/>
      <c r="I177" s="223"/>
      <c r="J177" s="224"/>
      <c r="K177" s="37"/>
      <c r="L177" s="65"/>
    </row>
    <row r="178" spans="1:14" ht="4.5" customHeight="1" x14ac:dyDescent="0.2">
      <c r="A178" s="71"/>
      <c r="B178" s="71"/>
      <c r="C178" s="72"/>
      <c r="D178" s="73"/>
      <c r="E178" s="73"/>
      <c r="F178" s="73"/>
      <c r="G178" s="101"/>
      <c r="H178" s="102"/>
      <c r="I178" s="103"/>
      <c r="J178" s="77"/>
      <c r="L178" s="65"/>
    </row>
    <row r="179" spans="1:14" s="55" customFormat="1" ht="3" customHeight="1" x14ac:dyDescent="0.2">
      <c r="A179" s="81"/>
      <c r="B179" s="81"/>
      <c r="D179" s="84"/>
      <c r="E179" s="84"/>
      <c r="F179" s="84"/>
      <c r="G179" s="107"/>
      <c r="H179" s="108"/>
      <c r="I179" s="109"/>
      <c r="J179" s="171"/>
      <c r="K179" s="53"/>
      <c r="L179" s="65"/>
    </row>
    <row r="180" spans="1:14" s="180" customFormat="1" ht="11.1" customHeight="1" x14ac:dyDescent="0.15">
      <c r="A180" s="172"/>
      <c r="B180" s="172"/>
      <c r="C180" s="173"/>
      <c r="D180" s="174"/>
      <c r="E180" s="174"/>
      <c r="F180" s="59"/>
      <c r="G180" s="175" t="s">
        <v>116</v>
      </c>
      <c r="H180" s="176" t="s">
        <v>25</v>
      </c>
      <c r="I180" s="177" t="s">
        <v>26</v>
      </c>
      <c r="J180" s="178" t="s">
        <v>117</v>
      </c>
      <c r="K180" s="179"/>
      <c r="L180" s="65"/>
    </row>
    <row r="181" spans="1:14" s="180" customFormat="1" ht="11.1" customHeight="1" x14ac:dyDescent="0.15">
      <c r="A181" s="172"/>
      <c r="B181" s="172"/>
      <c r="C181" s="181"/>
      <c r="D181" s="174"/>
      <c r="E181" s="174"/>
      <c r="F181" s="59"/>
      <c r="G181" s="182" t="s">
        <v>29</v>
      </c>
      <c r="H181" s="176" t="s">
        <v>27</v>
      </c>
      <c r="I181" s="177" t="s">
        <v>28</v>
      </c>
      <c r="J181" s="178" t="s">
        <v>118</v>
      </c>
      <c r="K181" s="179"/>
      <c r="L181" s="65"/>
    </row>
    <row r="182" spans="1:14" s="180" customFormat="1" ht="11.1" customHeight="1" x14ac:dyDescent="0.15">
      <c r="A182" s="172"/>
      <c r="B182" s="172"/>
      <c r="C182" s="181"/>
      <c r="D182" s="174"/>
      <c r="E182" s="174"/>
      <c r="F182" s="59"/>
      <c r="G182" s="175" t="s">
        <v>31</v>
      </c>
      <c r="H182" s="176" t="s">
        <v>29</v>
      </c>
      <c r="I182" s="177" t="s">
        <v>30</v>
      </c>
      <c r="J182" s="183" t="s">
        <v>119</v>
      </c>
      <c r="K182" s="179"/>
      <c r="L182" s="65"/>
    </row>
    <row r="183" spans="1:14" s="180" customFormat="1" ht="11.1" customHeight="1" x14ac:dyDescent="0.15">
      <c r="A183" s="172"/>
      <c r="B183" s="172"/>
      <c r="C183" s="181"/>
      <c r="D183" s="174"/>
      <c r="E183" s="174"/>
      <c r="F183" s="59"/>
      <c r="G183" s="182" t="s">
        <v>32</v>
      </c>
      <c r="H183" s="176" t="s">
        <v>33</v>
      </c>
      <c r="I183" s="177" t="s">
        <v>120</v>
      </c>
      <c r="J183" s="184" t="s">
        <v>121</v>
      </c>
      <c r="K183" s="179"/>
      <c r="L183" s="65"/>
    </row>
    <row r="184" spans="1:14" ht="3.75" customHeight="1" x14ac:dyDescent="0.2">
      <c r="A184" s="71"/>
      <c r="B184" s="71"/>
      <c r="C184" s="72"/>
      <c r="D184" s="73"/>
      <c r="E184" s="73"/>
      <c r="F184" s="73"/>
      <c r="G184" s="101"/>
      <c r="H184" s="102"/>
      <c r="I184" s="103"/>
      <c r="J184" s="73"/>
      <c r="L184" s="65"/>
    </row>
    <row r="185" spans="1:14" ht="3" customHeight="1" x14ac:dyDescent="0.2">
      <c r="B185" s="81"/>
      <c r="C185" s="82"/>
      <c r="D185" s="83"/>
      <c r="E185" s="83"/>
      <c r="F185" s="84"/>
      <c r="G185" s="85"/>
      <c r="H185" s="86"/>
      <c r="I185" s="87"/>
      <c r="J185" s="83"/>
      <c r="L185" s="65"/>
    </row>
    <row r="186" spans="1:14" s="93" customFormat="1" ht="11.1" customHeight="1" x14ac:dyDescent="0.2">
      <c r="A186" s="111" t="s">
        <v>123</v>
      </c>
      <c r="B186" s="112"/>
      <c r="C186" s="113"/>
      <c r="F186" s="114" t="s">
        <v>124</v>
      </c>
      <c r="G186" s="115"/>
      <c r="H186" s="116"/>
      <c r="I186" s="117"/>
      <c r="K186" s="53"/>
      <c r="L186" s="185"/>
    </row>
    <row r="187" spans="1:14" s="128" customFormat="1" ht="3" customHeight="1" x14ac:dyDescent="0.2">
      <c r="A187" s="186"/>
      <c r="B187" s="186"/>
      <c r="C187" s="187"/>
      <c r="D187" s="79"/>
      <c r="E187" s="79"/>
      <c r="G187" s="107"/>
      <c r="H187" s="108"/>
      <c r="I187" s="109"/>
      <c r="J187" s="110"/>
      <c r="K187" s="53"/>
      <c r="L187" s="65"/>
    </row>
    <row r="188" spans="1:14" s="55" customFormat="1" ht="12.75" customHeight="1" x14ac:dyDescent="0.25">
      <c r="A188" s="119" t="s">
        <v>231</v>
      </c>
      <c r="B188" s="120" t="s">
        <v>249</v>
      </c>
      <c r="C188" s="200"/>
      <c r="D188" s="122"/>
      <c r="E188" s="122"/>
      <c r="G188" s="107"/>
      <c r="H188" s="108"/>
      <c r="I188" s="79"/>
      <c r="J188" s="146"/>
      <c r="K188" s="218"/>
      <c r="L188" s="65"/>
    </row>
    <row r="189" spans="1:14" s="55" customFormat="1" ht="3.75" customHeight="1" x14ac:dyDescent="0.2">
      <c r="A189" s="186"/>
      <c r="B189" s="193"/>
      <c r="C189" s="78"/>
      <c r="D189" s="127"/>
      <c r="E189" s="127"/>
      <c r="G189" s="107"/>
      <c r="H189" s="108"/>
      <c r="I189" s="79"/>
      <c r="J189" s="146"/>
      <c r="K189" s="218"/>
      <c r="L189" s="65"/>
    </row>
    <row r="190" spans="1:14" s="55" customFormat="1" ht="11.1" customHeight="1" x14ac:dyDescent="0.2">
      <c r="B190" s="56" t="s">
        <v>250</v>
      </c>
      <c r="C190" s="56" t="s">
        <v>251</v>
      </c>
      <c r="D190" s="144"/>
      <c r="E190" s="144"/>
      <c r="F190" s="143"/>
      <c r="G190" s="131">
        <v>0.7</v>
      </c>
      <c r="H190" s="132">
        <v>20</v>
      </c>
      <c r="I190" s="132">
        <v>700</v>
      </c>
      <c r="J190" s="135">
        <v>6.3</v>
      </c>
      <c r="K190" s="78"/>
      <c r="L190" s="78"/>
      <c r="M190" s="225"/>
      <c r="N190" s="225"/>
    </row>
    <row r="191" spans="1:14" s="55" customFormat="1" ht="11.1" customHeight="1" x14ac:dyDescent="0.2">
      <c r="B191" s="56"/>
      <c r="C191" s="56" t="s">
        <v>252</v>
      </c>
      <c r="D191" s="144" t="s">
        <v>253</v>
      </c>
      <c r="E191" s="144"/>
      <c r="F191" s="143"/>
      <c r="G191" s="131">
        <v>0.3</v>
      </c>
      <c r="H191" s="132">
        <v>8</v>
      </c>
      <c r="I191" s="132">
        <v>250</v>
      </c>
      <c r="J191" s="135">
        <v>10.199999999999999</v>
      </c>
      <c r="K191" s="78"/>
      <c r="L191" s="78"/>
      <c r="M191" s="225"/>
      <c r="N191" s="225"/>
    </row>
    <row r="192" spans="1:14" s="55" customFormat="1" ht="11.1" customHeight="1" x14ac:dyDescent="0.2">
      <c r="B192" s="56"/>
      <c r="C192" s="56" t="s">
        <v>254</v>
      </c>
      <c r="D192" s="144" t="s">
        <v>255</v>
      </c>
      <c r="E192" s="144"/>
      <c r="F192" s="143"/>
      <c r="G192" s="131">
        <v>0.3</v>
      </c>
      <c r="H192" s="132">
        <v>9</v>
      </c>
      <c r="I192" s="132">
        <v>360</v>
      </c>
      <c r="J192" s="135">
        <v>8.1999999999999993</v>
      </c>
      <c r="K192" s="78"/>
      <c r="L192" s="78"/>
      <c r="M192" s="225"/>
      <c r="N192" s="225"/>
    </row>
    <row r="193" spans="1:14" s="55" customFormat="1" ht="11.1" customHeight="1" x14ac:dyDescent="0.2">
      <c r="B193" s="56"/>
      <c r="C193" s="56" t="s">
        <v>256</v>
      </c>
      <c r="D193" s="144" t="s">
        <v>257</v>
      </c>
      <c r="F193" s="143"/>
      <c r="G193" s="131">
        <v>0.1</v>
      </c>
      <c r="H193" s="132">
        <v>2</v>
      </c>
      <c r="I193" s="132">
        <v>160</v>
      </c>
      <c r="J193" s="135">
        <v>11</v>
      </c>
      <c r="K193" s="78"/>
      <c r="L193" s="78"/>
      <c r="M193" s="225"/>
      <c r="N193" s="225"/>
    </row>
    <row r="194" spans="1:14" s="55" customFormat="1" ht="11.1" customHeight="1" x14ac:dyDescent="0.2">
      <c r="B194" s="56"/>
      <c r="C194" s="136" t="s">
        <v>258</v>
      </c>
      <c r="D194" s="142" t="s">
        <v>259</v>
      </c>
      <c r="F194" s="143"/>
      <c r="G194" s="202">
        <v>0</v>
      </c>
      <c r="H194" s="203">
        <v>1</v>
      </c>
      <c r="I194" s="132">
        <v>10</v>
      </c>
      <c r="J194" s="135">
        <v>46.5</v>
      </c>
      <c r="K194" s="78"/>
      <c r="L194" s="78"/>
      <c r="M194" s="225"/>
      <c r="N194" s="225"/>
    </row>
    <row r="195" spans="1:14" s="55" customFormat="1" ht="3.75" customHeight="1" x14ac:dyDescent="0.2">
      <c r="B195" s="56"/>
      <c r="C195" s="136"/>
      <c r="D195" s="142"/>
      <c r="F195" s="143"/>
      <c r="G195" s="131"/>
      <c r="H195" s="132"/>
      <c r="I195" s="133"/>
      <c r="J195" s="146"/>
      <c r="K195" s="78"/>
      <c r="L195" s="78"/>
      <c r="M195" s="225"/>
      <c r="N195" s="225"/>
    </row>
    <row r="196" spans="1:14" s="55" customFormat="1" ht="11.1" customHeight="1" x14ac:dyDescent="0.2">
      <c r="B196" s="56" t="s">
        <v>260</v>
      </c>
      <c r="C196" s="136" t="s">
        <v>261</v>
      </c>
      <c r="D196" s="142"/>
      <c r="F196" s="143"/>
      <c r="G196" s="131">
        <v>0.3</v>
      </c>
      <c r="H196" s="132">
        <v>9</v>
      </c>
      <c r="I196" s="132">
        <v>260</v>
      </c>
      <c r="J196" s="135">
        <v>14.1</v>
      </c>
      <c r="K196" s="78"/>
      <c r="L196" s="78"/>
      <c r="M196" s="225"/>
      <c r="N196" s="225"/>
    </row>
    <row r="197" spans="1:14" s="55" customFormat="1" ht="3.75" customHeight="1" x14ac:dyDescent="0.2">
      <c r="A197" s="56"/>
      <c r="B197" s="136"/>
      <c r="C197" s="144"/>
      <c r="F197" s="143"/>
      <c r="G197" s="131"/>
      <c r="H197" s="132"/>
      <c r="I197" s="133"/>
      <c r="J197" s="134"/>
      <c r="K197" s="78"/>
      <c r="L197" s="78"/>
      <c r="M197" s="225"/>
      <c r="N197" s="225"/>
    </row>
    <row r="198" spans="1:14" s="55" customFormat="1" ht="11.1" customHeight="1" x14ac:dyDescent="0.2">
      <c r="B198" s="56" t="s">
        <v>262</v>
      </c>
      <c r="C198" s="136" t="s">
        <v>263</v>
      </c>
      <c r="D198" s="142"/>
      <c r="F198" s="143"/>
      <c r="G198" s="131">
        <v>0.2</v>
      </c>
      <c r="H198" s="132">
        <v>6</v>
      </c>
      <c r="I198" s="132">
        <v>120</v>
      </c>
      <c r="J198" s="135">
        <v>16</v>
      </c>
      <c r="K198" s="78"/>
      <c r="L198" s="78"/>
      <c r="M198" s="225"/>
      <c r="N198" s="225"/>
    </row>
    <row r="199" spans="1:14" s="55" customFormat="1" ht="11.1" customHeight="1" x14ac:dyDescent="0.2">
      <c r="B199" s="56"/>
      <c r="C199" s="136" t="s">
        <v>264</v>
      </c>
      <c r="D199" s="56" t="s">
        <v>265</v>
      </c>
      <c r="F199" s="143"/>
      <c r="G199" s="131">
        <v>0.2</v>
      </c>
      <c r="H199" s="132">
        <v>5</v>
      </c>
      <c r="I199" s="132">
        <v>90</v>
      </c>
      <c r="J199" s="135">
        <v>18.399999999999999</v>
      </c>
      <c r="K199" s="78"/>
      <c r="L199" s="78"/>
      <c r="M199" s="225"/>
      <c r="N199" s="225"/>
    </row>
    <row r="200" spans="1:14" s="55" customFormat="1" ht="11.1" customHeight="1" x14ac:dyDescent="0.2">
      <c r="B200" s="56"/>
      <c r="C200" s="136" t="s">
        <v>266</v>
      </c>
      <c r="D200" s="55" t="s">
        <v>267</v>
      </c>
      <c r="F200" s="143"/>
      <c r="G200" s="145">
        <v>0</v>
      </c>
      <c r="H200" s="132">
        <v>1</v>
      </c>
      <c r="I200" s="132">
        <v>30</v>
      </c>
      <c r="J200" s="135">
        <v>26.7</v>
      </c>
      <c r="K200" s="78"/>
      <c r="L200" s="78"/>
      <c r="M200" s="225"/>
      <c r="N200" s="225"/>
    </row>
    <row r="201" spans="1:14" s="55" customFormat="1" ht="4.5" customHeight="1" x14ac:dyDescent="0.25">
      <c r="A201" s="80"/>
      <c r="B201" s="129"/>
      <c r="C201" s="144"/>
      <c r="D201" s="79"/>
      <c r="E201" s="79"/>
      <c r="F201" s="106"/>
      <c r="G201" s="131"/>
      <c r="H201" s="132"/>
      <c r="I201" s="133"/>
      <c r="J201" s="135"/>
      <c r="K201" s="78"/>
      <c r="L201" s="78"/>
      <c r="M201" s="225"/>
      <c r="N201" s="225"/>
    </row>
    <row r="202" spans="1:14" ht="11.1" customHeight="1" x14ac:dyDescent="0.2">
      <c r="A202" s="80">
        <v>3.2</v>
      </c>
      <c r="B202" s="129" t="s">
        <v>268</v>
      </c>
      <c r="C202" s="201"/>
      <c r="D202" s="79"/>
      <c r="E202" s="79"/>
      <c r="F202" s="157"/>
      <c r="G202" s="131">
        <v>5.3</v>
      </c>
      <c r="H202" s="132">
        <v>145</v>
      </c>
      <c r="I202" s="132">
        <v>1370</v>
      </c>
      <c r="J202" s="135">
        <v>4.5</v>
      </c>
      <c r="K202" s="78"/>
      <c r="L202" s="78"/>
      <c r="M202" s="225"/>
      <c r="N202" s="225"/>
    </row>
    <row r="203" spans="1:14" s="55" customFormat="1" ht="11.1" customHeight="1" x14ac:dyDescent="0.2">
      <c r="B203" s="56" t="s">
        <v>269</v>
      </c>
      <c r="C203" s="56" t="s">
        <v>270</v>
      </c>
      <c r="D203" s="143"/>
      <c r="E203" s="143"/>
      <c r="F203" s="143"/>
      <c r="G203" s="131">
        <v>2</v>
      </c>
      <c r="H203" s="132">
        <v>55</v>
      </c>
      <c r="I203" s="132">
        <v>410</v>
      </c>
      <c r="J203" s="135">
        <v>6.6</v>
      </c>
      <c r="K203" s="78"/>
      <c r="L203" s="78"/>
      <c r="M203" s="225"/>
      <c r="N203" s="225"/>
    </row>
    <row r="204" spans="1:14" s="55" customFormat="1" ht="11.1" customHeight="1" x14ac:dyDescent="0.2">
      <c r="B204" s="56" t="s">
        <v>271</v>
      </c>
      <c r="C204" s="56" t="s">
        <v>272</v>
      </c>
      <c r="D204" s="143"/>
      <c r="E204" s="143"/>
      <c r="F204" s="143"/>
      <c r="G204" s="131">
        <v>2.4</v>
      </c>
      <c r="H204" s="132">
        <v>65</v>
      </c>
      <c r="I204" s="132">
        <v>810</v>
      </c>
      <c r="J204" s="135">
        <v>6.6</v>
      </c>
      <c r="K204" s="78"/>
      <c r="L204" s="78"/>
      <c r="M204" s="225"/>
      <c r="N204" s="225"/>
    </row>
    <row r="205" spans="1:14" s="55" customFormat="1" ht="11.1" customHeight="1" x14ac:dyDescent="0.2">
      <c r="B205" s="56" t="s">
        <v>273</v>
      </c>
      <c r="C205" s="56" t="s">
        <v>274</v>
      </c>
      <c r="D205" s="143"/>
      <c r="E205" s="143"/>
      <c r="F205" s="143"/>
      <c r="G205" s="131">
        <v>0.9</v>
      </c>
      <c r="H205" s="132">
        <v>25</v>
      </c>
      <c r="I205" s="132">
        <v>340</v>
      </c>
      <c r="J205" s="135">
        <v>7.4</v>
      </c>
      <c r="K205" s="78"/>
      <c r="L205" s="78"/>
      <c r="M205" s="225"/>
      <c r="N205" s="225"/>
    </row>
    <row r="206" spans="1:14" s="55" customFormat="1" ht="11.1" customHeight="1" x14ac:dyDescent="0.2">
      <c r="B206" s="56" t="s">
        <v>275</v>
      </c>
      <c r="C206" s="136" t="s">
        <v>276</v>
      </c>
      <c r="F206" s="143"/>
      <c r="G206" s="145">
        <v>0</v>
      </c>
      <c r="H206" s="132">
        <v>1</v>
      </c>
      <c r="I206" s="132">
        <v>30</v>
      </c>
      <c r="J206" s="135">
        <v>24.9</v>
      </c>
      <c r="K206" s="78"/>
      <c r="L206" s="78"/>
      <c r="M206" s="225"/>
      <c r="N206" s="225"/>
    </row>
    <row r="207" spans="1:14" ht="3" customHeight="1" x14ac:dyDescent="0.25">
      <c r="A207" s="71"/>
      <c r="B207" s="195"/>
      <c r="C207" s="226"/>
      <c r="D207" s="72"/>
      <c r="E207" s="72"/>
      <c r="F207" s="100"/>
      <c r="G207" s="152"/>
      <c r="H207" s="153"/>
      <c r="I207" s="154"/>
      <c r="J207" s="155"/>
      <c r="K207" s="78"/>
      <c r="L207" s="78"/>
      <c r="M207" s="225"/>
      <c r="N207" s="225"/>
    </row>
    <row r="208" spans="1:14" s="55" customFormat="1" ht="3.75" customHeight="1" x14ac:dyDescent="0.2">
      <c r="A208" s="56"/>
      <c r="B208" s="56"/>
      <c r="C208" s="142"/>
      <c r="F208" s="143"/>
      <c r="G208" s="138"/>
      <c r="H208" s="139"/>
      <c r="I208" s="140"/>
      <c r="J208" s="135"/>
      <c r="K208" s="78"/>
      <c r="L208" s="78"/>
      <c r="M208" s="225"/>
      <c r="N208" s="225"/>
    </row>
    <row r="209" spans="1:14" s="128" customFormat="1" ht="12.75" customHeight="1" x14ac:dyDescent="0.25">
      <c r="A209" s="188">
        <v>4</v>
      </c>
      <c r="B209" s="227" t="s">
        <v>277</v>
      </c>
      <c r="C209" s="228"/>
      <c r="D209" s="121"/>
      <c r="E209" s="121"/>
      <c r="F209" s="200"/>
      <c r="G209" s="123">
        <v>79.400000000000006</v>
      </c>
      <c r="H209" s="124">
        <v>2182</v>
      </c>
      <c r="I209" s="124">
        <v>5470</v>
      </c>
      <c r="J209" s="125">
        <v>1.7</v>
      </c>
      <c r="K209" s="78"/>
      <c r="L209" s="78"/>
      <c r="M209" s="225"/>
      <c r="N209" s="225"/>
    </row>
    <row r="210" spans="1:14" s="55" customFormat="1" ht="4.5" customHeight="1" x14ac:dyDescent="0.25">
      <c r="A210" s="80"/>
      <c r="B210" s="129"/>
      <c r="C210" s="144"/>
      <c r="D210" s="79"/>
      <c r="E210" s="79"/>
      <c r="F210" s="106"/>
      <c r="G210" s="138"/>
      <c r="H210" s="139"/>
      <c r="I210" s="140"/>
      <c r="J210" s="146"/>
      <c r="K210" s="78"/>
      <c r="L210" s="78"/>
      <c r="M210" s="225"/>
      <c r="N210" s="225"/>
    </row>
    <row r="211" spans="1:14" s="229" customFormat="1" ht="11.1" customHeight="1" x14ac:dyDescent="0.2">
      <c r="A211" s="80">
        <v>4.0999999999999996</v>
      </c>
      <c r="B211" s="129" t="s">
        <v>278</v>
      </c>
      <c r="C211" s="80"/>
      <c r="D211" s="79"/>
      <c r="E211" s="79"/>
      <c r="F211" s="79"/>
      <c r="G211" s="131">
        <v>50.3</v>
      </c>
      <c r="H211" s="132">
        <v>1382</v>
      </c>
      <c r="I211" s="132">
        <v>1740</v>
      </c>
      <c r="J211" s="135">
        <v>2.7</v>
      </c>
      <c r="K211" s="78"/>
      <c r="L211" s="78"/>
      <c r="M211" s="225"/>
      <c r="N211" s="225"/>
    </row>
    <row r="212" spans="1:14" s="55" customFormat="1" ht="11.1" customHeight="1" x14ac:dyDescent="0.2">
      <c r="B212" s="56" t="s">
        <v>279</v>
      </c>
      <c r="C212" s="56" t="s">
        <v>280</v>
      </c>
      <c r="G212" s="131">
        <v>50.2</v>
      </c>
      <c r="H212" s="132">
        <v>1379</v>
      </c>
      <c r="I212" s="132">
        <v>1730</v>
      </c>
      <c r="J212" s="135">
        <v>2.7</v>
      </c>
      <c r="K212" s="78"/>
      <c r="L212" s="78"/>
      <c r="M212" s="225"/>
      <c r="N212" s="225"/>
    </row>
    <row r="213" spans="1:14" s="55" customFormat="1" ht="11.1" customHeight="1" x14ac:dyDescent="0.2">
      <c r="B213" s="56" t="s">
        <v>281</v>
      </c>
      <c r="C213" s="230" t="s">
        <v>282</v>
      </c>
      <c r="G213" s="131">
        <v>12.9</v>
      </c>
      <c r="H213" s="132">
        <v>354</v>
      </c>
      <c r="I213" s="132">
        <v>1010</v>
      </c>
      <c r="J213" s="135">
        <v>5</v>
      </c>
      <c r="K213" s="78"/>
      <c r="L213" s="78"/>
      <c r="M213" s="225"/>
      <c r="N213" s="225"/>
    </row>
    <row r="214" spans="1:14" s="141" customFormat="1" ht="11.1" customHeight="1" x14ac:dyDescent="0.2">
      <c r="B214" s="56" t="s">
        <v>283</v>
      </c>
      <c r="C214" s="136" t="s">
        <v>284</v>
      </c>
      <c r="D214" s="55"/>
      <c r="E214" s="55"/>
      <c r="F214" s="55"/>
      <c r="G214" s="131">
        <v>37.299999999999997</v>
      </c>
      <c r="H214" s="132">
        <v>1025</v>
      </c>
      <c r="I214" s="132">
        <v>1490</v>
      </c>
      <c r="J214" s="135">
        <v>3.4</v>
      </c>
      <c r="K214" s="78"/>
      <c r="L214" s="78"/>
      <c r="M214" s="225"/>
      <c r="N214" s="225"/>
    </row>
    <row r="215" spans="1:14" s="55" customFormat="1" ht="11.1" customHeight="1" x14ac:dyDescent="0.2">
      <c r="B215" s="56" t="s">
        <v>285</v>
      </c>
      <c r="C215" s="136" t="s">
        <v>286</v>
      </c>
      <c r="G215" s="138" t="s">
        <v>230</v>
      </c>
      <c r="H215" s="139" t="s">
        <v>230</v>
      </c>
      <c r="I215" s="139" t="s">
        <v>230</v>
      </c>
      <c r="J215" s="135" t="s">
        <v>230</v>
      </c>
      <c r="K215" s="78"/>
      <c r="L215" s="78"/>
      <c r="M215" s="225"/>
      <c r="N215" s="225"/>
    </row>
    <row r="216" spans="1:14" ht="4.5" customHeight="1" x14ac:dyDescent="0.25">
      <c r="B216" s="129"/>
      <c r="C216" s="142"/>
      <c r="D216" s="79"/>
      <c r="E216" s="79"/>
      <c r="F216" s="106"/>
      <c r="G216" s="138"/>
      <c r="H216" s="139"/>
      <c r="I216" s="140"/>
      <c r="J216" s="146"/>
      <c r="K216" s="78"/>
      <c r="L216" s="78"/>
      <c r="M216" s="225"/>
      <c r="N216" s="225"/>
    </row>
    <row r="217" spans="1:14" ht="11.1" customHeight="1" x14ac:dyDescent="0.2">
      <c r="A217" s="80">
        <v>4.2</v>
      </c>
      <c r="B217" s="129" t="s">
        <v>287</v>
      </c>
      <c r="D217" s="79"/>
      <c r="E217" s="79"/>
      <c r="F217" s="79"/>
      <c r="G217" s="131">
        <v>7.5</v>
      </c>
      <c r="H217" s="132">
        <v>207</v>
      </c>
      <c r="I217" s="132">
        <v>1940</v>
      </c>
      <c r="J217" s="135">
        <v>6.2</v>
      </c>
      <c r="K217" s="78"/>
      <c r="L217" s="78"/>
      <c r="M217" s="225"/>
      <c r="N217" s="225"/>
    </row>
    <row r="218" spans="1:14" s="55" customFormat="1" ht="11.1" customHeight="1" x14ac:dyDescent="0.2">
      <c r="B218" s="56" t="s">
        <v>288</v>
      </c>
      <c r="C218" s="56" t="s">
        <v>289</v>
      </c>
      <c r="G218" s="131">
        <v>0.8</v>
      </c>
      <c r="H218" s="132">
        <v>23</v>
      </c>
      <c r="I218" s="132">
        <v>860</v>
      </c>
      <c r="J218" s="135">
        <v>7.8</v>
      </c>
      <c r="K218" s="78"/>
      <c r="L218" s="78"/>
      <c r="M218" s="225"/>
      <c r="N218" s="225"/>
    </row>
    <row r="219" spans="1:14" s="55" customFormat="1" ht="11.1" customHeight="1" x14ac:dyDescent="0.2">
      <c r="B219" s="56" t="s">
        <v>290</v>
      </c>
      <c r="C219" s="136" t="s">
        <v>291</v>
      </c>
      <c r="G219" s="131">
        <v>4.5999999999999996</v>
      </c>
      <c r="H219" s="132">
        <v>126</v>
      </c>
      <c r="I219" s="132">
        <v>910</v>
      </c>
      <c r="J219" s="135">
        <v>8.4</v>
      </c>
      <c r="K219" s="78"/>
      <c r="L219" s="78"/>
      <c r="M219" s="225"/>
      <c r="N219" s="225"/>
    </row>
    <row r="220" spans="1:14" s="55" customFormat="1" ht="11.1" customHeight="1" x14ac:dyDescent="0.2">
      <c r="B220" s="56" t="s">
        <v>292</v>
      </c>
      <c r="C220" s="136" t="s">
        <v>293</v>
      </c>
      <c r="G220" s="131">
        <v>1.2</v>
      </c>
      <c r="H220" s="132">
        <v>34</v>
      </c>
      <c r="I220" s="132">
        <v>420</v>
      </c>
      <c r="J220" s="135">
        <v>8.3000000000000007</v>
      </c>
      <c r="K220" s="78"/>
      <c r="L220" s="78"/>
      <c r="M220" s="225"/>
      <c r="N220" s="225"/>
    </row>
    <row r="221" spans="1:14" s="55" customFormat="1" ht="11.1" customHeight="1" x14ac:dyDescent="0.2">
      <c r="B221" s="56" t="s">
        <v>294</v>
      </c>
      <c r="C221" s="56" t="s">
        <v>295</v>
      </c>
      <c r="G221" s="131">
        <v>0.9</v>
      </c>
      <c r="H221" s="132">
        <v>24</v>
      </c>
      <c r="I221" s="132">
        <v>360</v>
      </c>
      <c r="J221" s="135">
        <v>18</v>
      </c>
      <c r="K221" s="78"/>
      <c r="L221" s="78"/>
      <c r="M221" s="225"/>
      <c r="N221" s="225"/>
    </row>
    <row r="222" spans="1:14" s="55" customFormat="1" ht="4.5" customHeight="1" x14ac:dyDescent="0.2">
      <c r="A222" s="56"/>
      <c r="B222" s="56"/>
      <c r="C222" s="144"/>
      <c r="F222" s="143"/>
      <c r="G222" s="138"/>
      <c r="H222" s="139"/>
      <c r="I222" s="140"/>
      <c r="J222" s="135"/>
      <c r="K222" s="78"/>
      <c r="L222" s="78"/>
      <c r="M222" s="225"/>
      <c r="N222" s="225"/>
    </row>
    <row r="223" spans="1:14" ht="10.5" customHeight="1" x14ac:dyDescent="0.2">
      <c r="A223" s="80">
        <v>4.3</v>
      </c>
      <c r="B223" s="80" t="s">
        <v>296</v>
      </c>
      <c r="D223" s="79"/>
      <c r="E223" s="79"/>
      <c r="F223" s="79"/>
      <c r="G223" s="131">
        <v>9.8000000000000007</v>
      </c>
      <c r="H223" s="132">
        <v>269</v>
      </c>
      <c r="I223" s="132">
        <v>5090</v>
      </c>
      <c r="J223" s="135">
        <v>1.9</v>
      </c>
      <c r="K223" s="78"/>
      <c r="L223" s="78"/>
      <c r="M223" s="225"/>
      <c r="N223" s="225"/>
    </row>
    <row r="224" spans="1:14" s="55" customFormat="1" ht="11.1" customHeight="1" x14ac:dyDescent="0.2">
      <c r="B224" s="56" t="s">
        <v>297</v>
      </c>
      <c r="C224" s="136" t="s">
        <v>298</v>
      </c>
      <c r="G224" s="131">
        <v>8.1</v>
      </c>
      <c r="H224" s="132">
        <v>224</v>
      </c>
      <c r="I224" s="132">
        <v>5010</v>
      </c>
      <c r="J224" s="135">
        <v>1.7</v>
      </c>
      <c r="K224" s="78"/>
      <c r="L224" s="78"/>
      <c r="M224" s="225"/>
      <c r="N224" s="225"/>
    </row>
    <row r="225" spans="1:14" s="55" customFormat="1" ht="11.1" customHeight="1" x14ac:dyDescent="0.2">
      <c r="B225" s="56" t="s">
        <v>299</v>
      </c>
      <c r="C225" s="136" t="s">
        <v>300</v>
      </c>
      <c r="G225" s="131">
        <v>1.5</v>
      </c>
      <c r="H225" s="132">
        <v>41</v>
      </c>
      <c r="I225" s="132">
        <v>620</v>
      </c>
      <c r="J225" s="135">
        <v>8.1</v>
      </c>
      <c r="K225" s="78"/>
      <c r="L225" s="78"/>
      <c r="M225" s="225"/>
      <c r="N225" s="225"/>
    </row>
    <row r="226" spans="1:14" s="141" customFormat="1" ht="11.1" customHeight="1" x14ac:dyDescent="0.2">
      <c r="B226" s="56" t="s">
        <v>301</v>
      </c>
      <c r="C226" s="136" t="s">
        <v>302</v>
      </c>
      <c r="D226" s="55"/>
      <c r="E226" s="55"/>
      <c r="F226" s="55"/>
      <c r="G226" s="131">
        <v>0.1</v>
      </c>
      <c r="H226" s="132">
        <v>4</v>
      </c>
      <c r="I226" s="132">
        <v>30</v>
      </c>
      <c r="J226" s="135">
        <v>35.1</v>
      </c>
      <c r="K226" s="78"/>
      <c r="L226" s="78"/>
      <c r="M226" s="225"/>
      <c r="N226" s="225"/>
    </row>
    <row r="227" spans="1:14" s="55" customFormat="1" ht="4.5" customHeight="1" x14ac:dyDescent="0.2">
      <c r="A227" s="56"/>
      <c r="B227" s="56"/>
      <c r="C227" s="56"/>
      <c r="G227" s="85"/>
      <c r="H227" s="86"/>
      <c r="I227" s="87"/>
      <c r="J227" s="231"/>
      <c r="K227" s="78"/>
      <c r="L227" s="78"/>
      <c r="M227" s="225"/>
      <c r="N227" s="225"/>
    </row>
    <row r="228" spans="1:14" ht="11.1" customHeight="1" x14ac:dyDescent="0.2">
      <c r="A228" s="80">
        <v>4.4000000000000004</v>
      </c>
      <c r="B228" s="80" t="s">
        <v>303</v>
      </c>
      <c r="D228" s="79"/>
      <c r="E228" s="79"/>
      <c r="F228" s="79"/>
      <c r="G228" s="131">
        <v>24.6</v>
      </c>
      <c r="H228" s="132">
        <v>677</v>
      </c>
      <c r="I228" s="132">
        <v>5420</v>
      </c>
      <c r="J228" s="135">
        <v>1</v>
      </c>
      <c r="K228" s="78"/>
      <c r="L228" s="78"/>
      <c r="M228" s="225"/>
      <c r="N228" s="225"/>
    </row>
    <row r="229" spans="1:14" s="55" customFormat="1" ht="11.1" customHeight="1" x14ac:dyDescent="0.2">
      <c r="B229" s="56" t="s">
        <v>304</v>
      </c>
      <c r="C229" s="136" t="s">
        <v>305</v>
      </c>
      <c r="G229" s="131">
        <v>12.3</v>
      </c>
      <c r="H229" s="132">
        <v>339</v>
      </c>
      <c r="I229" s="132">
        <v>5410</v>
      </c>
      <c r="J229" s="135">
        <v>1</v>
      </c>
      <c r="K229" s="78"/>
      <c r="L229" s="78"/>
      <c r="M229" s="225"/>
      <c r="N229" s="225"/>
    </row>
    <row r="230" spans="1:14" s="55" customFormat="1" ht="10.5" customHeight="1" x14ac:dyDescent="0.2">
      <c r="B230" s="56" t="s">
        <v>306</v>
      </c>
      <c r="C230" s="136" t="s">
        <v>307</v>
      </c>
      <c r="G230" s="131">
        <v>10.4</v>
      </c>
      <c r="H230" s="132">
        <v>286</v>
      </c>
      <c r="I230" s="132">
        <v>4370</v>
      </c>
      <c r="J230" s="135">
        <v>1.4</v>
      </c>
      <c r="K230" s="78"/>
      <c r="L230" s="78"/>
      <c r="M230" s="225"/>
      <c r="N230" s="225"/>
    </row>
    <row r="231" spans="1:14" s="55" customFormat="1" ht="3" customHeight="1" x14ac:dyDescent="0.2">
      <c r="A231" s="56"/>
      <c r="B231" s="136"/>
      <c r="G231" s="85"/>
      <c r="H231" s="86"/>
      <c r="I231" s="87"/>
      <c r="J231" s="217"/>
      <c r="K231" s="78"/>
      <c r="L231" s="78"/>
      <c r="M231" s="225"/>
      <c r="N231" s="225"/>
    </row>
    <row r="232" spans="1:14" s="55" customFormat="1" ht="11.1" customHeight="1" x14ac:dyDescent="0.2">
      <c r="B232" s="56" t="s">
        <v>308</v>
      </c>
      <c r="C232" s="136" t="s">
        <v>309</v>
      </c>
      <c r="G232" s="131">
        <v>1.9</v>
      </c>
      <c r="H232" s="132">
        <v>53</v>
      </c>
      <c r="I232" s="132">
        <v>510</v>
      </c>
      <c r="J232" s="135">
        <v>9.1</v>
      </c>
      <c r="K232" s="78"/>
      <c r="L232" s="78"/>
      <c r="M232" s="225"/>
      <c r="N232" s="225"/>
    </row>
    <row r="233" spans="1:14" s="55" customFormat="1" ht="11.1" customHeight="1" x14ac:dyDescent="0.2">
      <c r="B233" s="56"/>
      <c r="C233" s="136" t="s">
        <v>310</v>
      </c>
      <c r="D233" s="55" t="s">
        <v>311</v>
      </c>
      <c r="G233" s="131">
        <v>0.2</v>
      </c>
      <c r="H233" s="132">
        <v>5</v>
      </c>
      <c r="I233" s="132">
        <v>110</v>
      </c>
      <c r="J233" s="135">
        <v>22.2</v>
      </c>
      <c r="K233" s="78"/>
      <c r="L233" s="78"/>
      <c r="M233" s="225"/>
      <c r="N233" s="225"/>
    </row>
    <row r="234" spans="1:14" s="55" customFormat="1" ht="11.1" customHeight="1" x14ac:dyDescent="0.2">
      <c r="B234" s="56"/>
      <c r="C234" s="136" t="s">
        <v>312</v>
      </c>
      <c r="D234" s="55" t="s">
        <v>313</v>
      </c>
      <c r="G234" s="131">
        <v>1.5</v>
      </c>
      <c r="H234" s="132">
        <v>42</v>
      </c>
      <c r="I234" s="132">
        <v>380</v>
      </c>
      <c r="J234" s="135">
        <v>9.6</v>
      </c>
      <c r="K234" s="78"/>
      <c r="L234" s="78"/>
      <c r="M234" s="225"/>
      <c r="N234" s="225"/>
    </row>
    <row r="235" spans="1:14" s="55" customFormat="1" ht="11.1" customHeight="1" x14ac:dyDescent="0.2">
      <c r="B235" s="56"/>
      <c r="C235" s="56" t="s">
        <v>314</v>
      </c>
      <c r="D235" s="56" t="s">
        <v>315</v>
      </c>
      <c r="G235" s="131">
        <v>0.2</v>
      </c>
      <c r="H235" s="132">
        <v>6</v>
      </c>
      <c r="I235" s="132">
        <v>80</v>
      </c>
      <c r="J235" s="135">
        <v>20</v>
      </c>
      <c r="K235" s="78"/>
      <c r="L235" s="78"/>
      <c r="M235" s="225"/>
      <c r="N235" s="225"/>
    </row>
    <row r="236" spans="1:14" s="55" customFormat="1" ht="3" customHeight="1" x14ac:dyDescent="0.2">
      <c r="A236" s="45"/>
      <c r="B236" s="45"/>
      <c r="C236" s="226"/>
      <c r="D236" s="47"/>
      <c r="E236" s="47"/>
      <c r="F236" s="232"/>
      <c r="G236" s="152"/>
      <c r="H236" s="153"/>
      <c r="I236" s="154"/>
      <c r="J236" s="155"/>
      <c r="K236" s="78"/>
      <c r="L236" s="78"/>
      <c r="M236" s="225"/>
      <c r="N236" s="225"/>
    </row>
    <row r="237" spans="1:14" s="55" customFormat="1" ht="3" customHeight="1" x14ac:dyDescent="0.2">
      <c r="A237" s="56"/>
      <c r="B237" s="56"/>
      <c r="C237" s="144"/>
      <c r="F237" s="143"/>
      <c r="G237" s="138"/>
      <c r="H237" s="139"/>
      <c r="I237" s="140"/>
      <c r="J237" s="135"/>
      <c r="K237" s="78"/>
      <c r="L237" s="78"/>
      <c r="M237" s="225"/>
      <c r="N237" s="225"/>
    </row>
    <row r="238" spans="1:14" ht="12.75" customHeight="1" x14ac:dyDescent="0.25">
      <c r="A238" s="188">
        <v>5</v>
      </c>
      <c r="B238" s="120" t="s">
        <v>316</v>
      </c>
      <c r="C238" s="233"/>
      <c r="D238" s="121"/>
      <c r="E238" s="121"/>
      <c r="F238" s="200"/>
      <c r="G238" s="123">
        <v>41</v>
      </c>
      <c r="H238" s="124">
        <v>1126</v>
      </c>
      <c r="I238" s="124">
        <v>5180</v>
      </c>
      <c r="J238" s="125">
        <v>3.6</v>
      </c>
      <c r="K238" s="78"/>
      <c r="L238" s="78"/>
      <c r="M238" s="225"/>
      <c r="N238" s="225"/>
    </row>
    <row r="239" spans="1:14" ht="6" customHeight="1" x14ac:dyDescent="0.2">
      <c r="A239" s="186"/>
      <c r="B239" s="193"/>
      <c r="C239" s="234"/>
      <c r="D239" s="128"/>
      <c r="E239" s="128"/>
      <c r="F239" s="78"/>
      <c r="G239" s="131"/>
      <c r="H239" s="132"/>
      <c r="I239" s="133"/>
      <c r="J239" s="135"/>
      <c r="K239" s="78"/>
      <c r="L239" s="78"/>
      <c r="M239" s="225"/>
      <c r="N239" s="225"/>
    </row>
    <row r="240" spans="1:14" ht="11.1" customHeight="1" x14ac:dyDescent="0.2">
      <c r="A240" s="80">
        <v>5.0999999999999996</v>
      </c>
      <c r="B240" s="129" t="s">
        <v>317</v>
      </c>
      <c r="C240" s="201"/>
      <c r="D240" s="80"/>
      <c r="E240" s="80"/>
      <c r="F240" s="157"/>
      <c r="G240" s="131">
        <v>23</v>
      </c>
      <c r="H240" s="132">
        <v>632</v>
      </c>
      <c r="I240" s="132">
        <v>2310</v>
      </c>
      <c r="J240" s="135">
        <v>5.0999999999999996</v>
      </c>
      <c r="K240" s="78"/>
      <c r="L240" s="78"/>
      <c r="M240" s="225"/>
      <c r="N240" s="225"/>
    </row>
    <row r="241" spans="1:14" ht="11.1" customHeight="1" x14ac:dyDescent="0.2">
      <c r="A241" s="56"/>
      <c r="B241" s="56" t="s">
        <v>318</v>
      </c>
      <c r="C241" s="136" t="s">
        <v>319</v>
      </c>
      <c r="D241" s="144"/>
      <c r="E241" s="56"/>
      <c r="F241" s="143"/>
      <c r="G241" s="131">
        <v>18.7</v>
      </c>
      <c r="H241" s="132">
        <v>515</v>
      </c>
      <c r="I241" s="132">
        <v>2090</v>
      </c>
      <c r="J241" s="135">
        <v>5.6</v>
      </c>
      <c r="K241" s="78"/>
      <c r="L241" s="78"/>
      <c r="M241" s="225"/>
      <c r="N241" s="225"/>
    </row>
    <row r="242" spans="1:14" ht="11.1" customHeight="1" x14ac:dyDescent="0.2">
      <c r="B242" s="129"/>
      <c r="C242" s="136" t="s">
        <v>320</v>
      </c>
      <c r="D242" s="56" t="s">
        <v>321</v>
      </c>
      <c r="E242" s="56"/>
      <c r="F242" s="143"/>
      <c r="G242" s="131">
        <v>16.899999999999999</v>
      </c>
      <c r="H242" s="132">
        <v>464</v>
      </c>
      <c r="I242" s="132">
        <v>1550</v>
      </c>
      <c r="J242" s="135">
        <v>5.3</v>
      </c>
      <c r="K242" s="78"/>
      <c r="L242" s="78"/>
      <c r="M242" s="225"/>
      <c r="N242" s="225"/>
    </row>
    <row r="243" spans="1:14" s="141" customFormat="1" ht="11.1" customHeight="1" x14ac:dyDescent="0.2">
      <c r="A243" s="186"/>
      <c r="B243" s="129"/>
      <c r="C243" s="136" t="s">
        <v>322</v>
      </c>
      <c r="D243" s="56" t="s">
        <v>323</v>
      </c>
      <c r="E243" s="56"/>
      <c r="F243" s="143"/>
      <c r="G243" s="131">
        <v>1.5</v>
      </c>
      <c r="H243" s="132">
        <v>41</v>
      </c>
      <c r="I243" s="132">
        <v>780</v>
      </c>
      <c r="J243" s="135">
        <v>34.1</v>
      </c>
      <c r="K243" s="78"/>
      <c r="L243" s="78"/>
      <c r="M243" s="225"/>
      <c r="N243" s="225"/>
    </row>
    <row r="244" spans="1:14" ht="11.1" customHeight="1" x14ac:dyDescent="0.2">
      <c r="A244" s="79"/>
      <c r="B244" s="79"/>
      <c r="C244" s="136" t="s">
        <v>324</v>
      </c>
      <c r="D244" s="56" t="s">
        <v>325</v>
      </c>
      <c r="E244" s="56"/>
      <c r="F244" s="143"/>
      <c r="G244" s="131">
        <v>0.4</v>
      </c>
      <c r="H244" s="132">
        <v>10</v>
      </c>
      <c r="I244" s="132">
        <v>50</v>
      </c>
      <c r="J244" s="135">
        <v>21.7</v>
      </c>
      <c r="K244" s="78"/>
      <c r="L244" s="78"/>
      <c r="M244" s="225"/>
      <c r="N244" s="225"/>
    </row>
    <row r="245" spans="1:14" ht="3.75" customHeight="1" x14ac:dyDescent="0.25">
      <c r="B245" s="129"/>
      <c r="C245" s="142"/>
      <c r="D245" s="79"/>
      <c r="E245" s="79"/>
      <c r="F245" s="106"/>
      <c r="G245" s="138"/>
      <c r="H245" s="139"/>
      <c r="I245" s="140"/>
      <c r="J245" s="146"/>
      <c r="K245" s="78"/>
      <c r="L245" s="78"/>
      <c r="M245" s="225"/>
      <c r="N245" s="225"/>
    </row>
    <row r="246" spans="1:14" ht="11.1" customHeight="1" x14ac:dyDescent="0.2">
      <c r="A246" s="79"/>
      <c r="B246" s="56" t="s">
        <v>326</v>
      </c>
      <c r="C246" s="136" t="s">
        <v>327</v>
      </c>
      <c r="D246" s="144"/>
      <c r="E246" s="56"/>
      <c r="F246" s="143"/>
      <c r="G246" s="131">
        <v>4.3</v>
      </c>
      <c r="H246" s="132">
        <v>117</v>
      </c>
      <c r="I246" s="132">
        <v>640</v>
      </c>
      <c r="J246" s="135">
        <v>9.9</v>
      </c>
      <c r="K246" s="78"/>
      <c r="L246" s="78"/>
      <c r="M246" s="225"/>
      <c r="N246" s="225"/>
    </row>
    <row r="247" spans="1:14" s="55" customFormat="1" ht="11.1" customHeight="1" x14ac:dyDescent="0.2">
      <c r="B247" s="56"/>
      <c r="C247" s="136" t="s">
        <v>328</v>
      </c>
      <c r="D247" s="144" t="s">
        <v>329</v>
      </c>
      <c r="E247" s="56"/>
      <c r="F247" s="143"/>
      <c r="G247" s="131">
        <v>3.7</v>
      </c>
      <c r="H247" s="132">
        <v>103</v>
      </c>
      <c r="I247" s="132">
        <v>610</v>
      </c>
      <c r="J247" s="135">
        <v>7.8</v>
      </c>
      <c r="K247" s="78"/>
      <c r="L247" s="78"/>
      <c r="M247" s="225"/>
      <c r="N247" s="225"/>
    </row>
    <row r="248" spans="1:14" s="55" customFormat="1" ht="11.1" customHeight="1" x14ac:dyDescent="0.2">
      <c r="A248" s="56"/>
      <c r="B248" s="56"/>
      <c r="C248" s="56" t="s">
        <v>330</v>
      </c>
      <c r="D248" s="144" t="s">
        <v>331</v>
      </c>
      <c r="E248" s="56"/>
      <c r="F248" s="143"/>
      <c r="G248" s="131">
        <v>0.5</v>
      </c>
      <c r="H248" s="132">
        <v>14</v>
      </c>
      <c r="I248" s="132">
        <v>40</v>
      </c>
      <c r="J248" s="135">
        <v>51.1</v>
      </c>
      <c r="K248" s="78"/>
      <c r="L248" s="78"/>
      <c r="M248" s="225"/>
      <c r="N248" s="225"/>
    </row>
    <row r="249" spans="1:14" s="55" customFormat="1" ht="4.5" customHeight="1" x14ac:dyDescent="0.2">
      <c r="A249" s="56"/>
      <c r="B249" s="56"/>
      <c r="C249" s="56"/>
      <c r="D249" s="56"/>
      <c r="E249" s="56"/>
      <c r="F249" s="143"/>
      <c r="G249" s="138"/>
      <c r="H249" s="139"/>
      <c r="I249" s="140"/>
      <c r="J249" s="135"/>
      <c r="K249" s="78"/>
      <c r="L249" s="78"/>
      <c r="M249" s="225"/>
      <c r="N249" s="225"/>
    </row>
    <row r="250" spans="1:14" s="55" customFormat="1" ht="11.1" customHeight="1" x14ac:dyDescent="0.2">
      <c r="A250" s="80">
        <v>5.2</v>
      </c>
      <c r="B250" s="80" t="s">
        <v>332</v>
      </c>
      <c r="C250" s="80"/>
      <c r="D250" s="80"/>
      <c r="E250" s="80"/>
      <c r="F250" s="79"/>
      <c r="G250" s="131">
        <v>2.2000000000000002</v>
      </c>
      <c r="H250" s="132">
        <v>60</v>
      </c>
      <c r="I250" s="132">
        <v>1150</v>
      </c>
      <c r="J250" s="135">
        <v>11.1</v>
      </c>
      <c r="K250" s="78"/>
      <c r="L250" s="78"/>
      <c r="M250" s="225"/>
      <c r="N250" s="225"/>
    </row>
    <row r="251" spans="1:14" s="55" customFormat="1" ht="11.1" customHeight="1" x14ac:dyDescent="0.2">
      <c r="A251" s="56"/>
      <c r="B251" s="56" t="s">
        <v>333</v>
      </c>
      <c r="C251" s="56" t="s">
        <v>334</v>
      </c>
      <c r="D251" s="56"/>
      <c r="E251" s="56"/>
      <c r="G251" s="131">
        <v>1</v>
      </c>
      <c r="H251" s="132">
        <v>26</v>
      </c>
      <c r="I251" s="132">
        <v>470</v>
      </c>
      <c r="J251" s="135">
        <v>7.7</v>
      </c>
      <c r="K251" s="78"/>
      <c r="L251" s="78"/>
      <c r="M251" s="225"/>
      <c r="N251" s="225"/>
    </row>
    <row r="252" spans="1:14" s="143" customFormat="1" ht="11.1" customHeight="1" x14ac:dyDescent="0.2">
      <c r="A252" s="56"/>
      <c r="B252" s="56" t="s">
        <v>335</v>
      </c>
      <c r="C252" s="56" t="s">
        <v>336</v>
      </c>
      <c r="D252" s="56"/>
      <c r="E252" s="56"/>
      <c r="F252" s="55"/>
      <c r="G252" s="131">
        <v>1.2</v>
      </c>
      <c r="H252" s="132">
        <v>34</v>
      </c>
      <c r="I252" s="132">
        <v>1150</v>
      </c>
      <c r="J252" s="135">
        <v>18.899999999999999</v>
      </c>
      <c r="K252" s="78"/>
      <c r="L252" s="78"/>
      <c r="M252" s="225"/>
      <c r="N252" s="225"/>
    </row>
    <row r="253" spans="1:14" s="143" customFormat="1" ht="3" customHeight="1" x14ac:dyDescent="0.2">
      <c r="A253" s="232"/>
      <c r="B253" s="232"/>
      <c r="C253" s="235"/>
      <c r="D253" s="236"/>
      <c r="E253" s="236"/>
      <c r="F253" s="232"/>
      <c r="G253" s="237"/>
      <c r="H253" s="238"/>
      <c r="I253" s="239"/>
      <c r="J253" s="240"/>
      <c r="K253" s="218"/>
      <c r="L253" s="65"/>
    </row>
    <row r="254" spans="1:14" s="143" customFormat="1" ht="4.5" customHeight="1" x14ac:dyDescent="0.2">
      <c r="C254" s="234"/>
      <c r="D254" s="128"/>
      <c r="E254" s="128"/>
      <c r="G254" s="241"/>
      <c r="H254" s="242"/>
      <c r="I254" s="243"/>
      <c r="J254" s="244"/>
      <c r="K254" s="218"/>
      <c r="L254" s="65"/>
    </row>
    <row r="255" spans="1:14" s="143" customFormat="1" ht="12" customHeight="1" x14ac:dyDescent="0.2">
      <c r="A255" s="157" t="s">
        <v>111</v>
      </c>
      <c r="B255" s="56"/>
      <c r="C255" s="56"/>
      <c r="D255" s="55"/>
      <c r="E255" s="137"/>
      <c r="F255" s="142"/>
      <c r="G255" s="241"/>
      <c r="H255" s="242"/>
      <c r="I255" s="243"/>
      <c r="J255" s="244"/>
      <c r="K255" s="218"/>
      <c r="L255" s="65"/>
    </row>
    <row r="256" spans="1:14" s="143" customFormat="1" ht="12" customHeight="1" x14ac:dyDescent="0.2">
      <c r="A256" s="157" t="s">
        <v>182</v>
      </c>
      <c r="B256" s="56"/>
      <c r="C256" s="56"/>
      <c r="D256" s="55"/>
      <c r="E256" s="137"/>
      <c r="F256" s="142"/>
      <c r="G256" s="241"/>
      <c r="H256" s="242"/>
      <c r="I256" s="243"/>
      <c r="J256" s="244"/>
      <c r="K256" s="218"/>
      <c r="L256" s="65"/>
    </row>
    <row r="257" spans="1:12" s="143" customFormat="1" ht="12" customHeight="1" x14ac:dyDescent="0.2">
      <c r="A257" s="157" t="s">
        <v>112</v>
      </c>
      <c r="B257" s="56"/>
      <c r="C257" s="56"/>
      <c r="D257" s="55"/>
      <c r="E257" s="137"/>
      <c r="F257" s="142"/>
      <c r="G257" s="241"/>
      <c r="H257" s="242"/>
      <c r="I257" s="243"/>
      <c r="J257" s="244"/>
      <c r="K257" s="218"/>
      <c r="L257" s="65"/>
    </row>
    <row r="258" spans="1:12" s="143" customFormat="1" ht="12" customHeight="1" x14ac:dyDescent="0.2">
      <c r="A258" s="157" t="s">
        <v>337</v>
      </c>
      <c r="C258" s="234"/>
      <c r="D258" s="128"/>
      <c r="E258" s="128"/>
      <c r="G258" s="241"/>
      <c r="H258" s="242"/>
      <c r="I258" s="243"/>
      <c r="J258" s="244"/>
      <c r="K258" s="218"/>
      <c r="L258" s="65"/>
    </row>
    <row r="259" spans="1:12" s="143" customFormat="1" ht="12" customHeight="1" x14ac:dyDescent="0.2">
      <c r="A259" s="157" t="s">
        <v>338</v>
      </c>
      <c r="B259" s="206"/>
      <c r="C259" s="79"/>
      <c r="D259" s="79"/>
      <c r="E259" s="79"/>
      <c r="G259" s="241"/>
      <c r="H259" s="242"/>
      <c r="I259" s="243"/>
      <c r="J259" s="244"/>
      <c r="K259" s="218"/>
      <c r="L259" s="65"/>
    </row>
    <row r="260" spans="1:12" s="143" customFormat="1" ht="12.75" customHeight="1" x14ac:dyDescent="0.2">
      <c r="C260" s="234"/>
      <c r="D260" s="128"/>
      <c r="E260" s="128"/>
      <c r="G260" s="241"/>
      <c r="H260" s="242"/>
      <c r="I260" s="243"/>
      <c r="J260" s="244"/>
      <c r="K260" s="218"/>
      <c r="L260" s="65"/>
    </row>
    <row r="261" spans="1:12" s="143" customFormat="1" ht="12.75" customHeight="1" x14ac:dyDescent="0.2">
      <c r="A261" s="158"/>
      <c r="C261" s="234"/>
      <c r="D261" s="128"/>
      <c r="E261" s="128"/>
      <c r="G261" s="241"/>
      <c r="H261" s="242"/>
      <c r="I261" s="243"/>
      <c r="J261" s="244"/>
      <c r="K261" s="218"/>
      <c r="L261" s="65"/>
    </row>
    <row r="262" spans="1:12" s="143" customFormat="1" ht="12.75" customHeight="1" x14ac:dyDescent="0.2">
      <c r="A262" s="158"/>
      <c r="C262" s="234"/>
      <c r="D262" s="128"/>
      <c r="E262" s="128"/>
      <c r="G262" s="241"/>
      <c r="H262" s="242"/>
      <c r="I262" s="243"/>
      <c r="J262" s="244"/>
      <c r="K262" s="218"/>
      <c r="L262" s="65"/>
    </row>
    <row r="263" spans="1:12" s="143" customFormat="1" ht="12.75" customHeight="1" x14ac:dyDescent="0.2">
      <c r="A263" s="158"/>
      <c r="C263" s="234"/>
      <c r="D263" s="128"/>
      <c r="E263" s="128"/>
      <c r="G263" s="241"/>
      <c r="H263" s="242"/>
      <c r="I263" s="243"/>
      <c r="J263" s="244"/>
      <c r="K263" s="218"/>
      <c r="L263" s="65"/>
    </row>
    <row r="264" spans="1:12" s="143" customFormat="1" ht="12.75" customHeight="1" x14ac:dyDescent="0.2">
      <c r="A264" s="158"/>
      <c r="C264" s="234"/>
      <c r="D264" s="128"/>
      <c r="E264" s="128"/>
      <c r="G264" s="241"/>
      <c r="H264" s="242"/>
      <c r="I264" s="243"/>
      <c r="J264" s="244"/>
      <c r="K264" s="218"/>
      <c r="L264" s="65"/>
    </row>
    <row r="265" spans="1:12" s="143" customFormat="1" ht="12.75" customHeight="1" x14ac:dyDescent="0.2">
      <c r="A265" s="245"/>
      <c r="C265" s="234"/>
      <c r="D265" s="128"/>
      <c r="E265" s="128"/>
      <c r="G265" s="241"/>
      <c r="H265" s="242"/>
      <c r="I265" s="243"/>
      <c r="J265" s="244"/>
      <c r="K265" s="218"/>
      <c r="L265" s="65"/>
    </row>
    <row r="266" spans="1:12" s="143" customFormat="1" ht="12.75" customHeight="1" x14ac:dyDescent="0.2">
      <c r="A266" s="159" t="s">
        <v>114</v>
      </c>
      <c r="B266" s="193"/>
      <c r="C266" s="234"/>
      <c r="D266" s="128"/>
      <c r="E266" s="128"/>
      <c r="G266" s="241"/>
      <c r="H266" s="242"/>
      <c r="I266" s="243"/>
      <c r="K266" s="218"/>
      <c r="L266" s="65"/>
    </row>
    <row r="267" spans="1:12" s="31" customFormat="1" ht="15" customHeight="1" x14ac:dyDescent="0.3">
      <c r="A267" s="160" t="s">
        <v>183</v>
      </c>
      <c r="B267" s="161"/>
      <c r="D267" s="32"/>
      <c r="E267" s="32"/>
      <c r="F267" s="33"/>
      <c r="G267" s="34"/>
      <c r="H267" s="35"/>
      <c r="I267" s="36"/>
      <c r="J267" s="246"/>
      <c r="K267" s="37"/>
      <c r="L267" s="65"/>
    </row>
    <row r="268" spans="1:12" ht="13.5" customHeight="1" x14ac:dyDescent="0.25">
      <c r="A268" s="41" t="s">
        <v>24</v>
      </c>
      <c r="B268" s="81"/>
      <c r="C268" s="192"/>
      <c r="D268" s="247"/>
      <c r="L268" s="65"/>
    </row>
    <row r="269" spans="1:12" ht="3" customHeight="1" x14ac:dyDescent="0.3">
      <c r="A269" s="248"/>
      <c r="B269" s="71"/>
      <c r="C269" s="72"/>
      <c r="D269" s="73"/>
      <c r="E269" s="73"/>
      <c r="F269" s="73"/>
      <c r="G269" s="101"/>
      <c r="H269" s="102"/>
      <c r="I269" s="103"/>
      <c r="J269" s="77"/>
      <c r="L269" s="65"/>
    </row>
    <row r="270" spans="1:12" s="55" customFormat="1" ht="3" customHeight="1" x14ac:dyDescent="0.2">
      <c r="A270" s="81"/>
      <c r="B270" s="81"/>
      <c r="D270" s="84"/>
      <c r="E270" s="84"/>
      <c r="F270" s="84"/>
      <c r="G270" s="249"/>
      <c r="H270" s="250"/>
      <c r="I270" s="251"/>
      <c r="J270" s="252"/>
      <c r="K270" s="53"/>
      <c r="L270" s="65"/>
    </row>
    <row r="271" spans="1:12" s="180" customFormat="1" ht="11.1" customHeight="1" x14ac:dyDescent="0.15">
      <c r="A271" s="172"/>
      <c r="B271" s="172"/>
      <c r="C271" s="173"/>
      <c r="D271" s="174"/>
      <c r="E271" s="174"/>
      <c r="F271" s="59"/>
      <c r="G271" s="60" t="s">
        <v>116</v>
      </c>
      <c r="H271" s="61" t="s">
        <v>25</v>
      </c>
      <c r="I271" s="62" t="s">
        <v>26</v>
      </c>
      <c r="J271" s="63" t="s">
        <v>117</v>
      </c>
      <c r="K271" s="179"/>
      <c r="L271" s="65"/>
    </row>
    <row r="272" spans="1:12" s="180" customFormat="1" ht="11.1" customHeight="1" x14ac:dyDescent="0.15">
      <c r="A272" s="172"/>
      <c r="B272" s="172"/>
      <c r="C272" s="181"/>
      <c r="D272" s="174"/>
      <c r="E272" s="174"/>
      <c r="F272" s="59"/>
      <c r="G272" s="67" t="s">
        <v>29</v>
      </c>
      <c r="H272" s="61" t="s">
        <v>27</v>
      </c>
      <c r="I272" s="62" t="s">
        <v>28</v>
      </c>
      <c r="J272" s="63" t="s">
        <v>118</v>
      </c>
      <c r="K272" s="253"/>
      <c r="L272" s="65"/>
    </row>
    <row r="273" spans="1:14" s="180" customFormat="1" ht="11.1" customHeight="1" x14ac:dyDescent="0.15">
      <c r="A273" s="172"/>
      <c r="B273" s="172"/>
      <c r="C273" s="181"/>
      <c r="D273" s="174"/>
      <c r="E273" s="174"/>
      <c r="F273" s="59"/>
      <c r="G273" s="60" t="s">
        <v>31</v>
      </c>
      <c r="H273" s="61" t="s">
        <v>29</v>
      </c>
      <c r="I273" s="62" t="s">
        <v>30</v>
      </c>
      <c r="J273" s="69" t="s">
        <v>119</v>
      </c>
      <c r="K273" s="253"/>
      <c r="L273" s="65"/>
    </row>
    <row r="274" spans="1:14" s="180" customFormat="1" ht="11.1" customHeight="1" x14ac:dyDescent="0.15">
      <c r="A274" s="172"/>
      <c r="B274" s="172"/>
      <c r="C274" s="181"/>
      <c r="D274" s="174"/>
      <c r="E274" s="174"/>
      <c r="F274" s="59"/>
      <c r="G274" s="67" t="s">
        <v>32</v>
      </c>
      <c r="H274" s="61" t="s">
        <v>33</v>
      </c>
      <c r="I274" s="62" t="s">
        <v>120</v>
      </c>
      <c r="J274" s="70" t="s">
        <v>121</v>
      </c>
      <c r="K274" s="179"/>
      <c r="L274" s="65"/>
    </row>
    <row r="275" spans="1:14" ht="3.75" customHeight="1" x14ac:dyDescent="0.2">
      <c r="A275" s="71"/>
      <c r="B275" s="71"/>
      <c r="C275" s="72"/>
      <c r="D275" s="73"/>
      <c r="E275" s="73"/>
      <c r="F275" s="73"/>
      <c r="G275" s="101"/>
      <c r="H275" s="102"/>
      <c r="I275" s="103"/>
      <c r="J275" s="73"/>
      <c r="L275" s="65"/>
    </row>
    <row r="276" spans="1:14" ht="3" customHeight="1" x14ac:dyDescent="0.2">
      <c r="B276" s="81"/>
      <c r="C276" s="82"/>
      <c r="D276" s="83"/>
      <c r="E276" s="83"/>
      <c r="F276" s="84"/>
      <c r="G276" s="85"/>
      <c r="H276" s="86"/>
      <c r="I276" s="87"/>
      <c r="J276" s="83"/>
      <c r="L276" s="65"/>
    </row>
    <row r="277" spans="1:14" s="93" customFormat="1" ht="11.1" customHeight="1" x14ac:dyDescent="0.2">
      <c r="A277" s="111" t="s">
        <v>123</v>
      </c>
      <c r="B277" s="112"/>
      <c r="C277" s="113"/>
      <c r="F277" s="114" t="s">
        <v>124</v>
      </c>
      <c r="G277" s="115"/>
      <c r="H277" s="116"/>
      <c r="I277" s="117"/>
      <c r="K277" s="53"/>
      <c r="L277" s="185"/>
    </row>
    <row r="278" spans="1:14" s="128" customFormat="1" ht="3" customHeight="1" x14ac:dyDescent="0.2">
      <c r="A278" s="186"/>
      <c r="B278" s="186"/>
      <c r="C278" s="187"/>
      <c r="D278" s="79"/>
      <c r="E278" s="79"/>
      <c r="G278" s="107"/>
      <c r="H278" s="108"/>
      <c r="I278" s="109"/>
      <c r="J278" s="110"/>
      <c r="K278" s="53"/>
      <c r="L278" s="65"/>
    </row>
    <row r="279" spans="1:14" s="55" customFormat="1" ht="12.75" customHeight="1" x14ac:dyDescent="0.2">
      <c r="A279" s="188">
        <v>5</v>
      </c>
      <c r="B279" s="120" t="s">
        <v>339</v>
      </c>
      <c r="C279" s="254"/>
      <c r="D279" s="254"/>
      <c r="E279" s="254"/>
      <c r="G279" s="249"/>
      <c r="H279" s="250"/>
      <c r="J279" s="244"/>
      <c r="K279" s="218"/>
      <c r="L279" s="65"/>
    </row>
    <row r="280" spans="1:14" s="55" customFormat="1" ht="4.5" customHeight="1" x14ac:dyDescent="0.2">
      <c r="A280" s="56"/>
      <c r="B280" s="56"/>
      <c r="C280" s="144"/>
      <c r="D280" s="56"/>
      <c r="E280" s="56"/>
      <c r="F280" s="143"/>
      <c r="G280" s="241"/>
      <c r="H280" s="242"/>
      <c r="I280" s="243"/>
      <c r="J280" s="244"/>
      <c r="K280" s="218"/>
      <c r="L280" s="65"/>
    </row>
    <row r="281" spans="1:14" ht="11.1" customHeight="1" x14ac:dyDescent="0.2">
      <c r="A281" s="80">
        <v>5.3</v>
      </c>
      <c r="B281" s="80" t="s">
        <v>340</v>
      </c>
      <c r="C281" s="80"/>
      <c r="D281" s="80"/>
      <c r="E281" s="80"/>
      <c r="F281" s="79"/>
      <c r="G281" s="131">
        <v>3.8</v>
      </c>
      <c r="H281" s="132">
        <v>105</v>
      </c>
      <c r="I281" s="132">
        <v>460</v>
      </c>
      <c r="J281" s="135">
        <v>13.3</v>
      </c>
      <c r="K281" s="78"/>
      <c r="L281" s="78"/>
      <c r="M281" s="255"/>
      <c r="N281" s="255"/>
    </row>
    <row r="282" spans="1:14" s="55" customFormat="1" ht="11.1" customHeight="1" x14ac:dyDescent="0.2">
      <c r="A282" s="56"/>
      <c r="B282" s="56" t="s">
        <v>341</v>
      </c>
      <c r="C282" s="56" t="s">
        <v>342</v>
      </c>
      <c r="D282" s="56"/>
      <c r="E282" s="56"/>
      <c r="G282" s="256">
        <v>0.4</v>
      </c>
      <c r="H282" s="203">
        <v>10</v>
      </c>
      <c r="I282" s="132">
        <v>10</v>
      </c>
      <c r="J282" s="135">
        <v>79.400000000000006</v>
      </c>
      <c r="K282" s="78"/>
      <c r="L282" s="78"/>
      <c r="M282" s="255"/>
      <c r="N282" s="255"/>
    </row>
    <row r="283" spans="1:14" s="55" customFormat="1" ht="11.1" customHeight="1" x14ac:dyDescent="0.2">
      <c r="A283" s="56"/>
      <c r="B283" s="56" t="s">
        <v>343</v>
      </c>
      <c r="C283" s="56" t="s">
        <v>344</v>
      </c>
      <c r="D283" s="56"/>
      <c r="E283" s="56"/>
      <c r="G283" s="131">
        <v>0.2</v>
      </c>
      <c r="H283" s="132">
        <v>5</v>
      </c>
      <c r="I283" s="132">
        <v>30</v>
      </c>
      <c r="J283" s="135">
        <v>39.200000000000003</v>
      </c>
      <c r="K283" s="78"/>
      <c r="L283" s="78"/>
      <c r="M283" s="255"/>
      <c r="N283" s="255"/>
    </row>
    <row r="284" spans="1:14" s="55" customFormat="1" ht="11.1" customHeight="1" x14ac:dyDescent="0.2">
      <c r="A284" s="56"/>
      <c r="B284" s="56" t="s">
        <v>345</v>
      </c>
      <c r="C284" s="56" t="s">
        <v>346</v>
      </c>
      <c r="D284" s="56"/>
      <c r="E284" s="56"/>
      <c r="G284" s="131">
        <v>0.7</v>
      </c>
      <c r="H284" s="132">
        <v>20</v>
      </c>
      <c r="I284" s="132">
        <v>50</v>
      </c>
      <c r="J284" s="135">
        <v>24</v>
      </c>
      <c r="K284" s="78"/>
      <c r="L284" s="78"/>
      <c r="M284" s="255"/>
      <c r="N284" s="255"/>
    </row>
    <row r="285" spans="1:14" s="55" customFormat="1" ht="11.1" customHeight="1" x14ac:dyDescent="0.2">
      <c r="A285" s="56"/>
      <c r="B285" s="56" t="s">
        <v>347</v>
      </c>
      <c r="C285" s="56" t="s">
        <v>348</v>
      </c>
      <c r="D285" s="56"/>
      <c r="E285" s="56"/>
      <c r="G285" s="131">
        <v>0.5</v>
      </c>
      <c r="H285" s="132">
        <v>13</v>
      </c>
      <c r="I285" s="132">
        <v>40</v>
      </c>
      <c r="J285" s="135">
        <v>31</v>
      </c>
      <c r="K285" s="78"/>
      <c r="L285" s="78"/>
      <c r="M285" s="255"/>
      <c r="N285" s="255"/>
    </row>
    <row r="286" spans="1:14" s="55" customFormat="1" ht="11.1" customHeight="1" x14ac:dyDescent="0.2">
      <c r="A286" s="56"/>
      <c r="B286" s="56" t="s">
        <v>349</v>
      </c>
      <c r="C286" s="56" t="s">
        <v>350</v>
      </c>
      <c r="D286" s="56"/>
      <c r="E286" s="56"/>
      <c r="G286" s="85"/>
      <c r="H286" s="108"/>
      <c r="I286" s="253"/>
      <c r="J286" s="231"/>
      <c r="K286" s="78"/>
      <c r="L286" s="78"/>
      <c r="M286" s="255"/>
      <c r="N286" s="255"/>
    </row>
    <row r="287" spans="1:14" s="55" customFormat="1" ht="11.1" customHeight="1" x14ac:dyDescent="0.2">
      <c r="A287" s="56"/>
      <c r="B287" s="56"/>
      <c r="C287" s="56" t="s">
        <v>351</v>
      </c>
      <c r="D287" s="56"/>
      <c r="E287" s="56"/>
      <c r="G287" s="131">
        <v>1.2</v>
      </c>
      <c r="H287" s="132">
        <v>34</v>
      </c>
      <c r="I287" s="132">
        <v>160</v>
      </c>
      <c r="J287" s="135">
        <v>23.7</v>
      </c>
      <c r="K287" s="78"/>
      <c r="L287" s="78"/>
      <c r="M287" s="255"/>
      <c r="N287" s="255"/>
    </row>
    <row r="288" spans="1:14" s="55" customFormat="1" ht="11.1" customHeight="1" x14ac:dyDescent="0.2">
      <c r="A288" s="56"/>
      <c r="B288" s="56" t="s">
        <v>352</v>
      </c>
      <c r="C288" s="56" t="s">
        <v>353</v>
      </c>
      <c r="D288" s="56"/>
      <c r="E288" s="56"/>
      <c r="G288" s="138" t="s">
        <v>230</v>
      </c>
      <c r="H288" s="139" t="s">
        <v>230</v>
      </c>
      <c r="I288" s="139" t="s">
        <v>230</v>
      </c>
      <c r="J288" s="135" t="s">
        <v>230</v>
      </c>
      <c r="K288" s="78"/>
      <c r="L288" s="78"/>
      <c r="M288" s="255"/>
      <c r="N288" s="255"/>
    </row>
    <row r="289" spans="1:14" s="55" customFormat="1" ht="11.1" customHeight="1" x14ac:dyDescent="0.2">
      <c r="A289" s="56"/>
      <c r="B289" s="56" t="s">
        <v>354</v>
      </c>
      <c r="C289" s="136" t="s">
        <v>355</v>
      </c>
      <c r="D289" s="56"/>
      <c r="E289" s="56"/>
      <c r="G289" s="131">
        <v>0.5</v>
      </c>
      <c r="H289" s="132">
        <v>13</v>
      </c>
      <c r="I289" s="132">
        <v>170</v>
      </c>
      <c r="J289" s="135">
        <v>12.7</v>
      </c>
      <c r="K289" s="78"/>
      <c r="L289" s="78"/>
      <c r="M289" s="255"/>
      <c r="N289" s="255"/>
    </row>
    <row r="290" spans="1:14" s="55" customFormat="1" ht="11.1" customHeight="1" x14ac:dyDescent="0.2">
      <c r="A290" s="56"/>
      <c r="B290" s="56" t="s">
        <v>356</v>
      </c>
      <c r="C290" s="136" t="s">
        <v>357</v>
      </c>
      <c r="D290" s="56"/>
      <c r="E290" s="56"/>
      <c r="G290" s="131">
        <v>0.3</v>
      </c>
      <c r="H290" s="132">
        <v>8</v>
      </c>
      <c r="I290" s="132">
        <v>50</v>
      </c>
      <c r="J290" s="135">
        <v>18</v>
      </c>
      <c r="K290" s="78"/>
      <c r="L290" s="78"/>
      <c r="M290" s="255"/>
      <c r="N290" s="255"/>
    </row>
    <row r="291" spans="1:14" s="55" customFormat="1" ht="11.1" customHeight="1" x14ac:dyDescent="0.2">
      <c r="A291" s="56"/>
      <c r="B291" s="56" t="s">
        <v>358</v>
      </c>
      <c r="C291" s="136" t="s">
        <v>359</v>
      </c>
      <c r="D291" s="56"/>
      <c r="E291" s="56"/>
      <c r="G291" s="138" t="s">
        <v>230</v>
      </c>
      <c r="H291" s="139" t="s">
        <v>230</v>
      </c>
      <c r="I291" s="139" t="s">
        <v>230</v>
      </c>
      <c r="J291" s="135" t="s">
        <v>230</v>
      </c>
      <c r="K291" s="78"/>
      <c r="L291" s="78"/>
      <c r="M291" s="255"/>
      <c r="N291" s="255"/>
    </row>
    <row r="292" spans="1:14" ht="3" customHeight="1" x14ac:dyDescent="0.2">
      <c r="A292" s="56"/>
      <c r="B292" s="56"/>
      <c r="C292" s="56"/>
      <c r="D292" s="56"/>
      <c r="E292" s="56"/>
      <c r="F292" s="55"/>
      <c r="G292" s="85"/>
      <c r="H292" s="86"/>
      <c r="I292" s="87"/>
      <c r="J292" s="231"/>
      <c r="K292" s="78"/>
      <c r="L292" s="78"/>
      <c r="M292" s="255"/>
      <c r="N292" s="255"/>
    </row>
    <row r="293" spans="1:14" ht="11.1" customHeight="1" x14ac:dyDescent="0.2">
      <c r="A293" s="80">
        <v>5.4</v>
      </c>
      <c r="B293" s="80" t="s">
        <v>360</v>
      </c>
      <c r="C293" s="80"/>
      <c r="D293" s="80"/>
      <c r="E293" s="80"/>
      <c r="F293" s="79"/>
      <c r="G293" s="131">
        <v>1.8</v>
      </c>
      <c r="H293" s="132">
        <v>51</v>
      </c>
      <c r="I293" s="132">
        <v>1760</v>
      </c>
      <c r="J293" s="135">
        <v>4.0999999999999996</v>
      </c>
      <c r="K293" s="78"/>
      <c r="L293" s="78"/>
      <c r="M293" s="255"/>
      <c r="N293" s="255"/>
    </row>
    <row r="294" spans="1:14" s="55" customFormat="1" ht="11.1" customHeight="1" x14ac:dyDescent="0.2">
      <c r="A294" s="56"/>
      <c r="B294" s="56" t="s">
        <v>361</v>
      </c>
      <c r="C294" s="136" t="s">
        <v>362</v>
      </c>
      <c r="D294" s="56"/>
      <c r="E294" s="56"/>
      <c r="G294" s="131">
        <v>0.5</v>
      </c>
      <c r="H294" s="132">
        <v>15</v>
      </c>
      <c r="I294" s="132">
        <v>650</v>
      </c>
      <c r="J294" s="135">
        <v>7</v>
      </c>
      <c r="K294" s="78"/>
      <c r="L294" s="78"/>
      <c r="M294" s="255"/>
      <c r="N294" s="255"/>
    </row>
    <row r="295" spans="1:14" s="55" customFormat="1" ht="11.1" customHeight="1" x14ac:dyDescent="0.2">
      <c r="A295" s="56"/>
      <c r="B295" s="56" t="s">
        <v>363</v>
      </c>
      <c r="C295" s="56" t="s">
        <v>364</v>
      </c>
      <c r="D295" s="56"/>
      <c r="E295" s="56"/>
      <c r="G295" s="131">
        <v>0.7</v>
      </c>
      <c r="H295" s="132">
        <v>20</v>
      </c>
      <c r="I295" s="132">
        <v>1000</v>
      </c>
      <c r="J295" s="135">
        <v>5.2</v>
      </c>
      <c r="K295" s="78"/>
      <c r="L295" s="78"/>
      <c r="M295" s="255"/>
      <c r="N295" s="255"/>
    </row>
    <row r="296" spans="1:14" s="55" customFormat="1" ht="11.1" customHeight="1" x14ac:dyDescent="0.2">
      <c r="A296" s="56"/>
      <c r="B296" s="56" t="s">
        <v>365</v>
      </c>
      <c r="C296" s="56" t="s">
        <v>366</v>
      </c>
      <c r="D296" s="56"/>
      <c r="E296" s="56"/>
      <c r="G296" s="138" t="s">
        <v>367</v>
      </c>
      <c r="H296" s="139" t="s">
        <v>367</v>
      </c>
      <c r="I296" s="139" t="s">
        <v>367</v>
      </c>
      <c r="J296" s="135" t="s">
        <v>230</v>
      </c>
      <c r="K296" s="78"/>
      <c r="L296" s="78"/>
      <c r="M296" s="255"/>
      <c r="N296" s="255"/>
    </row>
    <row r="297" spans="1:14" s="55" customFormat="1" ht="11.1" customHeight="1" x14ac:dyDescent="0.2">
      <c r="A297" s="56"/>
      <c r="B297" s="56" t="s">
        <v>368</v>
      </c>
      <c r="C297" s="56" t="s">
        <v>369</v>
      </c>
      <c r="D297" s="56"/>
      <c r="E297" s="56"/>
      <c r="G297" s="131">
        <v>0.6</v>
      </c>
      <c r="H297" s="132">
        <v>16</v>
      </c>
      <c r="I297" s="132">
        <v>630</v>
      </c>
      <c r="J297" s="135">
        <v>6.5</v>
      </c>
      <c r="K297" s="78"/>
      <c r="L297" s="78"/>
      <c r="M297" s="255"/>
      <c r="N297" s="255"/>
    </row>
    <row r="298" spans="1:14" s="229" customFormat="1" ht="3" customHeight="1" x14ac:dyDescent="0.2">
      <c r="A298" s="80"/>
      <c r="B298" s="129"/>
      <c r="C298" s="56"/>
      <c r="D298" s="80"/>
      <c r="E298" s="80"/>
      <c r="F298" s="192"/>
      <c r="G298" s="85"/>
      <c r="H298" s="86"/>
      <c r="I298" s="87"/>
      <c r="J298" s="217"/>
      <c r="K298" s="78"/>
      <c r="L298" s="78"/>
      <c r="M298" s="255"/>
      <c r="N298" s="255"/>
    </row>
    <row r="299" spans="1:14" ht="11.1" customHeight="1" x14ac:dyDescent="0.2">
      <c r="A299" s="80">
        <v>5.5</v>
      </c>
      <c r="B299" s="129" t="s">
        <v>370</v>
      </c>
      <c r="C299" s="80"/>
      <c r="D299" s="80"/>
      <c r="E299" s="80"/>
      <c r="F299" s="79"/>
      <c r="G299" s="131">
        <v>2.9</v>
      </c>
      <c r="H299" s="132">
        <v>80</v>
      </c>
      <c r="I299" s="132">
        <v>1680</v>
      </c>
      <c r="J299" s="135">
        <v>8.4</v>
      </c>
      <c r="K299" s="78"/>
      <c r="L299" s="78"/>
      <c r="M299" s="255"/>
      <c r="N299" s="255"/>
    </row>
    <row r="300" spans="1:14" s="55" customFormat="1" ht="11.1" customHeight="1" x14ac:dyDescent="0.2">
      <c r="B300" s="56" t="s">
        <v>371</v>
      </c>
      <c r="C300" s="56" t="s">
        <v>372</v>
      </c>
      <c r="G300" s="131">
        <v>0.4</v>
      </c>
      <c r="H300" s="132">
        <v>12</v>
      </c>
      <c r="I300" s="132">
        <v>70</v>
      </c>
      <c r="J300" s="135">
        <v>17.899999999999999</v>
      </c>
      <c r="K300" s="78"/>
      <c r="L300" s="78"/>
      <c r="M300" s="255"/>
      <c r="N300" s="255"/>
    </row>
    <row r="301" spans="1:14" s="55" customFormat="1" ht="11.1" customHeight="1" x14ac:dyDescent="0.2">
      <c r="B301" s="56" t="s">
        <v>373</v>
      </c>
      <c r="C301" s="56" t="s">
        <v>374</v>
      </c>
      <c r="G301" s="131">
        <v>0.5</v>
      </c>
      <c r="H301" s="132">
        <v>13</v>
      </c>
      <c r="I301" s="132">
        <v>280</v>
      </c>
      <c r="J301" s="135">
        <v>24.8</v>
      </c>
      <c r="K301" s="78"/>
      <c r="L301" s="78"/>
      <c r="M301" s="255"/>
      <c r="N301" s="255"/>
    </row>
    <row r="302" spans="1:14" s="55" customFormat="1" ht="11.1" customHeight="1" x14ac:dyDescent="0.2">
      <c r="B302" s="56" t="s">
        <v>375</v>
      </c>
      <c r="C302" s="56" t="s">
        <v>376</v>
      </c>
      <c r="G302" s="131">
        <v>0.4</v>
      </c>
      <c r="H302" s="132">
        <v>12</v>
      </c>
      <c r="I302" s="132">
        <v>400</v>
      </c>
      <c r="J302" s="135">
        <v>12.2</v>
      </c>
      <c r="K302" s="78"/>
      <c r="L302" s="78"/>
      <c r="M302" s="255"/>
      <c r="N302" s="255"/>
    </row>
    <row r="303" spans="1:14" s="149" customFormat="1" ht="11.1" customHeight="1" x14ac:dyDescent="0.2">
      <c r="B303" s="56" t="s">
        <v>377</v>
      </c>
      <c r="C303" s="56" t="s">
        <v>378</v>
      </c>
      <c r="D303" s="55"/>
      <c r="E303" s="55"/>
      <c r="F303" s="55"/>
      <c r="G303" s="131">
        <v>0.8</v>
      </c>
      <c r="H303" s="132">
        <v>21</v>
      </c>
      <c r="I303" s="132">
        <v>430</v>
      </c>
      <c r="J303" s="135">
        <v>17.7</v>
      </c>
      <c r="K303" s="78"/>
      <c r="L303" s="78"/>
      <c r="M303" s="255"/>
      <c r="N303" s="255"/>
    </row>
    <row r="304" spans="1:14" s="55" customFormat="1" ht="11.1" customHeight="1" x14ac:dyDescent="0.2">
      <c r="B304" s="56" t="s">
        <v>379</v>
      </c>
      <c r="C304" s="56" t="s">
        <v>380</v>
      </c>
      <c r="G304" s="131">
        <v>0.8</v>
      </c>
      <c r="H304" s="132">
        <v>22</v>
      </c>
      <c r="I304" s="132">
        <v>990</v>
      </c>
      <c r="J304" s="135">
        <v>11.7</v>
      </c>
      <c r="K304" s="78"/>
      <c r="L304" s="78"/>
      <c r="M304" s="255"/>
      <c r="N304" s="255"/>
    </row>
    <row r="305" spans="1:14" ht="3" customHeight="1" x14ac:dyDescent="0.2">
      <c r="A305" s="56"/>
      <c r="B305" s="56"/>
      <c r="C305" s="56"/>
      <c r="D305" s="55"/>
      <c r="E305" s="55"/>
      <c r="F305" s="55"/>
      <c r="G305" s="85"/>
      <c r="H305" s="86"/>
      <c r="I305" s="87"/>
      <c r="J305" s="231"/>
      <c r="K305" s="78"/>
      <c r="L305" s="78"/>
      <c r="M305" s="255"/>
      <c r="N305" s="255"/>
    </row>
    <row r="306" spans="1:14" ht="11.1" customHeight="1" x14ac:dyDescent="0.2">
      <c r="A306" s="80">
        <v>5.6</v>
      </c>
      <c r="B306" s="80" t="s">
        <v>381</v>
      </c>
      <c r="D306" s="79"/>
      <c r="E306" s="79"/>
      <c r="F306" s="79"/>
      <c r="G306" s="131">
        <v>7.2</v>
      </c>
      <c r="H306" s="132">
        <v>199</v>
      </c>
      <c r="I306" s="132">
        <v>4890</v>
      </c>
      <c r="J306" s="135">
        <v>4.2</v>
      </c>
      <c r="K306" s="78"/>
      <c r="L306" s="78"/>
      <c r="M306" s="255"/>
      <c r="N306" s="255"/>
    </row>
    <row r="307" spans="1:14" s="55" customFormat="1" ht="11.1" customHeight="1" x14ac:dyDescent="0.2">
      <c r="B307" s="56" t="s">
        <v>382</v>
      </c>
      <c r="C307" s="56" t="s">
        <v>383</v>
      </c>
      <c r="D307" s="56"/>
      <c r="G307" s="131">
        <v>2.5</v>
      </c>
      <c r="H307" s="132">
        <v>70</v>
      </c>
      <c r="I307" s="132">
        <v>3720</v>
      </c>
      <c r="J307" s="135">
        <v>2.2999999999999998</v>
      </c>
      <c r="K307" s="78"/>
      <c r="L307" s="78"/>
      <c r="M307" s="255"/>
      <c r="N307" s="255"/>
    </row>
    <row r="308" spans="1:14" s="55" customFormat="1" ht="11.1" customHeight="1" x14ac:dyDescent="0.2">
      <c r="B308" s="56"/>
      <c r="C308" s="136" t="s">
        <v>384</v>
      </c>
      <c r="D308" s="55" t="s">
        <v>385</v>
      </c>
      <c r="G308" s="131">
        <v>1</v>
      </c>
      <c r="H308" s="132">
        <v>27</v>
      </c>
      <c r="I308" s="132">
        <v>2180</v>
      </c>
      <c r="J308" s="135">
        <v>2.9</v>
      </c>
      <c r="K308" s="78"/>
      <c r="L308" s="78"/>
      <c r="M308" s="255"/>
      <c r="N308" s="255"/>
    </row>
    <row r="309" spans="1:14" s="55" customFormat="1" ht="11.1" customHeight="1" x14ac:dyDescent="0.2">
      <c r="B309" s="56"/>
      <c r="C309" s="136" t="s">
        <v>386</v>
      </c>
      <c r="D309" s="55" t="s">
        <v>387</v>
      </c>
      <c r="G309" s="131">
        <v>1.6</v>
      </c>
      <c r="H309" s="132">
        <v>43</v>
      </c>
      <c r="I309" s="132">
        <v>3150</v>
      </c>
      <c r="J309" s="135">
        <v>2.9</v>
      </c>
      <c r="K309" s="78"/>
      <c r="L309" s="78"/>
      <c r="M309" s="255"/>
      <c r="N309" s="255"/>
    </row>
    <row r="310" spans="1:14" s="55" customFormat="1" ht="3" customHeight="1" x14ac:dyDescent="0.2">
      <c r="B310" s="56"/>
      <c r="C310" s="56"/>
      <c r="D310" s="56"/>
      <c r="G310" s="85"/>
      <c r="H310" s="86"/>
      <c r="I310" s="87"/>
      <c r="J310" s="231"/>
      <c r="K310" s="78"/>
      <c r="L310" s="78"/>
      <c r="M310" s="255"/>
      <c r="N310" s="255"/>
    </row>
    <row r="311" spans="1:14" s="55" customFormat="1" ht="11.1" customHeight="1" x14ac:dyDescent="0.2">
      <c r="B311" s="56" t="s">
        <v>388</v>
      </c>
      <c r="C311" s="56" t="s">
        <v>389</v>
      </c>
      <c r="G311" s="131">
        <v>1.8</v>
      </c>
      <c r="H311" s="132">
        <v>49</v>
      </c>
      <c r="I311" s="132">
        <v>4220</v>
      </c>
      <c r="J311" s="135">
        <v>2.9</v>
      </c>
      <c r="K311" s="78"/>
      <c r="L311" s="78"/>
      <c r="M311" s="255"/>
      <c r="N311" s="255"/>
    </row>
    <row r="312" spans="1:14" s="55" customFormat="1" ht="11.1" customHeight="1" x14ac:dyDescent="0.2">
      <c r="B312" s="56"/>
      <c r="C312" s="56" t="s">
        <v>390</v>
      </c>
      <c r="D312" s="55" t="s">
        <v>391</v>
      </c>
      <c r="G312" s="131">
        <v>1.1000000000000001</v>
      </c>
      <c r="H312" s="132">
        <v>30</v>
      </c>
      <c r="I312" s="132">
        <v>3930</v>
      </c>
      <c r="J312" s="135">
        <v>3.1</v>
      </c>
      <c r="K312" s="78"/>
      <c r="L312" s="78"/>
      <c r="M312" s="255"/>
      <c r="N312" s="255"/>
    </row>
    <row r="313" spans="1:14" s="55" customFormat="1" ht="11.1" customHeight="1" x14ac:dyDescent="0.2">
      <c r="B313" s="56"/>
      <c r="C313" s="56" t="s">
        <v>392</v>
      </c>
      <c r="D313" s="56" t="s">
        <v>393</v>
      </c>
      <c r="G313" s="131">
        <v>0.3</v>
      </c>
      <c r="H313" s="132">
        <v>8</v>
      </c>
      <c r="I313" s="132">
        <v>660</v>
      </c>
      <c r="J313" s="135">
        <v>7.5</v>
      </c>
      <c r="K313" s="78"/>
      <c r="L313" s="78"/>
      <c r="M313" s="255"/>
      <c r="N313" s="255"/>
    </row>
    <row r="314" spans="1:14" s="55" customFormat="1" ht="11.1" customHeight="1" x14ac:dyDescent="0.2">
      <c r="B314" s="56"/>
      <c r="C314" s="56" t="s">
        <v>394</v>
      </c>
      <c r="D314" s="56" t="s">
        <v>395</v>
      </c>
      <c r="G314" s="131">
        <v>0.2</v>
      </c>
      <c r="H314" s="132">
        <v>4</v>
      </c>
      <c r="I314" s="132">
        <v>850</v>
      </c>
      <c r="J314" s="135">
        <v>5.9</v>
      </c>
      <c r="K314" s="78"/>
      <c r="L314" s="78"/>
      <c r="M314" s="255"/>
      <c r="N314" s="255"/>
    </row>
    <row r="315" spans="1:14" s="55" customFormat="1" ht="11.1" customHeight="1" x14ac:dyDescent="0.2">
      <c r="B315" s="56"/>
      <c r="C315" s="56" t="s">
        <v>396</v>
      </c>
      <c r="D315" s="56" t="s">
        <v>397</v>
      </c>
      <c r="G315" s="131">
        <v>0.2</v>
      </c>
      <c r="H315" s="132">
        <v>6</v>
      </c>
      <c r="I315" s="132">
        <v>400</v>
      </c>
      <c r="J315" s="135">
        <v>9.6</v>
      </c>
      <c r="K315" s="78"/>
      <c r="L315" s="78"/>
      <c r="M315" s="255"/>
      <c r="N315" s="255"/>
    </row>
    <row r="316" spans="1:14" s="55" customFormat="1" ht="3" customHeight="1" x14ac:dyDescent="0.2">
      <c r="B316" s="56"/>
      <c r="C316" s="56"/>
      <c r="D316" s="56"/>
      <c r="G316" s="85"/>
      <c r="H316" s="86"/>
      <c r="I316" s="87"/>
      <c r="J316" s="231"/>
      <c r="K316" s="78"/>
      <c r="L316" s="78"/>
      <c r="M316" s="255"/>
      <c r="N316" s="255"/>
    </row>
    <row r="317" spans="1:14" s="55" customFormat="1" ht="11.1" customHeight="1" x14ac:dyDescent="0.2">
      <c r="B317" s="56" t="s">
        <v>398</v>
      </c>
      <c r="C317" s="56" t="s">
        <v>399</v>
      </c>
      <c r="G317" s="131">
        <v>2.9</v>
      </c>
      <c r="H317" s="132">
        <v>80</v>
      </c>
      <c r="I317" s="132">
        <v>850</v>
      </c>
      <c r="J317" s="135">
        <v>9.4</v>
      </c>
      <c r="K317" s="78"/>
      <c r="L317" s="78"/>
      <c r="M317" s="255"/>
      <c r="N317" s="255"/>
    </row>
    <row r="318" spans="1:14" s="55" customFormat="1" ht="11.1" customHeight="1" x14ac:dyDescent="0.2">
      <c r="A318" s="257"/>
      <c r="C318" s="136" t="s">
        <v>400</v>
      </c>
      <c r="D318" s="55" t="s">
        <v>401</v>
      </c>
      <c r="G318" s="131">
        <v>2.4</v>
      </c>
      <c r="H318" s="132">
        <v>66</v>
      </c>
      <c r="I318" s="132">
        <v>440</v>
      </c>
      <c r="J318" s="135">
        <v>10.9</v>
      </c>
      <c r="K318" s="78"/>
      <c r="L318" s="78"/>
      <c r="M318" s="255"/>
      <c r="N318" s="255"/>
    </row>
    <row r="319" spans="1:14" s="55" customFormat="1" ht="11.1" customHeight="1" x14ac:dyDescent="0.2">
      <c r="C319" s="56" t="s">
        <v>402</v>
      </c>
      <c r="D319" s="56" t="s">
        <v>403</v>
      </c>
      <c r="G319" s="131">
        <v>0.5</v>
      </c>
      <c r="H319" s="132">
        <v>14</v>
      </c>
      <c r="I319" s="132">
        <v>510</v>
      </c>
      <c r="J319" s="135">
        <v>7.7</v>
      </c>
      <c r="K319" s="78"/>
      <c r="L319" s="78"/>
      <c r="M319" s="255"/>
      <c r="N319" s="255"/>
    </row>
    <row r="320" spans="1:14" s="55" customFormat="1" ht="11.1" customHeight="1" x14ac:dyDescent="0.2">
      <c r="C320" s="56" t="s">
        <v>404</v>
      </c>
      <c r="D320" s="56" t="s">
        <v>405</v>
      </c>
      <c r="G320" s="138" t="s">
        <v>230</v>
      </c>
      <c r="H320" s="139" t="s">
        <v>230</v>
      </c>
      <c r="I320" s="139" t="s">
        <v>230</v>
      </c>
      <c r="J320" s="135" t="s">
        <v>230</v>
      </c>
      <c r="K320" s="78"/>
      <c r="L320" s="78"/>
      <c r="M320" s="255"/>
      <c r="N320" s="255"/>
    </row>
    <row r="321" spans="1:14" s="143" customFormat="1" ht="3" customHeight="1" x14ac:dyDescent="0.2">
      <c r="A321" s="47"/>
      <c r="B321" s="45"/>
      <c r="C321" s="45"/>
      <c r="D321" s="47"/>
      <c r="E321" s="47"/>
      <c r="F321" s="47"/>
      <c r="G321" s="74"/>
      <c r="H321" s="75"/>
      <c r="I321" s="76"/>
      <c r="J321" s="258"/>
      <c r="K321" s="78"/>
      <c r="L321" s="78"/>
      <c r="M321" s="255"/>
      <c r="N321" s="255"/>
    </row>
    <row r="322" spans="1:14" s="143" customFormat="1" ht="3" customHeight="1" x14ac:dyDescent="0.2">
      <c r="A322" s="55"/>
      <c r="B322" s="56"/>
      <c r="C322" s="56"/>
      <c r="D322" s="55"/>
      <c r="E322" s="55"/>
      <c r="F322" s="55"/>
      <c r="G322" s="85"/>
      <c r="H322" s="86"/>
      <c r="I322" s="87"/>
      <c r="J322" s="231"/>
      <c r="K322" s="78"/>
      <c r="L322" s="78"/>
      <c r="M322" s="255"/>
      <c r="N322" s="255"/>
    </row>
    <row r="323" spans="1:14" s="143" customFormat="1" ht="12.75" customHeight="1" x14ac:dyDescent="0.2">
      <c r="A323" s="188">
        <v>6</v>
      </c>
      <c r="B323" s="120" t="s">
        <v>12</v>
      </c>
      <c r="C323" s="121"/>
      <c r="D323" s="121"/>
      <c r="E323" s="121"/>
      <c r="F323" s="259"/>
      <c r="G323" s="123">
        <v>8</v>
      </c>
      <c r="H323" s="124">
        <v>220</v>
      </c>
      <c r="I323" s="124">
        <v>2960</v>
      </c>
      <c r="J323" s="125">
        <v>5.4</v>
      </c>
      <c r="K323" s="78"/>
      <c r="L323" s="78"/>
      <c r="M323" s="255"/>
      <c r="N323" s="255"/>
    </row>
    <row r="324" spans="1:14" ht="6" customHeight="1" x14ac:dyDescent="0.2">
      <c r="A324" s="260"/>
      <c r="B324" s="136"/>
      <c r="C324" s="56"/>
      <c r="D324" s="55"/>
      <c r="E324" s="55"/>
      <c r="F324" s="55"/>
      <c r="G324" s="85"/>
      <c r="H324" s="86"/>
      <c r="I324" s="87"/>
      <c r="J324" s="231"/>
      <c r="K324" s="78"/>
      <c r="L324" s="78"/>
      <c r="M324" s="255"/>
      <c r="N324" s="255"/>
    </row>
    <row r="325" spans="1:14" ht="11.1" customHeight="1" x14ac:dyDescent="0.2">
      <c r="A325" s="80">
        <v>6.1</v>
      </c>
      <c r="B325" s="129" t="s">
        <v>406</v>
      </c>
      <c r="D325" s="79"/>
      <c r="E325" s="79"/>
      <c r="G325" s="131">
        <v>4.3</v>
      </c>
      <c r="H325" s="132">
        <v>117</v>
      </c>
      <c r="I325" s="132">
        <v>2780</v>
      </c>
      <c r="J325" s="135">
        <v>6.8</v>
      </c>
      <c r="K325" s="78"/>
      <c r="L325" s="78"/>
      <c r="M325" s="255"/>
      <c r="N325" s="255"/>
    </row>
    <row r="326" spans="1:14" ht="11.1" customHeight="1" x14ac:dyDescent="0.2">
      <c r="A326" s="260"/>
      <c r="B326" s="56" t="s">
        <v>407</v>
      </c>
      <c r="C326" s="56" t="s">
        <v>408</v>
      </c>
      <c r="D326" s="56"/>
      <c r="E326" s="55"/>
      <c r="F326" s="84"/>
      <c r="G326" s="131">
        <v>2.6</v>
      </c>
      <c r="H326" s="132">
        <v>71</v>
      </c>
      <c r="I326" s="132">
        <v>2610</v>
      </c>
      <c r="J326" s="135">
        <v>7.7</v>
      </c>
      <c r="K326" s="78"/>
      <c r="L326" s="78"/>
      <c r="M326" s="255"/>
      <c r="N326" s="255"/>
    </row>
    <row r="327" spans="1:14" ht="11.1" customHeight="1" x14ac:dyDescent="0.2">
      <c r="A327" s="260"/>
      <c r="B327" s="56"/>
      <c r="C327" s="56" t="s">
        <v>409</v>
      </c>
      <c r="D327" s="56" t="s">
        <v>410</v>
      </c>
      <c r="E327" s="55"/>
      <c r="F327" s="84"/>
      <c r="G327" s="131">
        <v>0.2</v>
      </c>
      <c r="H327" s="132">
        <v>6</v>
      </c>
      <c r="I327" s="132">
        <v>200</v>
      </c>
      <c r="J327" s="135">
        <v>9.5</v>
      </c>
      <c r="K327" s="78"/>
      <c r="L327" s="78"/>
      <c r="M327" s="255"/>
      <c r="N327" s="255"/>
    </row>
    <row r="328" spans="1:14" ht="11.1" customHeight="1" x14ac:dyDescent="0.2">
      <c r="B328" s="56"/>
      <c r="C328" s="136" t="s">
        <v>411</v>
      </c>
      <c r="D328" s="55" t="s">
        <v>412</v>
      </c>
      <c r="E328" s="55"/>
      <c r="F328" s="84"/>
      <c r="G328" s="131">
        <v>1.7</v>
      </c>
      <c r="H328" s="132">
        <v>46</v>
      </c>
      <c r="I328" s="132">
        <v>2390</v>
      </c>
      <c r="J328" s="135">
        <v>4.4000000000000004</v>
      </c>
      <c r="K328" s="78"/>
      <c r="L328" s="78"/>
      <c r="M328" s="255"/>
      <c r="N328" s="255"/>
    </row>
    <row r="329" spans="1:14" ht="10.5" customHeight="1" x14ac:dyDescent="0.2">
      <c r="B329" s="56"/>
      <c r="C329" s="136" t="s">
        <v>413</v>
      </c>
      <c r="D329" s="261" t="s">
        <v>414</v>
      </c>
      <c r="E329" s="261"/>
      <c r="F329" s="261"/>
      <c r="G329" s="131">
        <v>0.2</v>
      </c>
      <c r="H329" s="132">
        <v>6</v>
      </c>
      <c r="I329" s="132">
        <v>380</v>
      </c>
      <c r="J329" s="135">
        <v>12.2</v>
      </c>
      <c r="K329" s="78"/>
      <c r="L329" s="78"/>
      <c r="M329" s="255"/>
      <c r="N329" s="255"/>
    </row>
    <row r="330" spans="1:14" ht="11.1" customHeight="1" x14ac:dyDescent="0.2">
      <c r="B330" s="129"/>
      <c r="C330" s="136" t="s">
        <v>415</v>
      </c>
      <c r="D330" s="56" t="s">
        <v>416</v>
      </c>
      <c r="E330" s="79"/>
      <c r="I330" s="79"/>
      <c r="J330" s="79"/>
      <c r="K330" s="78"/>
      <c r="L330" s="78"/>
      <c r="M330" s="255"/>
      <c r="N330" s="255"/>
    </row>
    <row r="331" spans="1:14" ht="11.1" customHeight="1" x14ac:dyDescent="0.2">
      <c r="B331" s="129"/>
      <c r="C331" s="136"/>
      <c r="D331" s="56" t="s">
        <v>417</v>
      </c>
      <c r="E331" s="79"/>
      <c r="G331" s="131">
        <v>0.5</v>
      </c>
      <c r="H331" s="132">
        <v>13</v>
      </c>
      <c r="I331" s="132">
        <v>50</v>
      </c>
      <c r="J331" s="135">
        <v>39.1</v>
      </c>
      <c r="K331" s="78"/>
      <c r="L331" s="78"/>
      <c r="M331" s="255"/>
      <c r="N331" s="255"/>
    </row>
    <row r="332" spans="1:14" ht="3" customHeight="1" x14ac:dyDescent="0.2">
      <c r="B332" s="129"/>
      <c r="C332" s="136"/>
      <c r="D332" s="56"/>
      <c r="E332" s="79"/>
      <c r="G332" s="85"/>
      <c r="H332" s="86"/>
      <c r="I332" s="87"/>
      <c r="J332" s="135"/>
      <c r="K332" s="78"/>
      <c r="L332" s="78"/>
      <c r="M332" s="255"/>
      <c r="N332" s="255"/>
    </row>
    <row r="333" spans="1:14" s="55" customFormat="1" ht="11.1" customHeight="1" x14ac:dyDescent="0.2">
      <c r="B333" s="56" t="s">
        <v>418</v>
      </c>
      <c r="C333" s="136" t="s">
        <v>419</v>
      </c>
      <c r="F333" s="84"/>
      <c r="G333" s="131">
        <v>1.7</v>
      </c>
      <c r="H333" s="132">
        <v>46</v>
      </c>
      <c r="I333" s="132">
        <v>400</v>
      </c>
      <c r="J333" s="135">
        <v>11.5</v>
      </c>
      <c r="K333" s="78"/>
      <c r="L333" s="78"/>
      <c r="M333" s="255"/>
      <c r="N333" s="255"/>
    </row>
    <row r="334" spans="1:14" s="55" customFormat="1" ht="11.1" customHeight="1" x14ac:dyDescent="0.2">
      <c r="A334" s="80"/>
      <c r="B334" s="56"/>
      <c r="C334" s="136" t="s">
        <v>420</v>
      </c>
      <c r="D334" s="261" t="s">
        <v>421</v>
      </c>
      <c r="E334" s="261"/>
      <c r="F334" s="261"/>
      <c r="G334" s="131">
        <v>1.7</v>
      </c>
      <c r="H334" s="132">
        <v>45</v>
      </c>
      <c r="I334" s="132">
        <v>370</v>
      </c>
      <c r="J334" s="135">
        <v>11.6</v>
      </c>
      <c r="K334" s="78"/>
      <c r="L334" s="78"/>
      <c r="M334" s="255"/>
      <c r="N334" s="255"/>
    </row>
    <row r="335" spans="1:14" s="128" customFormat="1" ht="11.1" customHeight="1" x14ac:dyDescent="0.2">
      <c r="B335" s="56"/>
      <c r="C335" s="136" t="s">
        <v>422</v>
      </c>
      <c r="D335" s="55" t="s">
        <v>423</v>
      </c>
      <c r="E335" s="55"/>
      <c r="F335" s="84"/>
      <c r="G335" s="145">
        <v>0</v>
      </c>
      <c r="H335" s="262">
        <v>0</v>
      </c>
      <c r="I335" s="132">
        <v>50</v>
      </c>
      <c r="J335" s="135">
        <v>23.6</v>
      </c>
      <c r="K335" s="78"/>
      <c r="L335" s="78"/>
      <c r="M335" s="255"/>
      <c r="N335" s="255"/>
    </row>
    <row r="336" spans="1:14" s="143" customFormat="1" ht="4.5" customHeight="1" x14ac:dyDescent="0.2">
      <c r="A336" s="55"/>
      <c r="B336" s="55"/>
      <c r="C336" s="55"/>
      <c r="D336" s="55"/>
      <c r="E336" s="55"/>
      <c r="F336" s="55"/>
      <c r="G336" s="107"/>
      <c r="H336" s="108"/>
      <c r="I336" s="79"/>
      <c r="J336" s="217"/>
      <c r="K336" s="78"/>
      <c r="L336" s="78"/>
      <c r="M336" s="255"/>
      <c r="N336" s="255"/>
    </row>
    <row r="337" spans="1:14" s="143" customFormat="1" ht="10.5" customHeight="1" x14ac:dyDescent="0.2">
      <c r="A337" s="80">
        <v>6.2</v>
      </c>
      <c r="B337" s="80" t="s">
        <v>424</v>
      </c>
      <c r="C337" s="263"/>
      <c r="D337" s="79"/>
      <c r="E337" s="79"/>
      <c r="F337" s="79"/>
      <c r="G337" s="131">
        <v>3.8</v>
      </c>
      <c r="H337" s="132">
        <v>103</v>
      </c>
      <c r="I337" s="132">
        <v>500</v>
      </c>
      <c r="J337" s="135">
        <v>8.3000000000000007</v>
      </c>
      <c r="K337" s="78"/>
      <c r="L337" s="78"/>
      <c r="M337" s="255"/>
      <c r="N337" s="255"/>
    </row>
    <row r="338" spans="1:14" s="143" customFormat="1" ht="11.1" customHeight="1" x14ac:dyDescent="0.2">
      <c r="A338" s="80"/>
      <c r="B338" s="56" t="s">
        <v>425</v>
      </c>
      <c r="C338" s="56" t="s">
        <v>426</v>
      </c>
      <c r="D338" s="79"/>
      <c r="E338" s="79"/>
      <c r="F338" s="79"/>
      <c r="G338" s="131">
        <v>3.6</v>
      </c>
      <c r="H338" s="132">
        <v>100</v>
      </c>
      <c r="I338" s="132">
        <v>500</v>
      </c>
      <c r="J338" s="135">
        <v>8.8000000000000007</v>
      </c>
      <c r="K338" s="78"/>
      <c r="L338" s="78"/>
      <c r="M338" s="255"/>
      <c r="N338" s="255"/>
    </row>
    <row r="339" spans="1:14" s="143" customFormat="1" ht="11.1" customHeight="1" x14ac:dyDescent="0.2">
      <c r="A339" s="55"/>
      <c r="C339" s="56" t="s">
        <v>427</v>
      </c>
      <c r="D339" s="136" t="s">
        <v>428</v>
      </c>
      <c r="E339" s="55"/>
      <c r="F339" s="84"/>
      <c r="G339" s="131">
        <v>0.9</v>
      </c>
      <c r="H339" s="132">
        <v>25</v>
      </c>
      <c r="I339" s="132">
        <v>230</v>
      </c>
      <c r="J339" s="135">
        <v>11</v>
      </c>
      <c r="K339" s="78"/>
      <c r="L339" s="78"/>
      <c r="M339" s="255"/>
      <c r="N339" s="255"/>
    </row>
    <row r="340" spans="1:14" s="143" customFormat="1" ht="11.1" customHeight="1" x14ac:dyDescent="0.2">
      <c r="A340" s="55"/>
      <c r="C340" s="56" t="s">
        <v>429</v>
      </c>
      <c r="D340" s="136" t="s">
        <v>430</v>
      </c>
      <c r="E340" s="55"/>
      <c r="F340" s="84"/>
      <c r="G340" s="131">
        <v>2.7</v>
      </c>
      <c r="H340" s="132">
        <v>75</v>
      </c>
      <c r="I340" s="132">
        <v>280</v>
      </c>
      <c r="J340" s="135">
        <v>11.3</v>
      </c>
      <c r="K340" s="78"/>
      <c r="L340" s="78"/>
      <c r="M340" s="255"/>
      <c r="N340" s="255"/>
    </row>
    <row r="341" spans="1:14" s="143" customFormat="1" ht="11.1" customHeight="1" x14ac:dyDescent="0.2">
      <c r="A341" s="55"/>
      <c r="C341" s="56" t="s">
        <v>431</v>
      </c>
      <c r="D341" s="136" t="s">
        <v>432</v>
      </c>
      <c r="E341" s="55"/>
      <c r="F341" s="84"/>
      <c r="G341" s="138" t="s">
        <v>367</v>
      </c>
      <c r="H341" s="139" t="s">
        <v>367</v>
      </c>
      <c r="I341" s="139" t="s">
        <v>367</v>
      </c>
      <c r="J341" s="135" t="s">
        <v>230</v>
      </c>
      <c r="K341" s="78"/>
      <c r="L341" s="78"/>
      <c r="M341" s="255"/>
      <c r="N341" s="255"/>
    </row>
    <row r="342" spans="1:14" s="143" customFormat="1" ht="3" customHeight="1" x14ac:dyDescent="0.2">
      <c r="A342" s="55"/>
      <c r="B342" s="55"/>
      <c r="C342" s="55"/>
      <c r="D342" s="55"/>
      <c r="E342" s="55"/>
      <c r="F342" s="55"/>
      <c r="G342" s="107"/>
      <c r="H342" s="108"/>
      <c r="I342" s="79"/>
      <c r="J342" s="231"/>
      <c r="K342" s="78"/>
      <c r="L342" s="78"/>
      <c r="M342" s="255"/>
      <c r="N342" s="255"/>
    </row>
    <row r="343" spans="1:14" s="143" customFormat="1" ht="11.1" customHeight="1" x14ac:dyDescent="0.2">
      <c r="B343" s="56" t="s">
        <v>433</v>
      </c>
      <c r="C343" s="136" t="s">
        <v>434</v>
      </c>
      <c r="D343" s="79"/>
      <c r="E343" s="79"/>
      <c r="F343" s="219"/>
      <c r="G343" s="256">
        <v>0.1</v>
      </c>
      <c r="H343" s="203">
        <v>3</v>
      </c>
      <c r="I343" s="132">
        <v>10</v>
      </c>
      <c r="J343" s="135">
        <v>48</v>
      </c>
      <c r="K343" s="78"/>
      <c r="L343" s="78"/>
      <c r="M343" s="255"/>
      <c r="N343" s="255"/>
    </row>
    <row r="344" spans="1:14" s="143" customFormat="1" ht="3" customHeight="1" x14ac:dyDescent="0.2">
      <c r="A344" s="47"/>
      <c r="B344" s="45"/>
      <c r="C344" s="264"/>
      <c r="D344" s="47"/>
      <c r="E344" s="47"/>
      <c r="F344" s="48"/>
      <c r="G344" s="265"/>
      <c r="H344" s="266"/>
      <c r="I344" s="267"/>
      <c r="J344" s="268"/>
      <c r="K344" s="78">
        <f>ROUND(G344,1)</f>
        <v>0</v>
      </c>
      <c r="L344" s="78">
        <f>ROUND(H344,1)</f>
        <v>0</v>
      </c>
    </row>
    <row r="345" spans="1:14" ht="3" customHeight="1" x14ac:dyDescent="0.15">
      <c r="A345" s="79"/>
      <c r="B345" s="79"/>
      <c r="D345" s="79"/>
      <c r="E345" s="79"/>
      <c r="F345" s="79"/>
      <c r="I345" s="79"/>
      <c r="J345" s="79"/>
      <c r="K345" s="214"/>
      <c r="L345" s="269"/>
    </row>
    <row r="346" spans="1:14" ht="12" customHeight="1" x14ac:dyDescent="0.2">
      <c r="A346" s="157" t="s">
        <v>111</v>
      </c>
      <c r="B346" s="56"/>
      <c r="C346" s="56"/>
      <c r="D346" s="55"/>
      <c r="E346" s="137"/>
      <c r="F346" s="142"/>
      <c r="G346" s="241"/>
      <c r="H346" s="242"/>
      <c r="I346" s="79"/>
      <c r="J346" s="79"/>
      <c r="K346" s="214"/>
      <c r="L346" s="269"/>
    </row>
    <row r="347" spans="1:14" ht="12" customHeight="1" x14ac:dyDescent="0.2">
      <c r="A347" s="157" t="s">
        <v>182</v>
      </c>
      <c r="B347" s="56"/>
      <c r="C347" s="56"/>
      <c r="D347" s="55"/>
      <c r="E347" s="137"/>
      <c r="F347" s="142"/>
      <c r="G347" s="241"/>
      <c r="H347" s="242"/>
      <c r="I347" s="79"/>
      <c r="J347" s="79"/>
      <c r="K347" s="214"/>
      <c r="L347" s="269"/>
    </row>
    <row r="348" spans="1:14" ht="12" customHeight="1" x14ac:dyDescent="0.2">
      <c r="A348" s="157" t="s">
        <v>112</v>
      </c>
      <c r="B348" s="56"/>
      <c r="C348" s="56"/>
      <c r="D348" s="55"/>
      <c r="E348" s="137"/>
      <c r="F348" s="142"/>
      <c r="G348" s="241"/>
      <c r="H348" s="242"/>
      <c r="I348" s="79"/>
      <c r="J348" s="79"/>
      <c r="K348" s="214"/>
      <c r="L348" s="269"/>
    </row>
    <row r="349" spans="1:14" ht="12.75" customHeight="1" x14ac:dyDescent="0.15">
      <c r="A349" s="79"/>
      <c r="B349" s="79"/>
      <c r="D349" s="79"/>
      <c r="E349" s="79"/>
      <c r="F349" s="79"/>
      <c r="I349" s="79"/>
      <c r="J349" s="79"/>
      <c r="K349" s="214"/>
      <c r="L349" s="269"/>
    </row>
    <row r="350" spans="1:14" s="55" customFormat="1" ht="12.75" customHeight="1" x14ac:dyDescent="0.15">
      <c r="G350" s="249"/>
      <c r="H350" s="250"/>
      <c r="K350" s="218"/>
      <c r="L350" s="269"/>
    </row>
    <row r="351" spans="1:14" s="55" customFormat="1" ht="12.75" customHeight="1" x14ac:dyDescent="0.15">
      <c r="G351" s="249"/>
      <c r="H351" s="250"/>
      <c r="K351" s="218"/>
      <c r="L351" s="269"/>
    </row>
    <row r="352" spans="1:14" s="55" customFormat="1" ht="12.75" customHeight="1" x14ac:dyDescent="0.2">
      <c r="A352" s="245"/>
      <c r="G352" s="249"/>
      <c r="H352" s="250"/>
      <c r="K352" s="218"/>
      <c r="L352" s="269"/>
    </row>
    <row r="353" spans="1:14" s="55" customFormat="1" ht="12.75" customHeight="1" x14ac:dyDescent="0.15">
      <c r="A353" s="159" t="s">
        <v>114</v>
      </c>
      <c r="G353" s="249"/>
      <c r="H353" s="250"/>
      <c r="K353" s="218"/>
      <c r="L353" s="269"/>
    </row>
    <row r="354" spans="1:14" s="31" customFormat="1" ht="15.75" customHeight="1" x14ac:dyDescent="0.3">
      <c r="A354" s="160" t="s">
        <v>183</v>
      </c>
      <c r="B354" s="161"/>
      <c r="D354" s="32"/>
      <c r="E354" s="32"/>
      <c r="F354" s="33"/>
      <c r="G354" s="34"/>
      <c r="H354" s="35"/>
      <c r="I354" s="36"/>
      <c r="J354" s="246"/>
      <c r="K354" s="37"/>
      <c r="L354" s="269"/>
    </row>
    <row r="355" spans="1:14" s="31" customFormat="1" ht="15.75" customHeight="1" x14ac:dyDescent="0.25">
      <c r="A355" s="41" t="s">
        <v>24</v>
      </c>
      <c r="B355" s="168"/>
      <c r="C355" s="43"/>
      <c r="D355" s="44"/>
      <c r="E355" s="32"/>
      <c r="F355" s="33"/>
      <c r="G355" s="34"/>
      <c r="H355" s="35"/>
      <c r="I355" s="36"/>
      <c r="J355" s="246"/>
      <c r="K355" s="37"/>
      <c r="L355" s="269"/>
    </row>
    <row r="356" spans="1:14" ht="5.25" customHeight="1" x14ac:dyDescent="0.2">
      <c r="A356" s="71"/>
      <c r="B356" s="71"/>
      <c r="C356" s="72"/>
      <c r="D356" s="73"/>
      <c r="E356" s="73"/>
      <c r="F356" s="73"/>
      <c r="G356" s="101"/>
      <c r="H356" s="102"/>
      <c r="I356" s="103"/>
      <c r="J356" s="77"/>
      <c r="L356" s="269"/>
    </row>
    <row r="357" spans="1:14" s="55" customFormat="1" ht="3" customHeight="1" x14ac:dyDescent="0.2">
      <c r="A357" s="81"/>
      <c r="B357" s="81"/>
      <c r="D357" s="84"/>
      <c r="E357" s="84"/>
      <c r="F357" s="84"/>
      <c r="G357" s="249"/>
      <c r="H357" s="250"/>
      <c r="I357" s="251"/>
      <c r="J357" s="252"/>
      <c r="K357" s="53"/>
      <c r="L357" s="269"/>
    </row>
    <row r="358" spans="1:14" s="180" customFormat="1" ht="11.1" customHeight="1" x14ac:dyDescent="0.15">
      <c r="A358" s="172"/>
      <c r="B358" s="172"/>
      <c r="C358" s="173"/>
      <c r="D358" s="174"/>
      <c r="E358" s="174"/>
      <c r="F358" s="59"/>
      <c r="G358" s="60" t="s">
        <v>116</v>
      </c>
      <c r="H358" s="61" t="s">
        <v>25</v>
      </c>
      <c r="I358" s="62" t="s">
        <v>26</v>
      </c>
      <c r="J358" s="63" t="s">
        <v>117</v>
      </c>
      <c r="K358" s="179"/>
      <c r="L358" s="269"/>
    </row>
    <row r="359" spans="1:14" s="180" customFormat="1" ht="11.1" customHeight="1" x14ac:dyDescent="0.15">
      <c r="A359" s="172"/>
      <c r="B359" s="172"/>
      <c r="C359" s="181"/>
      <c r="D359" s="174"/>
      <c r="E359" s="174"/>
      <c r="F359" s="59"/>
      <c r="G359" s="67" t="s">
        <v>29</v>
      </c>
      <c r="H359" s="61" t="s">
        <v>27</v>
      </c>
      <c r="I359" s="62" t="s">
        <v>28</v>
      </c>
      <c r="J359" s="63" t="s">
        <v>118</v>
      </c>
      <c r="K359" s="179"/>
      <c r="L359" s="269"/>
    </row>
    <row r="360" spans="1:14" s="180" customFormat="1" ht="11.1" customHeight="1" x14ac:dyDescent="0.15">
      <c r="A360" s="172"/>
      <c r="B360" s="172"/>
      <c r="C360" s="181"/>
      <c r="D360" s="174"/>
      <c r="E360" s="174"/>
      <c r="F360" s="59"/>
      <c r="G360" s="60" t="s">
        <v>31</v>
      </c>
      <c r="H360" s="61" t="s">
        <v>29</v>
      </c>
      <c r="I360" s="62" t="s">
        <v>30</v>
      </c>
      <c r="J360" s="69" t="s">
        <v>119</v>
      </c>
      <c r="K360" s="179"/>
      <c r="L360" s="269"/>
    </row>
    <row r="361" spans="1:14" s="180" customFormat="1" ht="11.1" customHeight="1" x14ac:dyDescent="0.15">
      <c r="A361" s="172"/>
      <c r="B361" s="172"/>
      <c r="C361" s="181"/>
      <c r="D361" s="174"/>
      <c r="E361" s="174"/>
      <c r="F361" s="59"/>
      <c r="G361" s="67" t="s">
        <v>32</v>
      </c>
      <c r="H361" s="61" t="s">
        <v>33</v>
      </c>
      <c r="I361" s="62" t="s">
        <v>120</v>
      </c>
      <c r="J361" s="70" t="s">
        <v>121</v>
      </c>
      <c r="K361" s="179"/>
      <c r="L361" s="269"/>
    </row>
    <row r="362" spans="1:14" ht="3.75" customHeight="1" x14ac:dyDescent="0.2">
      <c r="A362" s="71"/>
      <c r="B362" s="71"/>
      <c r="C362" s="72"/>
      <c r="D362" s="73"/>
      <c r="E362" s="73"/>
      <c r="F362" s="73"/>
      <c r="G362" s="101"/>
      <c r="H362" s="102"/>
      <c r="I362" s="103"/>
      <c r="J362" s="73"/>
      <c r="L362" s="269"/>
    </row>
    <row r="363" spans="1:14" ht="3" customHeight="1" x14ac:dyDescent="0.2">
      <c r="B363" s="81"/>
      <c r="C363" s="82"/>
      <c r="D363" s="83"/>
      <c r="E363" s="83"/>
      <c r="F363" s="84"/>
      <c r="G363" s="85"/>
      <c r="H363" s="86"/>
      <c r="I363" s="87"/>
      <c r="J363" s="83"/>
      <c r="L363" s="269"/>
    </row>
    <row r="364" spans="1:14" s="93" customFormat="1" ht="11.1" customHeight="1" x14ac:dyDescent="0.2">
      <c r="A364" s="111" t="s">
        <v>123</v>
      </c>
      <c r="B364" s="112"/>
      <c r="C364" s="113"/>
      <c r="F364" s="114" t="s">
        <v>124</v>
      </c>
      <c r="G364" s="115"/>
      <c r="H364" s="116"/>
      <c r="I364" s="117"/>
      <c r="K364" s="53"/>
      <c r="L364" s="270"/>
    </row>
    <row r="365" spans="1:14" s="128" customFormat="1" ht="3" customHeight="1" x14ac:dyDescent="0.2">
      <c r="A365" s="186"/>
      <c r="B365" s="186"/>
      <c r="C365" s="187"/>
      <c r="D365" s="79"/>
      <c r="E365" s="79"/>
      <c r="G365" s="107"/>
      <c r="H365" s="108"/>
      <c r="I365" s="109"/>
      <c r="J365" s="110"/>
      <c r="K365" s="53"/>
      <c r="L365" s="269"/>
    </row>
    <row r="366" spans="1:14" s="128" customFormat="1" ht="12.75" customHeight="1" x14ac:dyDescent="0.2">
      <c r="A366" s="188">
        <v>7</v>
      </c>
      <c r="B366" s="188" t="s">
        <v>13</v>
      </c>
      <c r="C366" s="228"/>
      <c r="D366" s="121"/>
      <c r="E366" s="121"/>
      <c r="F366" s="259"/>
      <c r="G366" s="123">
        <v>85</v>
      </c>
      <c r="H366" s="124">
        <v>2337</v>
      </c>
      <c r="I366" s="124">
        <v>4880</v>
      </c>
      <c r="J366" s="135">
        <v>2</v>
      </c>
      <c r="K366" s="78"/>
      <c r="L366" s="78"/>
      <c r="M366" s="271"/>
      <c r="N366" s="271"/>
    </row>
    <row r="367" spans="1:14" s="55" customFormat="1" ht="6" customHeight="1" x14ac:dyDescent="0.2">
      <c r="A367" s="56"/>
      <c r="B367" s="56"/>
      <c r="C367" s="142"/>
      <c r="F367" s="84"/>
      <c r="G367" s="138"/>
      <c r="H367" s="139"/>
      <c r="I367" s="140"/>
      <c r="J367" s="135"/>
      <c r="K367" s="78"/>
      <c r="L367" s="78"/>
      <c r="M367" s="271"/>
      <c r="N367" s="271"/>
    </row>
    <row r="368" spans="1:14" ht="11.1" customHeight="1" x14ac:dyDescent="0.2">
      <c r="A368" s="80">
        <v>7.1</v>
      </c>
      <c r="B368" s="80" t="s">
        <v>435</v>
      </c>
      <c r="D368" s="79"/>
      <c r="E368" s="79"/>
      <c r="G368" s="131">
        <v>28.8</v>
      </c>
      <c r="H368" s="132">
        <v>791</v>
      </c>
      <c r="I368" s="132">
        <v>1450</v>
      </c>
      <c r="J368" s="135">
        <v>4.3</v>
      </c>
      <c r="K368" s="78"/>
      <c r="L368" s="78"/>
      <c r="M368" s="271"/>
      <c r="N368" s="271"/>
    </row>
    <row r="369" spans="1:14" s="149" customFormat="1" ht="11.1" customHeight="1" x14ac:dyDescent="0.2">
      <c r="B369" s="56" t="s">
        <v>436</v>
      </c>
      <c r="C369" s="136" t="s">
        <v>437</v>
      </c>
      <c r="D369" s="55"/>
      <c r="E369" s="55"/>
      <c r="F369" s="84"/>
      <c r="G369" s="131">
        <v>10.1</v>
      </c>
      <c r="H369" s="132">
        <v>278</v>
      </c>
      <c r="I369" s="132">
        <v>400</v>
      </c>
      <c r="J369" s="135">
        <v>7.5</v>
      </c>
      <c r="K369" s="78"/>
      <c r="L369" s="78"/>
      <c r="M369" s="271"/>
      <c r="N369" s="271"/>
    </row>
    <row r="370" spans="1:14" s="55" customFormat="1" ht="11.1" customHeight="1" x14ac:dyDescent="0.2">
      <c r="B370" s="56"/>
      <c r="C370" s="56" t="s">
        <v>438</v>
      </c>
      <c r="D370" s="56" t="s">
        <v>439</v>
      </c>
      <c r="F370" s="84"/>
      <c r="G370" s="131">
        <v>5.3</v>
      </c>
      <c r="H370" s="132">
        <v>145</v>
      </c>
      <c r="I370" s="132">
        <v>80</v>
      </c>
      <c r="J370" s="135">
        <v>12.8</v>
      </c>
      <c r="K370" s="78"/>
      <c r="L370" s="78"/>
      <c r="M370" s="271"/>
      <c r="N370" s="271"/>
    </row>
    <row r="371" spans="1:14" s="55" customFormat="1" ht="11.1" customHeight="1" x14ac:dyDescent="0.2">
      <c r="B371" s="56"/>
      <c r="C371" s="56" t="s">
        <v>440</v>
      </c>
      <c r="D371" s="55" t="s">
        <v>441</v>
      </c>
      <c r="F371" s="84"/>
      <c r="G371" s="131">
        <v>4.8</v>
      </c>
      <c r="H371" s="132">
        <v>133</v>
      </c>
      <c r="I371" s="132">
        <v>330</v>
      </c>
      <c r="J371" s="135">
        <v>8.6999999999999993</v>
      </c>
      <c r="K371" s="78"/>
      <c r="L371" s="78"/>
      <c r="M371" s="271"/>
      <c r="N371" s="271"/>
    </row>
    <row r="372" spans="1:14" s="55" customFormat="1" ht="3" customHeight="1" x14ac:dyDescent="0.2">
      <c r="B372" s="56"/>
      <c r="C372" s="56"/>
      <c r="F372" s="84"/>
      <c r="G372" s="85"/>
      <c r="H372" s="86"/>
      <c r="I372" s="87"/>
      <c r="J372" s="231"/>
      <c r="K372" s="78"/>
      <c r="L372" s="78"/>
      <c r="M372" s="271"/>
      <c r="N372" s="271"/>
    </row>
    <row r="373" spans="1:14" s="55" customFormat="1" ht="11.1" customHeight="1" x14ac:dyDescent="0.2">
      <c r="B373" s="56" t="s">
        <v>442</v>
      </c>
      <c r="C373" s="56" t="s">
        <v>443</v>
      </c>
      <c r="D373" s="56"/>
      <c r="F373" s="84"/>
      <c r="G373" s="131">
        <v>18</v>
      </c>
      <c r="H373" s="132">
        <v>494</v>
      </c>
      <c r="I373" s="132">
        <v>1050</v>
      </c>
      <c r="J373" s="135">
        <v>5.0999999999999996</v>
      </c>
      <c r="K373" s="78"/>
      <c r="L373" s="78"/>
      <c r="M373" s="271"/>
      <c r="N373" s="271"/>
    </row>
    <row r="374" spans="1:14" s="55" customFormat="1" ht="11.1" customHeight="1" x14ac:dyDescent="0.2">
      <c r="B374" s="56"/>
      <c r="C374" s="56" t="s">
        <v>444</v>
      </c>
      <c r="D374" s="56" t="s">
        <v>439</v>
      </c>
      <c r="F374" s="84"/>
      <c r="G374" s="131">
        <v>11.7</v>
      </c>
      <c r="H374" s="132">
        <v>322</v>
      </c>
      <c r="I374" s="132">
        <v>520</v>
      </c>
      <c r="J374" s="135">
        <v>6.8</v>
      </c>
      <c r="K374" s="78"/>
      <c r="L374" s="78"/>
      <c r="M374" s="271"/>
      <c r="N374" s="271"/>
    </row>
    <row r="375" spans="1:14" s="55" customFormat="1" ht="11.1" customHeight="1" x14ac:dyDescent="0.2">
      <c r="B375" s="56"/>
      <c r="C375" s="56" t="s">
        <v>445</v>
      </c>
      <c r="D375" s="55" t="s">
        <v>446</v>
      </c>
      <c r="F375" s="84"/>
      <c r="G375" s="131">
        <v>6.2</v>
      </c>
      <c r="H375" s="132">
        <v>172</v>
      </c>
      <c r="I375" s="132">
        <v>590</v>
      </c>
      <c r="J375" s="135">
        <v>6.5</v>
      </c>
      <c r="K375" s="78"/>
      <c r="L375" s="78"/>
      <c r="M375" s="271"/>
      <c r="N375" s="271"/>
    </row>
    <row r="376" spans="1:14" s="55" customFormat="1" ht="3.75" customHeight="1" x14ac:dyDescent="0.2">
      <c r="B376" s="56"/>
      <c r="C376" s="56"/>
      <c r="D376" s="56"/>
      <c r="F376" s="84"/>
      <c r="G376" s="85"/>
      <c r="H376" s="86"/>
      <c r="I376" s="87"/>
      <c r="J376" s="217"/>
      <c r="K376" s="78"/>
      <c r="L376" s="78"/>
      <c r="M376" s="271"/>
      <c r="N376" s="271"/>
    </row>
    <row r="377" spans="1:14" s="55" customFormat="1" ht="11.1" customHeight="1" x14ac:dyDescent="0.2">
      <c r="B377" s="56" t="s">
        <v>447</v>
      </c>
      <c r="C377" s="136" t="s">
        <v>448</v>
      </c>
      <c r="D377" s="56"/>
      <c r="F377" s="84"/>
      <c r="G377" s="131">
        <v>0.7</v>
      </c>
      <c r="H377" s="132">
        <v>19</v>
      </c>
      <c r="I377" s="132">
        <v>60</v>
      </c>
      <c r="J377" s="135">
        <v>22.8</v>
      </c>
      <c r="K377" s="78"/>
      <c r="L377" s="78"/>
      <c r="M377" s="271"/>
      <c r="N377" s="271"/>
    </row>
    <row r="378" spans="1:14" s="55" customFormat="1" ht="11.1" customHeight="1" x14ac:dyDescent="0.2">
      <c r="B378" s="56"/>
      <c r="C378" s="56" t="s">
        <v>449</v>
      </c>
      <c r="D378" s="56" t="s">
        <v>450</v>
      </c>
      <c r="F378" s="84"/>
      <c r="G378" s="131">
        <v>0.3</v>
      </c>
      <c r="H378" s="132">
        <v>9</v>
      </c>
      <c r="I378" s="132">
        <v>20</v>
      </c>
      <c r="J378" s="135">
        <v>32.200000000000003</v>
      </c>
      <c r="K378" s="78"/>
      <c r="L378" s="78"/>
      <c r="M378" s="271"/>
      <c r="N378" s="271"/>
    </row>
    <row r="379" spans="1:14" s="55" customFormat="1" ht="11.1" customHeight="1" x14ac:dyDescent="0.2">
      <c r="B379" s="56"/>
      <c r="C379" s="56" t="s">
        <v>451</v>
      </c>
      <c r="D379" s="56" t="s">
        <v>452</v>
      </c>
      <c r="F379" s="84"/>
      <c r="G379" s="256">
        <v>0.1</v>
      </c>
      <c r="H379" s="203">
        <v>2</v>
      </c>
      <c r="I379" s="132">
        <v>10</v>
      </c>
      <c r="J379" s="135">
        <v>35.700000000000003</v>
      </c>
      <c r="K379" s="78"/>
      <c r="L379" s="78"/>
      <c r="M379" s="271"/>
      <c r="N379" s="271"/>
    </row>
    <row r="380" spans="1:14" s="55" customFormat="1" ht="11.1" customHeight="1" x14ac:dyDescent="0.2">
      <c r="B380" s="56"/>
      <c r="C380" s="56" t="s">
        <v>453</v>
      </c>
      <c r="D380" s="56" t="s">
        <v>454</v>
      </c>
      <c r="F380" s="84"/>
      <c r="G380" s="131">
        <v>0.3</v>
      </c>
      <c r="H380" s="132">
        <v>8</v>
      </c>
      <c r="I380" s="132">
        <v>30</v>
      </c>
      <c r="J380" s="135">
        <v>34.1</v>
      </c>
      <c r="K380" s="78"/>
      <c r="L380" s="78"/>
      <c r="M380" s="271"/>
      <c r="N380" s="271"/>
    </row>
    <row r="381" spans="1:14" s="55" customFormat="1" ht="6" customHeight="1" x14ac:dyDescent="0.2">
      <c r="A381" s="56"/>
      <c r="B381" s="56"/>
      <c r="C381" s="56"/>
      <c r="F381" s="84"/>
      <c r="G381" s="85"/>
      <c r="H381" s="86"/>
      <c r="I381" s="87"/>
      <c r="J381" s="231"/>
      <c r="K381" s="78"/>
      <c r="L381" s="78"/>
      <c r="M381" s="271"/>
      <c r="N381" s="271"/>
    </row>
    <row r="382" spans="1:14" ht="11.1" customHeight="1" x14ac:dyDescent="0.2">
      <c r="A382" s="80">
        <v>7.2</v>
      </c>
      <c r="B382" s="80" t="s">
        <v>455</v>
      </c>
      <c r="C382" s="80"/>
      <c r="D382" s="79"/>
      <c r="E382" s="79"/>
      <c r="G382" s="131">
        <v>35.1</v>
      </c>
      <c r="H382" s="132">
        <v>963</v>
      </c>
      <c r="I382" s="132">
        <v>4240</v>
      </c>
      <c r="J382" s="135">
        <v>1.9</v>
      </c>
      <c r="K382" s="78"/>
      <c r="L382" s="78"/>
      <c r="M382" s="271"/>
      <c r="N382" s="271"/>
    </row>
    <row r="383" spans="1:14" s="55" customFormat="1" ht="11.1" customHeight="1" x14ac:dyDescent="0.2">
      <c r="B383" s="56" t="s">
        <v>456</v>
      </c>
      <c r="C383" s="136" t="s">
        <v>457</v>
      </c>
      <c r="F383" s="84"/>
      <c r="G383" s="131">
        <v>2.2000000000000002</v>
      </c>
      <c r="H383" s="132">
        <v>61</v>
      </c>
      <c r="I383" s="132">
        <v>390</v>
      </c>
      <c r="J383" s="135">
        <v>9.4</v>
      </c>
      <c r="K383" s="78"/>
      <c r="L383" s="78"/>
      <c r="M383" s="271"/>
      <c r="N383" s="271"/>
    </row>
    <row r="384" spans="1:14" s="55" customFormat="1" ht="11.1" customHeight="1" x14ac:dyDescent="0.2">
      <c r="B384" s="56"/>
      <c r="C384" s="136" t="s">
        <v>458</v>
      </c>
      <c r="D384" s="56" t="s">
        <v>459</v>
      </c>
      <c r="F384" s="84"/>
      <c r="G384" s="131">
        <v>0.2</v>
      </c>
      <c r="H384" s="132">
        <v>5</v>
      </c>
      <c r="I384" s="132">
        <v>90</v>
      </c>
      <c r="J384" s="135">
        <v>23</v>
      </c>
      <c r="K384" s="78"/>
      <c r="L384" s="78"/>
      <c r="M384" s="271"/>
      <c r="N384" s="271"/>
    </row>
    <row r="385" spans="1:14" s="55" customFormat="1" ht="11.1" customHeight="1" x14ac:dyDescent="0.2">
      <c r="B385" s="56"/>
      <c r="C385" s="136" t="s">
        <v>460</v>
      </c>
      <c r="D385" s="56" t="s">
        <v>461</v>
      </c>
      <c r="F385" s="84"/>
      <c r="G385" s="131">
        <v>1.6</v>
      </c>
      <c r="H385" s="132">
        <v>45</v>
      </c>
      <c r="I385" s="132">
        <v>220</v>
      </c>
      <c r="J385" s="135">
        <v>10.9</v>
      </c>
      <c r="K385" s="78"/>
      <c r="L385" s="78"/>
      <c r="M385" s="271"/>
      <c r="N385" s="271"/>
    </row>
    <row r="386" spans="1:14" s="55" customFormat="1" ht="11.1" customHeight="1" x14ac:dyDescent="0.2">
      <c r="B386" s="56"/>
      <c r="C386" s="56" t="s">
        <v>462</v>
      </c>
      <c r="D386" s="56" t="s">
        <v>463</v>
      </c>
      <c r="F386" s="84"/>
      <c r="G386" s="138" t="s">
        <v>230</v>
      </c>
      <c r="H386" s="139" t="s">
        <v>230</v>
      </c>
      <c r="I386" s="139" t="s">
        <v>230</v>
      </c>
      <c r="J386" s="135" t="s">
        <v>230</v>
      </c>
      <c r="K386" s="78"/>
      <c r="L386" s="78"/>
      <c r="M386" s="271"/>
      <c r="N386" s="271"/>
    </row>
    <row r="387" spans="1:14" s="55" customFormat="1" ht="11.1" customHeight="1" x14ac:dyDescent="0.2">
      <c r="B387" s="56"/>
      <c r="C387" s="56" t="s">
        <v>464</v>
      </c>
      <c r="D387" s="56" t="s">
        <v>465</v>
      </c>
      <c r="F387" s="84"/>
      <c r="G387" s="131">
        <v>0.4</v>
      </c>
      <c r="H387" s="132">
        <v>10</v>
      </c>
      <c r="I387" s="132">
        <v>100</v>
      </c>
      <c r="J387" s="135">
        <v>21.8</v>
      </c>
      <c r="K387" s="78"/>
      <c r="L387" s="78"/>
      <c r="M387" s="271"/>
      <c r="N387" s="271"/>
    </row>
    <row r="388" spans="1:14" s="55" customFormat="1" ht="3" customHeight="1" x14ac:dyDescent="0.2">
      <c r="A388" s="56"/>
      <c r="B388" s="56"/>
      <c r="C388" s="56"/>
      <c r="F388" s="84"/>
      <c r="G388" s="85"/>
      <c r="H388" s="86"/>
      <c r="I388" s="87"/>
      <c r="J388" s="231"/>
      <c r="K388" s="78"/>
      <c r="L388" s="78"/>
      <c r="M388" s="271"/>
      <c r="N388" s="271"/>
    </row>
    <row r="389" spans="1:14" s="55" customFormat="1" ht="11.1" customHeight="1" x14ac:dyDescent="0.2">
      <c r="B389" s="56" t="s">
        <v>466</v>
      </c>
      <c r="C389" s="56" t="s">
        <v>467</v>
      </c>
      <c r="D389" s="56"/>
      <c r="E389" s="56"/>
      <c r="F389" s="84"/>
      <c r="G389" s="131">
        <v>23.2</v>
      </c>
      <c r="H389" s="132">
        <v>637</v>
      </c>
      <c r="I389" s="132">
        <v>3510</v>
      </c>
      <c r="J389" s="135">
        <v>1.8</v>
      </c>
      <c r="K389" s="78"/>
      <c r="L389" s="78"/>
      <c r="M389" s="271"/>
      <c r="N389" s="271"/>
    </row>
    <row r="390" spans="1:14" s="55" customFormat="1" ht="11.1" customHeight="1" x14ac:dyDescent="0.2">
      <c r="B390" s="56"/>
      <c r="C390" s="56" t="s">
        <v>468</v>
      </c>
      <c r="D390" s="56" t="s">
        <v>469</v>
      </c>
      <c r="F390" s="84"/>
      <c r="G390" s="131">
        <v>13.7</v>
      </c>
      <c r="H390" s="132">
        <v>376</v>
      </c>
      <c r="I390" s="132">
        <v>2520</v>
      </c>
      <c r="J390" s="135">
        <v>2.2000000000000002</v>
      </c>
      <c r="K390" s="78"/>
      <c r="L390" s="78"/>
      <c r="M390" s="271"/>
      <c r="N390" s="271"/>
    </row>
    <row r="391" spans="1:14" s="55" customFormat="1" ht="11.1" customHeight="1" x14ac:dyDescent="0.2">
      <c r="B391" s="56"/>
      <c r="C391" s="136" t="s">
        <v>470</v>
      </c>
      <c r="D391" s="56" t="s">
        <v>471</v>
      </c>
      <c r="F391" s="84"/>
      <c r="G391" s="131">
        <v>9.4</v>
      </c>
      <c r="H391" s="132">
        <v>257</v>
      </c>
      <c r="I391" s="132">
        <v>1520</v>
      </c>
      <c r="J391" s="135">
        <v>3</v>
      </c>
      <c r="K391" s="78"/>
      <c r="L391" s="78"/>
      <c r="M391" s="271"/>
      <c r="N391" s="271"/>
    </row>
    <row r="392" spans="1:14" s="55" customFormat="1" ht="11.1" customHeight="1" x14ac:dyDescent="0.2">
      <c r="B392" s="56"/>
      <c r="C392" s="136" t="s">
        <v>472</v>
      </c>
      <c r="D392" s="56" t="s">
        <v>473</v>
      </c>
      <c r="F392" s="84"/>
      <c r="G392" s="131">
        <v>0.1</v>
      </c>
      <c r="H392" s="132">
        <v>4</v>
      </c>
      <c r="I392" s="132">
        <v>80</v>
      </c>
      <c r="J392" s="135">
        <v>36.1</v>
      </c>
      <c r="K392" s="78"/>
      <c r="L392" s="78"/>
      <c r="M392" s="271"/>
      <c r="N392" s="271"/>
    </row>
    <row r="393" spans="1:14" s="55" customFormat="1" ht="3" customHeight="1" x14ac:dyDescent="0.2">
      <c r="B393" s="56"/>
      <c r="C393" s="56"/>
      <c r="D393" s="56"/>
      <c r="F393" s="84"/>
      <c r="G393" s="85"/>
      <c r="H393" s="86"/>
      <c r="I393" s="87"/>
      <c r="J393" s="231"/>
      <c r="K393" s="78"/>
      <c r="L393" s="78"/>
      <c r="M393" s="271"/>
      <c r="N393" s="271"/>
    </row>
    <row r="394" spans="1:14" s="55" customFormat="1" ht="11.1" customHeight="1" x14ac:dyDescent="0.2">
      <c r="B394" s="56" t="s">
        <v>474</v>
      </c>
      <c r="C394" s="56" t="s">
        <v>475</v>
      </c>
      <c r="D394" s="56"/>
      <c r="F394" s="84"/>
      <c r="G394" s="131">
        <v>6.8</v>
      </c>
      <c r="H394" s="132">
        <v>188</v>
      </c>
      <c r="I394" s="132">
        <v>2860</v>
      </c>
      <c r="J394" s="135">
        <v>3.9</v>
      </c>
      <c r="K394" s="78"/>
      <c r="L394" s="78"/>
      <c r="M394" s="271"/>
      <c r="N394" s="271"/>
    </row>
    <row r="395" spans="1:14" s="55" customFormat="1" ht="11.1" customHeight="1" x14ac:dyDescent="0.2">
      <c r="B395" s="56"/>
      <c r="C395" s="56" t="s">
        <v>476</v>
      </c>
      <c r="D395" s="56" t="s">
        <v>477</v>
      </c>
      <c r="F395" s="84"/>
      <c r="G395" s="131">
        <v>6.7</v>
      </c>
      <c r="H395" s="132">
        <v>185</v>
      </c>
      <c r="I395" s="132">
        <v>2840</v>
      </c>
      <c r="J395" s="135">
        <v>4</v>
      </c>
      <c r="K395" s="78"/>
      <c r="L395" s="78"/>
      <c r="M395" s="271"/>
      <c r="N395" s="271"/>
    </row>
    <row r="396" spans="1:14" s="55" customFormat="1" ht="11.1" customHeight="1" x14ac:dyDescent="0.2">
      <c r="B396" s="56"/>
      <c r="C396" s="56" t="s">
        <v>478</v>
      </c>
      <c r="D396" s="56" t="s">
        <v>479</v>
      </c>
      <c r="F396" s="84"/>
      <c r="G396" s="131">
        <v>0.1</v>
      </c>
      <c r="H396" s="132">
        <v>3</v>
      </c>
      <c r="I396" s="132">
        <v>50</v>
      </c>
      <c r="J396" s="135">
        <v>28.7</v>
      </c>
      <c r="K396" s="78"/>
      <c r="L396" s="78"/>
      <c r="M396" s="271"/>
      <c r="N396" s="271"/>
    </row>
    <row r="397" spans="1:14" s="55" customFormat="1" ht="3" customHeight="1" x14ac:dyDescent="0.2">
      <c r="B397" s="56"/>
      <c r="C397" s="56"/>
      <c r="F397" s="84"/>
      <c r="G397" s="85"/>
      <c r="H397" s="86"/>
      <c r="I397" s="87"/>
      <c r="J397" s="231"/>
      <c r="K397" s="78"/>
      <c r="L397" s="78"/>
      <c r="M397" s="271"/>
      <c r="N397" s="271"/>
    </row>
    <row r="398" spans="1:14" s="55" customFormat="1" ht="11.1" customHeight="1" x14ac:dyDescent="0.2">
      <c r="B398" s="56" t="s">
        <v>480</v>
      </c>
      <c r="C398" s="56" t="s">
        <v>481</v>
      </c>
      <c r="F398" s="84"/>
      <c r="G398" s="131">
        <v>2.8</v>
      </c>
      <c r="H398" s="132">
        <v>77</v>
      </c>
      <c r="I398" s="132">
        <v>1950</v>
      </c>
      <c r="J398" s="135">
        <v>5.3</v>
      </c>
      <c r="K398" s="78"/>
      <c r="L398" s="78"/>
      <c r="M398" s="271"/>
      <c r="N398" s="271"/>
    </row>
    <row r="399" spans="1:14" s="55" customFormat="1" ht="11.1" customHeight="1" x14ac:dyDescent="0.2">
      <c r="B399" s="56"/>
      <c r="C399" s="56" t="s">
        <v>482</v>
      </c>
      <c r="D399" s="55" t="s">
        <v>483</v>
      </c>
      <c r="F399" s="84"/>
      <c r="G399" s="131">
        <v>0.4</v>
      </c>
      <c r="H399" s="132">
        <v>12</v>
      </c>
      <c r="I399" s="132">
        <v>660</v>
      </c>
      <c r="J399" s="135">
        <v>7.5</v>
      </c>
      <c r="K399" s="78"/>
      <c r="L399" s="78"/>
      <c r="M399" s="271"/>
      <c r="N399" s="271"/>
    </row>
    <row r="400" spans="1:14" s="55" customFormat="1" ht="11.1" customHeight="1" x14ac:dyDescent="0.2">
      <c r="B400" s="56"/>
      <c r="C400" s="56" t="s">
        <v>484</v>
      </c>
      <c r="D400" s="56" t="s">
        <v>485</v>
      </c>
      <c r="F400" s="84"/>
      <c r="G400" s="131">
        <v>0.9</v>
      </c>
      <c r="H400" s="132">
        <v>24</v>
      </c>
      <c r="I400" s="132">
        <v>370</v>
      </c>
      <c r="J400" s="135">
        <v>10.3</v>
      </c>
      <c r="K400" s="78"/>
      <c r="L400" s="78"/>
      <c r="M400" s="271"/>
      <c r="N400" s="271"/>
    </row>
    <row r="401" spans="1:14" s="55" customFormat="1" ht="11.1" customHeight="1" x14ac:dyDescent="0.2">
      <c r="B401" s="56"/>
      <c r="C401" s="56" t="s">
        <v>486</v>
      </c>
      <c r="D401" s="56" t="s">
        <v>487</v>
      </c>
      <c r="F401" s="84"/>
      <c r="G401" s="131">
        <v>1.1000000000000001</v>
      </c>
      <c r="H401" s="132">
        <v>30</v>
      </c>
      <c r="I401" s="132">
        <v>1110</v>
      </c>
      <c r="J401" s="135">
        <v>9.1</v>
      </c>
      <c r="K401" s="78"/>
      <c r="L401" s="78"/>
      <c r="M401" s="271"/>
      <c r="N401" s="271"/>
    </row>
    <row r="402" spans="1:14" s="55" customFormat="1" ht="11.1" customHeight="1" x14ac:dyDescent="0.2">
      <c r="B402" s="56"/>
      <c r="C402" s="56" t="s">
        <v>488</v>
      </c>
      <c r="D402" s="56" t="s">
        <v>489</v>
      </c>
      <c r="F402" s="84"/>
      <c r="G402" s="131">
        <v>0.3</v>
      </c>
      <c r="H402" s="132">
        <v>8</v>
      </c>
      <c r="I402" s="132">
        <v>40</v>
      </c>
      <c r="J402" s="135">
        <v>20.100000000000001</v>
      </c>
      <c r="K402" s="78"/>
      <c r="L402" s="78"/>
      <c r="M402" s="271"/>
      <c r="N402" s="271"/>
    </row>
    <row r="403" spans="1:14" s="55" customFormat="1" ht="11.1" customHeight="1" x14ac:dyDescent="0.2">
      <c r="B403" s="56"/>
      <c r="C403" s="56" t="s">
        <v>490</v>
      </c>
      <c r="D403" s="55" t="s">
        <v>491</v>
      </c>
      <c r="F403" s="84"/>
      <c r="G403" s="131">
        <v>0.1</v>
      </c>
      <c r="H403" s="132">
        <v>3</v>
      </c>
      <c r="I403" s="132">
        <v>300</v>
      </c>
      <c r="J403" s="135">
        <v>9.1999999999999993</v>
      </c>
      <c r="K403" s="78"/>
      <c r="L403" s="78"/>
      <c r="M403" s="271"/>
      <c r="N403" s="271"/>
    </row>
    <row r="404" spans="1:14" ht="6" customHeight="1" x14ac:dyDescent="0.2">
      <c r="G404" s="85"/>
      <c r="K404" s="78"/>
      <c r="L404" s="78"/>
      <c r="M404" s="271"/>
      <c r="N404" s="271"/>
    </row>
    <row r="405" spans="1:14" ht="11.1" customHeight="1" x14ac:dyDescent="0.2">
      <c r="A405" s="80">
        <v>7.3</v>
      </c>
      <c r="B405" s="129" t="s">
        <v>492</v>
      </c>
      <c r="D405" s="79"/>
      <c r="E405" s="79"/>
      <c r="G405" s="131">
        <v>21.2</v>
      </c>
      <c r="H405" s="132">
        <v>583</v>
      </c>
      <c r="I405" s="132">
        <v>2590</v>
      </c>
      <c r="J405" s="135">
        <v>4.3</v>
      </c>
      <c r="K405" s="78"/>
      <c r="L405" s="78"/>
      <c r="M405" s="271"/>
      <c r="N405" s="271"/>
    </row>
    <row r="406" spans="1:14" ht="11.1" customHeight="1" x14ac:dyDescent="0.2">
      <c r="A406" s="55"/>
      <c r="B406" s="56" t="s">
        <v>493</v>
      </c>
      <c r="C406" s="136" t="s">
        <v>494</v>
      </c>
      <c r="D406" s="55"/>
      <c r="E406" s="55"/>
      <c r="F406" s="84"/>
      <c r="G406" s="131">
        <v>4.7</v>
      </c>
      <c r="H406" s="132">
        <v>130</v>
      </c>
      <c r="I406" s="132">
        <v>860</v>
      </c>
      <c r="J406" s="135">
        <v>6.8</v>
      </c>
      <c r="K406" s="78"/>
      <c r="L406" s="78"/>
      <c r="M406" s="271"/>
      <c r="N406" s="271"/>
    </row>
    <row r="407" spans="1:14" ht="11.1" customHeight="1" x14ac:dyDescent="0.2">
      <c r="A407" s="55"/>
      <c r="B407" s="56"/>
      <c r="C407" s="56" t="s">
        <v>495</v>
      </c>
      <c r="D407" s="56" t="s">
        <v>496</v>
      </c>
      <c r="E407" s="55"/>
      <c r="F407" s="84"/>
      <c r="G407" s="131">
        <v>1.7</v>
      </c>
      <c r="H407" s="132">
        <v>48</v>
      </c>
      <c r="I407" s="132">
        <v>220</v>
      </c>
      <c r="J407" s="135">
        <v>11.4</v>
      </c>
      <c r="K407" s="78"/>
      <c r="L407" s="78"/>
      <c r="M407" s="271"/>
      <c r="N407" s="271"/>
    </row>
    <row r="408" spans="1:14" ht="11.1" customHeight="1" x14ac:dyDescent="0.2">
      <c r="A408" s="55"/>
      <c r="B408" s="56"/>
      <c r="C408" s="56" t="s">
        <v>497</v>
      </c>
      <c r="D408" s="56" t="s">
        <v>498</v>
      </c>
      <c r="E408" s="55"/>
      <c r="F408" s="84"/>
      <c r="G408" s="131">
        <v>3</v>
      </c>
      <c r="H408" s="132">
        <v>82</v>
      </c>
      <c r="I408" s="132">
        <v>710</v>
      </c>
      <c r="J408" s="135">
        <v>7</v>
      </c>
      <c r="K408" s="78"/>
      <c r="L408" s="78"/>
      <c r="M408" s="271"/>
      <c r="N408" s="271"/>
    </row>
    <row r="409" spans="1:14" ht="3.75" customHeight="1" x14ac:dyDescent="0.2">
      <c r="G409" s="85"/>
      <c r="J409" s="217"/>
      <c r="K409" s="78"/>
      <c r="L409" s="78"/>
      <c r="M409" s="271"/>
      <c r="N409" s="271"/>
    </row>
    <row r="410" spans="1:14" s="55" customFormat="1" ht="11.1" customHeight="1" x14ac:dyDescent="0.2">
      <c r="A410" s="186"/>
      <c r="B410" s="272" t="s">
        <v>499</v>
      </c>
      <c r="C410" s="136" t="s">
        <v>500</v>
      </c>
      <c r="F410" s="84"/>
      <c r="G410" s="131">
        <v>1.6</v>
      </c>
      <c r="H410" s="132">
        <v>45</v>
      </c>
      <c r="I410" s="132">
        <v>850</v>
      </c>
      <c r="J410" s="135">
        <v>5.6</v>
      </c>
      <c r="K410" s="78"/>
      <c r="L410" s="78"/>
      <c r="M410" s="271"/>
      <c r="N410" s="271"/>
    </row>
    <row r="411" spans="1:14" s="55" customFormat="1" ht="11.1" customHeight="1" x14ac:dyDescent="0.2">
      <c r="A411" s="81"/>
      <c r="B411" s="56"/>
      <c r="C411" s="56" t="s">
        <v>501</v>
      </c>
      <c r="D411" s="55" t="s">
        <v>496</v>
      </c>
      <c r="F411" s="84"/>
      <c r="G411" s="131">
        <v>0.7</v>
      </c>
      <c r="H411" s="132">
        <v>19</v>
      </c>
      <c r="I411" s="132">
        <v>210</v>
      </c>
      <c r="J411" s="135">
        <v>8.3000000000000007</v>
      </c>
      <c r="K411" s="78"/>
      <c r="L411" s="78"/>
      <c r="M411" s="271"/>
      <c r="N411" s="271"/>
    </row>
    <row r="412" spans="1:14" s="55" customFormat="1" ht="11.1" customHeight="1" x14ac:dyDescent="0.2">
      <c r="A412" s="186"/>
      <c r="B412" s="56"/>
      <c r="C412" s="56" t="s">
        <v>502</v>
      </c>
      <c r="D412" s="55" t="s">
        <v>498</v>
      </c>
      <c r="F412" s="84"/>
      <c r="G412" s="131">
        <v>1</v>
      </c>
      <c r="H412" s="132">
        <v>26</v>
      </c>
      <c r="I412" s="132">
        <v>720</v>
      </c>
      <c r="J412" s="135">
        <v>6.5</v>
      </c>
      <c r="K412" s="78"/>
      <c r="L412" s="78"/>
      <c r="M412" s="271"/>
      <c r="N412" s="271"/>
    </row>
    <row r="413" spans="1:14" s="55" customFormat="1" ht="3" customHeight="1" x14ac:dyDescent="0.2">
      <c r="A413" s="80"/>
      <c r="B413" s="129"/>
      <c r="D413" s="79"/>
      <c r="E413" s="79"/>
      <c r="F413" s="219"/>
      <c r="G413" s="85"/>
      <c r="H413" s="86"/>
      <c r="I413" s="87"/>
      <c r="J413" s="217"/>
      <c r="K413" s="78"/>
      <c r="L413" s="78"/>
      <c r="M413" s="271"/>
      <c r="N413" s="271"/>
    </row>
    <row r="414" spans="1:14" ht="11.1" customHeight="1" x14ac:dyDescent="0.2">
      <c r="A414" s="79"/>
      <c r="B414" s="56" t="s">
        <v>503</v>
      </c>
      <c r="C414" s="56" t="s">
        <v>504</v>
      </c>
      <c r="D414" s="56"/>
      <c r="E414" s="55"/>
      <c r="F414" s="84"/>
      <c r="G414" s="131">
        <v>0.7</v>
      </c>
      <c r="H414" s="132">
        <v>20</v>
      </c>
      <c r="I414" s="132">
        <v>90</v>
      </c>
      <c r="J414" s="135">
        <v>14.8</v>
      </c>
      <c r="K414" s="78"/>
      <c r="L414" s="78"/>
      <c r="M414" s="271"/>
      <c r="N414" s="271"/>
    </row>
    <row r="415" spans="1:14" s="55" customFormat="1" ht="11.1" customHeight="1" x14ac:dyDescent="0.2">
      <c r="B415" s="56"/>
      <c r="C415" s="136" t="s">
        <v>505</v>
      </c>
      <c r="D415" s="56" t="s">
        <v>506</v>
      </c>
      <c r="F415" s="84"/>
      <c r="G415" s="131">
        <v>0.2</v>
      </c>
      <c r="H415" s="132">
        <v>5</v>
      </c>
      <c r="I415" s="132">
        <v>40</v>
      </c>
      <c r="J415" s="135">
        <v>23.2</v>
      </c>
      <c r="K415" s="78"/>
      <c r="L415" s="78"/>
      <c r="M415" s="271"/>
      <c r="N415" s="271"/>
    </row>
    <row r="416" spans="1:14" s="55" customFormat="1" ht="11.1" customHeight="1" x14ac:dyDescent="0.2">
      <c r="B416" s="56"/>
      <c r="C416" s="136" t="s">
        <v>507</v>
      </c>
      <c r="D416" s="56" t="s">
        <v>508</v>
      </c>
      <c r="F416" s="84"/>
      <c r="G416" s="131">
        <v>0.5</v>
      </c>
      <c r="H416" s="132">
        <v>14</v>
      </c>
      <c r="I416" s="132">
        <v>50</v>
      </c>
      <c r="J416" s="135">
        <v>19.5</v>
      </c>
      <c r="K416" s="78"/>
      <c r="L416" s="78"/>
      <c r="M416" s="271"/>
      <c r="N416" s="271"/>
    </row>
    <row r="417" spans="1:14" s="55" customFormat="1" ht="3" customHeight="1" x14ac:dyDescent="0.2">
      <c r="G417" s="85"/>
      <c r="H417" s="108"/>
      <c r="I417" s="79"/>
      <c r="J417" s="217"/>
      <c r="K417" s="78"/>
      <c r="L417" s="78"/>
      <c r="M417" s="271"/>
      <c r="N417" s="271"/>
    </row>
    <row r="418" spans="1:14" s="55" customFormat="1" ht="11.1" customHeight="1" x14ac:dyDescent="0.2">
      <c r="A418" s="56"/>
      <c r="B418" s="56" t="s">
        <v>509</v>
      </c>
      <c r="C418" s="136" t="s">
        <v>510</v>
      </c>
      <c r="D418" s="56"/>
      <c r="F418" s="84"/>
      <c r="G418" s="131">
        <v>14.1</v>
      </c>
      <c r="H418" s="132">
        <v>389</v>
      </c>
      <c r="I418" s="132">
        <v>1800</v>
      </c>
      <c r="J418" s="135">
        <v>5.7</v>
      </c>
      <c r="K418" s="78"/>
      <c r="L418" s="78"/>
      <c r="M418" s="271"/>
      <c r="N418" s="271"/>
    </row>
    <row r="419" spans="1:14" s="55" customFormat="1" ht="11.1" customHeight="1" x14ac:dyDescent="0.2">
      <c r="B419" s="56"/>
      <c r="C419" s="56" t="s">
        <v>511</v>
      </c>
      <c r="D419" s="55" t="s">
        <v>512</v>
      </c>
      <c r="F419" s="84"/>
      <c r="G419" s="131">
        <v>0.3</v>
      </c>
      <c r="H419" s="132">
        <v>8</v>
      </c>
      <c r="I419" s="132">
        <v>110</v>
      </c>
      <c r="J419" s="135">
        <v>28.1</v>
      </c>
      <c r="K419" s="78"/>
      <c r="L419" s="78"/>
      <c r="M419" s="271"/>
      <c r="N419" s="271"/>
    </row>
    <row r="420" spans="1:14" s="55" customFormat="1" ht="11.1" customHeight="1" x14ac:dyDescent="0.2">
      <c r="B420" s="56"/>
      <c r="C420" s="56" t="s">
        <v>513</v>
      </c>
      <c r="D420" s="55" t="s">
        <v>514</v>
      </c>
      <c r="F420" s="84"/>
      <c r="G420" s="131">
        <v>6.9</v>
      </c>
      <c r="H420" s="132">
        <v>191</v>
      </c>
      <c r="I420" s="132">
        <v>680</v>
      </c>
      <c r="J420" s="135">
        <v>10</v>
      </c>
      <c r="K420" s="78"/>
      <c r="L420" s="78"/>
      <c r="M420" s="271"/>
      <c r="N420" s="271"/>
    </row>
    <row r="421" spans="1:14" s="55" customFormat="1" ht="11.1" customHeight="1" x14ac:dyDescent="0.2">
      <c r="B421" s="56"/>
      <c r="C421" s="136" t="s">
        <v>515</v>
      </c>
      <c r="D421" s="55" t="s">
        <v>516</v>
      </c>
      <c r="F421" s="84"/>
      <c r="G421" s="202">
        <v>0</v>
      </c>
      <c r="H421" s="273">
        <v>1</v>
      </c>
      <c r="I421" s="132">
        <v>20</v>
      </c>
      <c r="J421" s="135">
        <v>29.8</v>
      </c>
      <c r="K421" s="78"/>
      <c r="L421" s="78"/>
      <c r="M421" s="271"/>
      <c r="N421" s="271"/>
    </row>
    <row r="422" spans="1:14" s="143" customFormat="1" ht="11.1" customHeight="1" x14ac:dyDescent="0.2">
      <c r="A422" s="55"/>
      <c r="B422" s="56"/>
      <c r="C422" s="136" t="s">
        <v>517</v>
      </c>
      <c r="D422" s="56" t="s">
        <v>518</v>
      </c>
      <c r="E422" s="55"/>
      <c r="F422" s="84"/>
      <c r="G422" s="131">
        <v>1.6</v>
      </c>
      <c r="H422" s="132">
        <v>43</v>
      </c>
      <c r="I422" s="132">
        <v>620</v>
      </c>
      <c r="J422" s="135">
        <v>5.4</v>
      </c>
      <c r="K422" s="78"/>
      <c r="L422" s="78"/>
      <c r="M422" s="271"/>
      <c r="N422" s="271"/>
    </row>
    <row r="423" spans="1:14" s="55" customFormat="1" ht="11.1" customHeight="1" x14ac:dyDescent="0.2">
      <c r="B423" s="56"/>
      <c r="C423" s="56" t="s">
        <v>519</v>
      </c>
      <c r="D423" s="56" t="s">
        <v>520</v>
      </c>
      <c r="F423" s="84"/>
      <c r="G423" s="131">
        <v>0.2</v>
      </c>
      <c r="H423" s="132">
        <v>5</v>
      </c>
      <c r="I423" s="132">
        <v>300</v>
      </c>
      <c r="J423" s="135">
        <v>13</v>
      </c>
      <c r="K423" s="78"/>
      <c r="L423" s="78"/>
      <c r="M423" s="271"/>
      <c r="N423" s="271"/>
    </row>
    <row r="424" spans="1:14" s="55" customFormat="1" ht="11.1" customHeight="1" x14ac:dyDescent="0.2">
      <c r="B424" s="56"/>
      <c r="C424" s="56" t="s">
        <v>521</v>
      </c>
      <c r="D424" s="56" t="s">
        <v>522</v>
      </c>
      <c r="F424" s="84"/>
      <c r="G424" s="131">
        <v>0.3</v>
      </c>
      <c r="H424" s="132">
        <v>8</v>
      </c>
      <c r="I424" s="132">
        <v>30</v>
      </c>
      <c r="J424" s="135">
        <v>29</v>
      </c>
      <c r="K424" s="78"/>
      <c r="L424" s="78"/>
      <c r="M424" s="271"/>
      <c r="N424" s="271"/>
    </row>
    <row r="425" spans="1:14" s="55" customFormat="1" ht="11.1" customHeight="1" x14ac:dyDescent="0.2">
      <c r="A425" s="56"/>
      <c r="C425" s="56" t="s">
        <v>523</v>
      </c>
      <c r="D425" s="56" t="s">
        <v>524</v>
      </c>
      <c r="F425" s="84"/>
      <c r="G425" s="131">
        <v>4.5999999999999996</v>
      </c>
      <c r="H425" s="132">
        <v>127</v>
      </c>
      <c r="I425" s="132">
        <v>400</v>
      </c>
      <c r="J425" s="135">
        <v>7.3</v>
      </c>
      <c r="K425" s="78"/>
      <c r="L425" s="78"/>
      <c r="M425" s="271"/>
      <c r="N425" s="271"/>
    </row>
    <row r="426" spans="1:14" s="55" customFormat="1" ht="11.1" customHeight="1" x14ac:dyDescent="0.2">
      <c r="A426" s="56"/>
      <c r="C426" s="56" t="s">
        <v>525</v>
      </c>
      <c r="D426" s="56" t="s">
        <v>526</v>
      </c>
      <c r="F426" s="84"/>
      <c r="G426" s="131">
        <v>0.2</v>
      </c>
      <c r="H426" s="132">
        <v>7</v>
      </c>
      <c r="I426" s="132">
        <v>50</v>
      </c>
      <c r="J426" s="135">
        <v>24.5</v>
      </c>
      <c r="K426" s="78"/>
      <c r="L426" s="78"/>
      <c r="M426" s="271"/>
      <c r="N426" s="271"/>
    </row>
    <row r="427" spans="1:14" s="55" customFormat="1" ht="3.75" customHeight="1" x14ac:dyDescent="0.15">
      <c r="A427" s="47"/>
      <c r="B427" s="47"/>
      <c r="C427" s="47"/>
      <c r="D427" s="47"/>
      <c r="E427" s="47"/>
      <c r="F427" s="47"/>
      <c r="G427" s="49"/>
      <c r="H427" s="50"/>
      <c r="I427" s="47"/>
      <c r="J427" s="274"/>
      <c r="K427" s="275"/>
      <c r="L427" s="269"/>
    </row>
    <row r="428" spans="1:14" s="55" customFormat="1" ht="4.5" customHeight="1" x14ac:dyDescent="0.2">
      <c r="B428" s="56"/>
      <c r="C428" s="136"/>
      <c r="D428" s="144"/>
      <c r="F428" s="84"/>
      <c r="G428" s="241"/>
      <c r="H428" s="242"/>
      <c r="I428" s="243"/>
      <c r="K428" s="275"/>
      <c r="L428" s="269"/>
    </row>
    <row r="429" spans="1:14" s="55" customFormat="1" ht="12.75" customHeight="1" x14ac:dyDescent="0.2">
      <c r="A429" s="157" t="s">
        <v>111</v>
      </c>
      <c r="B429" s="56"/>
      <c r="C429" s="56"/>
      <c r="E429" s="137"/>
      <c r="F429" s="142"/>
      <c r="G429" s="241"/>
      <c r="H429" s="242"/>
      <c r="I429" s="243"/>
      <c r="K429" s="275"/>
      <c r="L429" s="269"/>
    </row>
    <row r="430" spans="1:14" s="55" customFormat="1" ht="12.75" customHeight="1" x14ac:dyDescent="0.2">
      <c r="A430" s="157" t="s">
        <v>182</v>
      </c>
      <c r="B430" s="56"/>
      <c r="C430" s="56"/>
      <c r="E430" s="137"/>
      <c r="F430" s="142"/>
      <c r="G430" s="241"/>
      <c r="H430" s="242"/>
      <c r="I430" s="243"/>
      <c r="K430" s="275"/>
      <c r="L430" s="269"/>
    </row>
    <row r="431" spans="1:14" s="55" customFormat="1" ht="12.75" customHeight="1" x14ac:dyDescent="0.2">
      <c r="A431" s="157" t="s">
        <v>112</v>
      </c>
      <c r="B431" s="56"/>
      <c r="C431" s="56"/>
      <c r="E431" s="137"/>
      <c r="F431" s="142"/>
      <c r="G431" s="241"/>
      <c r="H431" s="242"/>
      <c r="I431" s="243"/>
      <c r="K431" s="275"/>
      <c r="L431" s="269"/>
    </row>
    <row r="432" spans="1:14" s="55" customFormat="1" ht="12.75" customHeight="1" x14ac:dyDescent="0.2">
      <c r="B432" s="56"/>
      <c r="C432" s="136"/>
      <c r="D432" s="144"/>
      <c r="F432" s="84"/>
      <c r="G432" s="241"/>
      <c r="H432" s="242"/>
      <c r="I432" s="243"/>
      <c r="K432" s="275"/>
      <c r="L432" s="269"/>
    </row>
    <row r="433" spans="1:12" s="55" customFormat="1" ht="12.75" customHeight="1" x14ac:dyDescent="0.2">
      <c r="B433" s="56"/>
      <c r="C433" s="136"/>
      <c r="D433" s="144"/>
      <c r="F433" s="84"/>
      <c r="G433" s="241"/>
      <c r="H433" s="242"/>
      <c r="I433" s="243"/>
      <c r="K433" s="275"/>
      <c r="L433" s="269"/>
    </row>
    <row r="434" spans="1:12" s="55" customFormat="1" ht="12.75" customHeight="1" x14ac:dyDescent="0.15">
      <c r="A434" s="56"/>
      <c r="G434" s="249"/>
      <c r="H434" s="250"/>
      <c r="K434" s="218"/>
      <c r="L434" s="269"/>
    </row>
    <row r="435" spans="1:12" s="55" customFormat="1" ht="12.75" customHeight="1" x14ac:dyDescent="0.15">
      <c r="A435" s="56"/>
      <c r="G435" s="249"/>
      <c r="H435" s="250"/>
      <c r="K435" s="218"/>
      <c r="L435" s="269"/>
    </row>
    <row r="436" spans="1:12" s="55" customFormat="1" ht="12.75" customHeight="1" x14ac:dyDescent="0.15">
      <c r="G436" s="249"/>
      <c r="H436" s="250"/>
      <c r="K436" s="275"/>
      <c r="L436" s="269"/>
    </row>
    <row r="437" spans="1:12" s="55" customFormat="1" ht="12.75" customHeight="1" x14ac:dyDescent="0.15">
      <c r="A437" s="159" t="s">
        <v>114</v>
      </c>
      <c r="G437" s="249"/>
      <c r="H437" s="250"/>
      <c r="K437" s="218"/>
      <c r="L437" s="269"/>
    </row>
    <row r="438" spans="1:12" s="31" customFormat="1" ht="15.75" customHeight="1" x14ac:dyDescent="0.3">
      <c r="A438" s="160" t="s">
        <v>183</v>
      </c>
      <c r="B438" s="161"/>
      <c r="D438" s="32"/>
      <c r="E438" s="32"/>
      <c r="F438" s="33"/>
      <c r="G438" s="34"/>
      <c r="H438" s="35"/>
      <c r="I438" s="36"/>
      <c r="J438" s="246"/>
      <c r="K438" s="37"/>
      <c r="L438" s="269"/>
    </row>
    <row r="439" spans="1:12" ht="12.75" customHeight="1" x14ac:dyDescent="0.25">
      <c r="A439" s="41" t="s">
        <v>24</v>
      </c>
      <c r="B439" s="81"/>
      <c r="C439" s="192"/>
      <c r="D439" s="247"/>
      <c r="L439" s="269"/>
    </row>
    <row r="440" spans="1:12" ht="3" customHeight="1" x14ac:dyDescent="0.3">
      <c r="A440" s="248"/>
      <c r="B440" s="71"/>
      <c r="C440" s="72"/>
      <c r="D440" s="73"/>
      <c r="E440" s="73"/>
      <c r="F440" s="73"/>
      <c r="G440" s="101"/>
      <c r="H440" s="102"/>
      <c r="I440" s="103"/>
      <c r="J440" s="77"/>
      <c r="L440" s="269"/>
    </row>
    <row r="441" spans="1:12" s="55" customFormat="1" ht="3" customHeight="1" x14ac:dyDescent="0.2">
      <c r="A441" s="81"/>
      <c r="B441" s="81"/>
      <c r="D441" s="84"/>
      <c r="E441" s="84"/>
      <c r="F441" s="84"/>
      <c r="G441" s="249"/>
      <c r="H441" s="250"/>
      <c r="I441" s="251"/>
      <c r="J441" s="252"/>
      <c r="K441" s="53"/>
      <c r="L441" s="269"/>
    </row>
    <row r="442" spans="1:12" s="180" customFormat="1" ht="11.1" customHeight="1" x14ac:dyDescent="0.15">
      <c r="A442" s="172"/>
      <c r="B442" s="172"/>
      <c r="C442" s="173"/>
      <c r="D442" s="174"/>
      <c r="E442" s="174"/>
      <c r="F442" s="59"/>
      <c r="G442" s="60" t="s">
        <v>116</v>
      </c>
      <c r="H442" s="61" t="s">
        <v>25</v>
      </c>
      <c r="I442" s="62" t="s">
        <v>26</v>
      </c>
      <c r="J442" s="63" t="s">
        <v>117</v>
      </c>
      <c r="K442" s="179"/>
      <c r="L442" s="269"/>
    </row>
    <row r="443" spans="1:12" s="180" customFormat="1" ht="11.1" customHeight="1" x14ac:dyDescent="0.15">
      <c r="A443" s="172"/>
      <c r="B443" s="172"/>
      <c r="C443" s="181"/>
      <c r="D443" s="174"/>
      <c r="E443" s="174"/>
      <c r="F443" s="59"/>
      <c r="G443" s="67" t="s">
        <v>29</v>
      </c>
      <c r="H443" s="61" t="s">
        <v>27</v>
      </c>
      <c r="I443" s="62" t="s">
        <v>28</v>
      </c>
      <c r="J443" s="63" t="s">
        <v>118</v>
      </c>
      <c r="K443" s="179"/>
      <c r="L443" s="269"/>
    </row>
    <row r="444" spans="1:12" s="180" customFormat="1" ht="11.1" customHeight="1" x14ac:dyDescent="0.15">
      <c r="A444" s="172"/>
      <c r="B444" s="172"/>
      <c r="C444" s="181"/>
      <c r="D444" s="174"/>
      <c r="E444" s="174"/>
      <c r="F444" s="59"/>
      <c r="G444" s="60" t="s">
        <v>31</v>
      </c>
      <c r="H444" s="61" t="s">
        <v>29</v>
      </c>
      <c r="I444" s="62" t="s">
        <v>30</v>
      </c>
      <c r="J444" s="69" t="s">
        <v>119</v>
      </c>
      <c r="K444" s="179"/>
      <c r="L444" s="269"/>
    </row>
    <row r="445" spans="1:12" s="180" customFormat="1" ht="11.1" customHeight="1" x14ac:dyDescent="0.15">
      <c r="A445" s="172"/>
      <c r="B445" s="172"/>
      <c r="C445" s="181"/>
      <c r="D445" s="174"/>
      <c r="E445" s="174"/>
      <c r="F445" s="59"/>
      <c r="G445" s="67" t="s">
        <v>32</v>
      </c>
      <c r="H445" s="61" t="s">
        <v>33</v>
      </c>
      <c r="I445" s="62" t="s">
        <v>120</v>
      </c>
      <c r="J445" s="70" t="s">
        <v>121</v>
      </c>
      <c r="K445" s="179"/>
      <c r="L445" s="269"/>
    </row>
    <row r="446" spans="1:12" ht="3.75" customHeight="1" x14ac:dyDescent="0.2">
      <c r="A446" s="71"/>
      <c r="B446" s="71"/>
      <c r="C446" s="72"/>
      <c r="D446" s="73"/>
      <c r="E446" s="73"/>
      <c r="F446" s="73"/>
      <c r="G446" s="101"/>
      <c r="H446" s="102"/>
      <c r="I446" s="103"/>
      <c r="J446" s="73"/>
      <c r="L446" s="269"/>
    </row>
    <row r="447" spans="1:12" ht="3" customHeight="1" x14ac:dyDescent="0.2">
      <c r="B447" s="81"/>
      <c r="C447" s="82"/>
      <c r="D447" s="83"/>
      <c r="E447" s="83"/>
      <c r="F447" s="84"/>
      <c r="G447" s="85"/>
      <c r="H447" s="86"/>
      <c r="I447" s="87"/>
      <c r="J447" s="83"/>
      <c r="L447" s="269"/>
    </row>
    <row r="448" spans="1:12" s="93" customFormat="1" ht="11.1" customHeight="1" x14ac:dyDescent="0.2">
      <c r="A448" s="111" t="s">
        <v>123</v>
      </c>
      <c r="B448" s="112"/>
      <c r="C448" s="113"/>
      <c r="F448" s="114" t="s">
        <v>124</v>
      </c>
      <c r="G448" s="115"/>
      <c r="H448" s="116"/>
      <c r="I448" s="117"/>
      <c r="K448" s="53"/>
      <c r="L448" s="270"/>
    </row>
    <row r="449" spans="1:14" s="128" customFormat="1" ht="3" customHeight="1" x14ac:dyDescent="0.2">
      <c r="A449" s="186"/>
      <c r="B449" s="186"/>
      <c r="C449" s="187"/>
      <c r="D449" s="79"/>
      <c r="E449" s="79"/>
      <c r="G449" s="107"/>
      <c r="H449" s="108"/>
      <c r="I449" s="109"/>
      <c r="J449" s="110"/>
      <c r="K449" s="53"/>
      <c r="L449" s="269"/>
    </row>
    <row r="450" spans="1:14" s="128" customFormat="1" ht="16.5" customHeight="1" x14ac:dyDescent="0.25">
      <c r="A450" s="276">
        <v>8</v>
      </c>
      <c r="B450" s="277" t="s">
        <v>527</v>
      </c>
      <c r="C450" s="188"/>
      <c r="D450" s="121"/>
      <c r="E450" s="121"/>
      <c r="F450" s="259"/>
      <c r="G450" s="123">
        <v>21.3</v>
      </c>
      <c r="H450" s="124">
        <v>587</v>
      </c>
      <c r="I450" s="124">
        <v>5340</v>
      </c>
      <c r="J450" s="125">
        <v>1.1000000000000001</v>
      </c>
      <c r="K450" s="78"/>
      <c r="L450" s="78"/>
      <c r="M450" s="271"/>
      <c r="N450" s="271"/>
    </row>
    <row r="451" spans="1:14" s="55" customFormat="1" ht="4.5" customHeight="1" x14ac:dyDescent="0.2">
      <c r="A451" s="56"/>
      <c r="B451" s="56"/>
      <c r="F451" s="84"/>
      <c r="G451" s="85"/>
      <c r="H451" s="86"/>
      <c r="I451" s="87"/>
      <c r="J451" s="231"/>
      <c r="K451" s="78"/>
      <c r="L451" s="78"/>
      <c r="M451" s="271"/>
      <c r="N451" s="271"/>
    </row>
    <row r="452" spans="1:14" ht="11.1" customHeight="1" x14ac:dyDescent="0.2">
      <c r="A452" s="80">
        <v>8.1</v>
      </c>
      <c r="B452" s="80" t="s">
        <v>528</v>
      </c>
      <c r="C452" s="80"/>
      <c r="D452" s="79"/>
      <c r="E452" s="79"/>
      <c r="G452" s="131">
        <v>0.6</v>
      </c>
      <c r="H452" s="132">
        <v>16</v>
      </c>
      <c r="I452" s="132">
        <v>780</v>
      </c>
      <c r="J452" s="135">
        <v>6.1</v>
      </c>
      <c r="K452" s="78"/>
      <c r="L452" s="78"/>
      <c r="M452" s="271"/>
      <c r="N452" s="271"/>
    </row>
    <row r="453" spans="1:14" ht="3.75" customHeight="1" x14ac:dyDescent="0.2">
      <c r="B453" s="129"/>
      <c r="C453" s="55"/>
      <c r="D453" s="79"/>
      <c r="E453" s="79"/>
      <c r="G453" s="85"/>
      <c r="H453" s="86"/>
      <c r="I453" s="87"/>
      <c r="J453" s="217"/>
      <c r="K453" s="78"/>
      <c r="L453" s="78"/>
      <c r="M453" s="271"/>
      <c r="N453" s="271"/>
    </row>
    <row r="454" spans="1:14" ht="11.1" customHeight="1" x14ac:dyDescent="0.2">
      <c r="A454" s="80">
        <v>8.1999999999999993</v>
      </c>
      <c r="B454" s="129" t="s">
        <v>529</v>
      </c>
      <c r="D454" s="79"/>
      <c r="E454" s="79"/>
      <c r="G454" s="131">
        <v>1.1000000000000001</v>
      </c>
      <c r="H454" s="132">
        <v>29</v>
      </c>
      <c r="I454" s="132">
        <v>250</v>
      </c>
      <c r="J454" s="135">
        <v>15.9</v>
      </c>
      <c r="K454" s="78"/>
      <c r="L454" s="78"/>
      <c r="M454" s="271"/>
      <c r="N454" s="271"/>
    </row>
    <row r="455" spans="1:14" s="55" customFormat="1" ht="11.1" customHeight="1" x14ac:dyDescent="0.2">
      <c r="A455" s="56"/>
      <c r="B455" s="56" t="s">
        <v>530</v>
      </c>
      <c r="C455" s="136" t="s">
        <v>531</v>
      </c>
      <c r="F455" s="84"/>
      <c r="G455" s="256">
        <v>0.1</v>
      </c>
      <c r="H455" s="203">
        <v>2</v>
      </c>
      <c r="I455" s="132">
        <v>20</v>
      </c>
      <c r="J455" s="135">
        <v>35.700000000000003</v>
      </c>
      <c r="K455" s="78"/>
      <c r="L455" s="78"/>
      <c r="M455" s="271"/>
      <c r="N455" s="271"/>
    </row>
    <row r="456" spans="1:14" s="55" customFormat="1" ht="11.1" customHeight="1" x14ac:dyDescent="0.2">
      <c r="A456" s="56"/>
      <c r="B456" s="56" t="s">
        <v>532</v>
      </c>
      <c r="C456" s="136" t="s">
        <v>533</v>
      </c>
      <c r="F456" s="84"/>
      <c r="G456" s="131">
        <v>1</v>
      </c>
      <c r="H456" s="132">
        <v>27</v>
      </c>
      <c r="I456" s="132">
        <v>240</v>
      </c>
      <c r="J456" s="135">
        <v>17.3</v>
      </c>
      <c r="K456" s="78"/>
      <c r="L456" s="78"/>
      <c r="M456" s="271"/>
      <c r="N456" s="271"/>
    </row>
    <row r="457" spans="1:14" s="55" customFormat="1" ht="11.1" customHeight="1" x14ac:dyDescent="0.2">
      <c r="A457" s="56"/>
      <c r="B457" s="56" t="s">
        <v>534</v>
      </c>
      <c r="C457" s="136" t="s">
        <v>535</v>
      </c>
      <c r="F457" s="84"/>
      <c r="G457" s="138" t="s">
        <v>230</v>
      </c>
      <c r="H457" s="139" t="s">
        <v>230</v>
      </c>
      <c r="I457" s="139" t="s">
        <v>230</v>
      </c>
      <c r="J457" s="135" t="s">
        <v>230</v>
      </c>
      <c r="K457" s="78"/>
      <c r="L457" s="78"/>
      <c r="M457" s="271"/>
      <c r="N457" s="271"/>
    </row>
    <row r="458" spans="1:14" s="55" customFormat="1" ht="4.5" customHeight="1" x14ac:dyDescent="0.2">
      <c r="A458" s="80"/>
      <c r="B458" s="129"/>
      <c r="D458" s="79"/>
      <c r="E458" s="79"/>
      <c r="F458" s="219"/>
      <c r="G458" s="85"/>
      <c r="H458" s="86"/>
      <c r="I458" s="87"/>
      <c r="J458" s="231"/>
      <c r="K458" s="78"/>
      <c r="L458" s="78"/>
      <c r="M458" s="271"/>
      <c r="N458" s="271"/>
    </row>
    <row r="459" spans="1:14" ht="11.1" customHeight="1" x14ac:dyDescent="0.2">
      <c r="A459" s="80">
        <v>8.3000000000000007</v>
      </c>
      <c r="B459" s="80" t="s">
        <v>536</v>
      </c>
      <c r="D459" s="79"/>
      <c r="E459" s="79"/>
      <c r="G459" s="131">
        <v>8.9</v>
      </c>
      <c r="H459" s="132">
        <v>244</v>
      </c>
      <c r="I459" s="132">
        <v>4370</v>
      </c>
      <c r="J459" s="135">
        <v>1.4</v>
      </c>
      <c r="K459" s="78"/>
      <c r="L459" s="78"/>
      <c r="M459" s="271"/>
      <c r="N459" s="271"/>
    </row>
    <row r="460" spans="1:14" s="55" customFormat="1" ht="11.1" customHeight="1" x14ac:dyDescent="0.2">
      <c r="B460" s="56" t="s">
        <v>537</v>
      </c>
      <c r="C460" s="56" t="s">
        <v>538</v>
      </c>
      <c r="D460" s="56"/>
      <c r="E460" s="56"/>
      <c r="F460" s="84"/>
      <c r="G460" s="131">
        <v>0.8</v>
      </c>
      <c r="H460" s="132">
        <v>21</v>
      </c>
      <c r="I460" s="132">
        <v>650</v>
      </c>
      <c r="J460" s="135">
        <v>5.0999999999999996</v>
      </c>
      <c r="K460" s="78"/>
      <c r="L460" s="78"/>
      <c r="M460" s="271"/>
      <c r="N460" s="271"/>
    </row>
    <row r="461" spans="1:14" s="55" customFormat="1" ht="11.1" customHeight="1" x14ac:dyDescent="0.2">
      <c r="B461" s="56" t="s">
        <v>539</v>
      </c>
      <c r="C461" s="56" t="s">
        <v>540</v>
      </c>
      <c r="F461" s="84"/>
      <c r="G461" s="138" t="s">
        <v>230</v>
      </c>
      <c r="H461" s="139" t="s">
        <v>230</v>
      </c>
      <c r="I461" s="139" t="s">
        <v>230</v>
      </c>
      <c r="J461" s="135" t="s">
        <v>230</v>
      </c>
      <c r="K461" s="78"/>
      <c r="L461" s="78"/>
      <c r="M461" s="271"/>
      <c r="N461" s="271"/>
    </row>
    <row r="462" spans="1:14" s="55" customFormat="1" ht="11.1" customHeight="1" x14ac:dyDescent="0.2">
      <c r="B462" s="56" t="s">
        <v>541</v>
      </c>
      <c r="C462" s="56" t="s">
        <v>542</v>
      </c>
      <c r="D462" s="56"/>
      <c r="E462" s="56"/>
      <c r="F462" s="84"/>
      <c r="G462" s="131">
        <v>7.8</v>
      </c>
      <c r="H462" s="132">
        <v>215</v>
      </c>
      <c r="I462" s="132">
        <v>3940</v>
      </c>
      <c r="J462" s="135">
        <v>1.5</v>
      </c>
      <c r="K462" s="78"/>
      <c r="L462" s="78"/>
      <c r="M462" s="271"/>
      <c r="N462" s="271"/>
    </row>
    <row r="463" spans="1:14" s="55" customFormat="1" ht="11.1" customHeight="1" x14ac:dyDescent="0.2">
      <c r="B463" s="56" t="s">
        <v>543</v>
      </c>
      <c r="C463" s="56" t="s">
        <v>544</v>
      </c>
      <c r="D463" s="56"/>
      <c r="E463" s="56"/>
      <c r="F463" s="84"/>
      <c r="G463" s="131">
        <v>0.3</v>
      </c>
      <c r="H463" s="132">
        <v>9</v>
      </c>
      <c r="I463" s="132">
        <v>250</v>
      </c>
      <c r="J463" s="135">
        <v>8.5</v>
      </c>
      <c r="K463" s="78"/>
      <c r="L463" s="78"/>
      <c r="M463" s="271"/>
      <c r="N463" s="271"/>
    </row>
    <row r="464" spans="1:14" s="55" customFormat="1" ht="4.5" customHeight="1" x14ac:dyDescent="0.2">
      <c r="B464" s="56"/>
      <c r="C464" s="56"/>
      <c r="D464" s="56"/>
      <c r="E464" s="56"/>
      <c r="F464" s="84"/>
      <c r="G464" s="85"/>
      <c r="H464" s="86"/>
      <c r="I464" s="87"/>
      <c r="J464" s="231"/>
      <c r="K464" s="78"/>
      <c r="L464" s="78"/>
      <c r="M464" s="271"/>
      <c r="N464" s="271"/>
    </row>
    <row r="465" spans="1:14" s="55" customFormat="1" ht="11.1" customHeight="1" x14ac:dyDescent="0.2">
      <c r="A465" s="80">
        <v>8.4</v>
      </c>
      <c r="B465" s="80" t="s">
        <v>545</v>
      </c>
      <c r="C465" s="56"/>
      <c r="D465" s="56"/>
      <c r="E465" s="56"/>
      <c r="F465" s="84"/>
      <c r="G465" s="131">
        <v>0.8</v>
      </c>
      <c r="H465" s="132">
        <v>22</v>
      </c>
      <c r="I465" s="132">
        <v>660</v>
      </c>
      <c r="J465" s="135">
        <v>4.4000000000000004</v>
      </c>
      <c r="K465" s="78"/>
      <c r="L465" s="78"/>
      <c r="M465" s="271"/>
      <c r="N465" s="271"/>
    </row>
    <row r="466" spans="1:14" ht="3" customHeight="1" x14ac:dyDescent="0.2">
      <c r="A466" s="56"/>
      <c r="B466" s="56"/>
      <c r="C466" s="56"/>
      <c r="D466" s="55"/>
      <c r="E466" s="55"/>
      <c r="F466" s="84"/>
      <c r="G466" s="85"/>
      <c r="H466" s="278"/>
      <c r="I466" s="87"/>
      <c r="J466" s="231"/>
      <c r="K466" s="78"/>
      <c r="L466" s="78"/>
      <c r="M466" s="271"/>
      <c r="N466" s="271"/>
    </row>
    <row r="467" spans="1:14" s="55" customFormat="1" ht="11.1" customHeight="1" x14ac:dyDescent="0.2">
      <c r="A467" s="80">
        <v>8.5</v>
      </c>
      <c r="B467" s="80" t="s">
        <v>546</v>
      </c>
      <c r="C467" s="56"/>
      <c r="D467" s="56"/>
      <c r="E467" s="56"/>
      <c r="F467" s="84"/>
      <c r="G467" s="131">
        <v>10</v>
      </c>
      <c r="H467" s="132">
        <v>276</v>
      </c>
      <c r="I467" s="132">
        <v>4340</v>
      </c>
      <c r="J467" s="135">
        <v>1.2</v>
      </c>
      <c r="K467" s="78"/>
      <c r="L467" s="78"/>
      <c r="M467" s="271"/>
      <c r="N467" s="271"/>
    </row>
    <row r="468" spans="1:14" ht="3" customHeight="1" x14ac:dyDescent="0.2">
      <c r="A468" s="45"/>
      <c r="B468" s="45"/>
      <c r="C468" s="45"/>
      <c r="D468" s="47"/>
      <c r="E468" s="47"/>
      <c r="F468" s="48"/>
      <c r="G468" s="74"/>
      <c r="H468" s="279"/>
      <c r="I468" s="76"/>
      <c r="J468" s="258"/>
      <c r="K468" s="78"/>
      <c r="L468" s="78"/>
      <c r="M468" s="271"/>
      <c r="N468" s="271"/>
    </row>
    <row r="469" spans="1:14" s="229" customFormat="1" ht="3" customHeight="1" x14ac:dyDescent="0.2">
      <c r="A469" s="56"/>
      <c r="B469" s="56"/>
      <c r="C469" s="56"/>
      <c r="D469" s="56"/>
      <c r="E469" s="56"/>
      <c r="F469" s="84"/>
      <c r="G469" s="85"/>
      <c r="H469" s="280"/>
      <c r="I469" s="87"/>
      <c r="J469" s="231"/>
      <c r="K469" s="78"/>
      <c r="L469" s="78"/>
      <c r="M469" s="271"/>
      <c r="N469" s="271"/>
    </row>
    <row r="470" spans="1:14" s="128" customFormat="1" ht="16.5" customHeight="1" x14ac:dyDescent="0.25">
      <c r="A470" s="188">
        <v>9</v>
      </c>
      <c r="B470" s="281" t="s">
        <v>547</v>
      </c>
      <c r="C470" s="188"/>
      <c r="D470" s="188"/>
      <c r="E470" s="188"/>
      <c r="F470" s="259"/>
      <c r="G470" s="123">
        <v>77.2</v>
      </c>
      <c r="H470" s="124">
        <v>2120</v>
      </c>
      <c r="I470" s="124">
        <v>5390</v>
      </c>
      <c r="J470" s="125">
        <v>2.4</v>
      </c>
      <c r="K470" s="78"/>
      <c r="L470" s="78"/>
      <c r="M470" s="271"/>
      <c r="N470" s="271"/>
    </row>
    <row r="471" spans="1:14" s="128" customFormat="1" ht="4.5" customHeight="1" x14ac:dyDescent="0.2">
      <c r="A471" s="80"/>
      <c r="B471" s="129"/>
      <c r="C471" s="56"/>
      <c r="D471" s="79"/>
      <c r="E471" s="79"/>
      <c r="F471" s="219"/>
      <c r="G471" s="85"/>
      <c r="H471" s="86"/>
      <c r="I471" s="87"/>
      <c r="J471" s="217"/>
      <c r="K471" s="78"/>
      <c r="L471" s="78"/>
      <c r="M471" s="271"/>
      <c r="N471" s="271"/>
    </row>
    <row r="472" spans="1:14" ht="11.1" customHeight="1" x14ac:dyDescent="0.2">
      <c r="A472" s="80">
        <v>9.1</v>
      </c>
      <c r="B472" s="129" t="s">
        <v>548</v>
      </c>
      <c r="C472" s="80"/>
      <c r="D472" s="79"/>
      <c r="E472" s="79"/>
      <c r="G472" s="131">
        <v>4.9000000000000004</v>
      </c>
      <c r="H472" s="132">
        <v>135</v>
      </c>
      <c r="I472" s="132">
        <v>1000</v>
      </c>
      <c r="J472" s="135">
        <v>9.1999999999999993</v>
      </c>
      <c r="K472" s="78"/>
      <c r="L472" s="78"/>
      <c r="M472" s="271"/>
      <c r="N472" s="271"/>
    </row>
    <row r="473" spans="1:14" s="55" customFormat="1" ht="11.1" customHeight="1" x14ac:dyDescent="0.2">
      <c r="A473" s="56"/>
      <c r="B473" s="56" t="s">
        <v>549</v>
      </c>
      <c r="C473" s="56" t="s">
        <v>550</v>
      </c>
      <c r="F473" s="84"/>
      <c r="G473" s="131">
        <v>1</v>
      </c>
      <c r="H473" s="132">
        <v>28</v>
      </c>
      <c r="I473" s="132">
        <v>390</v>
      </c>
      <c r="J473" s="135">
        <v>12.7</v>
      </c>
      <c r="K473" s="78"/>
      <c r="L473" s="78"/>
      <c r="M473" s="271"/>
      <c r="N473" s="271"/>
    </row>
    <row r="474" spans="1:14" s="55" customFormat="1" ht="11.1" customHeight="1" x14ac:dyDescent="0.2">
      <c r="A474" s="56"/>
      <c r="C474" s="56" t="s">
        <v>551</v>
      </c>
      <c r="D474" s="56" t="s">
        <v>552</v>
      </c>
      <c r="E474" s="56"/>
      <c r="F474" s="84"/>
      <c r="G474" s="131">
        <v>0.4</v>
      </c>
      <c r="H474" s="132">
        <v>10</v>
      </c>
      <c r="I474" s="132">
        <v>60</v>
      </c>
      <c r="J474" s="135">
        <v>28.9</v>
      </c>
      <c r="K474" s="78"/>
      <c r="L474" s="78"/>
      <c r="M474" s="271"/>
      <c r="N474" s="271"/>
    </row>
    <row r="475" spans="1:14" s="55" customFormat="1" ht="11.1" customHeight="1" x14ac:dyDescent="0.2">
      <c r="A475" s="56"/>
      <c r="C475" s="56" t="s">
        <v>553</v>
      </c>
      <c r="D475" s="56" t="s">
        <v>554</v>
      </c>
      <c r="E475" s="56"/>
      <c r="F475" s="84"/>
      <c r="G475" s="131">
        <v>0.7</v>
      </c>
      <c r="H475" s="132">
        <v>18</v>
      </c>
      <c r="I475" s="132">
        <v>350</v>
      </c>
      <c r="J475" s="135">
        <v>12.8</v>
      </c>
      <c r="K475" s="78"/>
      <c r="L475" s="78"/>
      <c r="M475" s="271"/>
      <c r="N475" s="271"/>
    </row>
    <row r="476" spans="1:14" s="55" customFormat="1" ht="3.75" customHeight="1" x14ac:dyDescent="0.2">
      <c r="A476" s="56"/>
      <c r="B476" s="136"/>
      <c r="C476" s="56"/>
      <c r="F476" s="84"/>
      <c r="G476" s="85"/>
      <c r="H476" s="86"/>
      <c r="I476" s="87"/>
      <c r="J476" s="217"/>
      <c r="K476" s="78"/>
      <c r="L476" s="78"/>
      <c r="M476" s="271"/>
      <c r="N476" s="271"/>
    </row>
    <row r="477" spans="1:14" s="55" customFormat="1" ht="11.1" customHeight="1" x14ac:dyDescent="0.2">
      <c r="B477" s="56" t="s">
        <v>555</v>
      </c>
      <c r="C477" s="136" t="s">
        <v>556</v>
      </c>
      <c r="F477" s="84"/>
      <c r="G477" s="131">
        <v>3.5</v>
      </c>
      <c r="H477" s="132">
        <v>95</v>
      </c>
      <c r="I477" s="132">
        <v>680</v>
      </c>
      <c r="J477" s="135">
        <v>11.6</v>
      </c>
      <c r="L477" s="78"/>
      <c r="M477" s="271"/>
      <c r="N477" s="271"/>
    </row>
    <row r="478" spans="1:14" s="55" customFormat="1" ht="11.1" customHeight="1" x14ac:dyDescent="0.2">
      <c r="A478" s="56"/>
      <c r="C478" s="136" t="s">
        <v>557</v>
      </c>
      <c r="D478" s="56" t="s">
        <v>558</v>
      </c>
      <c r="E478" s="56"/>
      <c r="F478" s="84"/>
      <c r="G478" s="131">
        <v>1</v>
      </c>
      <c r="H478" s="132">
        <v>26</v>
      </c>
      <c r="I478" s="132">
        <v>70</v>
      </c>
      <c r="J478" s="135">
        <v>22.5</v>
      </c>
      <c r="K478" s="282"/>
      <c r="L478" s="78"/>
      <c r="M478" s="271"/>
      <c r="N478" s="271"/>
    </row>
    <row r="479" spans="1:14" s="55" customFormat="1" ht="11.1" customHeight="1" x14ac:dyDescent="0.2">
      <c r="A479" s="56"/>
      <c r="C479" s="136" t="s">
        <v>559</v>
      </c>
      <c r="D479" s="56" t="s">
        <v>560</v>
      </c>
      <c r="E479" s="56"/>
      <c r="F479" s="84"/>
      <c r="G479" s="138" t="s">
        <v>230</v>
      </c>
      <c r="H479" s="139" t="s">
        <v>230</v>
      </c>
      <c r="I479" s="139" t="s">
        <v>230</v>
      </c>
      <c r="J479" s="135" t="s">
        <v>230</v>
      </c>
      <c r="K479" s="78"/>
      <c r="L479" s="78"/>
      <c r="M479" s="271"/>
      <c r="N479" s="271"/>
    </row>
    <row r="480" spans="1:14" s="55" customFormat="1" ht="11.1" customHeight="1" x14ac:dyDescent="0.2">
      <c r="A480" s="56"/>
      <c r="C480" s="56" t="s">
        <v>561</v>
      </c>
      <c r="D480" s="55" t="s">
        <v>562</v>
      </c>
      <c r="F480" s="84"/>
      <c r="G480" s="138" t="s">
        <v>230</v>
      </c>
      <c r="H480" s="139" t="s">
        <v>230</v>
      </c>
      <c r="I480" s="139" t="s">
        <v>230</v>
      </c>
      <c r="J480" s="135" t="s">
        <v>230</v>
      </c>
      <c r="K480" s="78"/>
      <c r="L480" s="78"/>
      <c r="M480" s="271"/>
      <c r="N480" s="271"/>
    </row>
    <row r="481" spans="1:14" s="55" customFormat="1" ht="11.1" customHeight="1" x14ac:dyDescent="0.2">
      <c r="A481" s="56"/>
      <c r="C481" s="56" t="s">
        <v>563</v>
      </c>
      <c r="D481" s="55" t="s">
        <v>564</v>
      </c>
      <c r="F481" s="84"/>
      <c r="G481" s="138" t="s">
        <v>367</v>
      </c>
      <c r="H481" s="139" t="s">
        <v>367</v>
      </c>
      <c r="I481" s="139" t="s">
        <v>367</v>
      </c>
      <c r="J481" s="135" t="s">
        <v>230</v>
      </c>
      <c r="K481" s="78"/>
      <c r="L481" s="78"/>
      <c r="M481" s="271"/>
      <c r="N481" s="271"/>
    </row>
    <row r="482" spans="1:14" s="55" customFormat="1" ht="11.1" customHeight="1" x14ac:dyDescent="0.2">
      <c r="A482" s="56"/>
      <c r="C482" s="56" t="s">
        <v>565</v>
      </c>
      <c r="D482" s="55" t="s">
        <v>566</v>
      </c>
      <c r="F482" s="84"/>
      <c r="G482" s="138" t="s">
        <v>230</v>
      </c>
      <c r="H482" s="139" t="s">
        <v>230</v>
      </c>
      <c r="I482" s="139" t="s">
        <v>230</v>
      </c>
      <c r="J482" s="135" t="s">
        <v>230</v>
      </c>
      <c r="K482" s="78"/>
      <c r="L482" s="78"/>
      <c r="M482" s="271"/>
      <c r="N482" s="271"/>
    </row>
    <row r="483" spans="1:14" s="55" customFormat="1" ht="11.1" customHeight="1" x14ac:dyDescent="0.2">
      <c r="A483" s="56"/>
      <c r="C483" s="56" t="s">
        <v>567</v>
      </c>
      <c r="D483" s="56" t="s">
        <v>568</v>
      </c>
      <c r="E483" s="56"/>
      <c r="F483" s="84"/>
      <c r="G483" s="131">
        <v>0.3</v>
      </c>
      <c r="H483" s="132">
        <v>9</v>
      </c>
      <c r="I483" s="132">
        <v>260</v>
      </c>
      <c r="J483" s="135">
        <v>9.4</v>
      </c>
      <c r="K483" s="78"/>
      <c r="L483" s="78"/>
      <c r="M483" s="271"/>
      <c r="N483" s="271"/>
    </row>
    <row r="484" spans="1:14" s="55" customFormat="1" ht="11.1" customHeight="1" x14ac:dyDescent="0.2">
      <c r="A484" s="56"/>
      <c r="C484" s="56" t="s">
        <v>569</v>
      </c>
      <c r="D484" s="56" t="s">
        <v>570</v>
      </c>
      <c r="E484" s="56"/>
      <c r="F484" s="84"/>
      <c r="G484" s="131">
        <v>1.9</v>
      </c>
      <c r="H484" s="132">
        <v>53</v>
      </c>
      <c r="I484" s="132">
        <v>310</v>
      </c>
      <c r="J484" s="135">
        <v>17</v>
      </c>
      <c r="K484" s="78"/>
      <c r="L484" s="78"/>
      <c r="M484" s="271"/>
      <c r="N484" s="271"/>
    </row>
    <row r="485" spans="1:14" s="55" customFormat="1" ht="11.1" customHeight="1" x14ac:dyDescent="0.2">
      <c r="A485" s="56"/>
      <c r="C485" s="56" t="s">
        <v>571</v>
      </c>
      <c r="D485" s="55" t="s">
        <v>572</v>
      </c>
      <c r="F485" s="84"/>
      <c r="G485" s="131">
        <v>0.1</v>
      </c>
      <c r="H485" s="132">
        <v>2</v>
      </c>
      <c r="I485" s="132">
        <v>60</v>
      </c>
      <c r="J485" s="135">
        <v>21.4</v>
      </c>
      <c r="K485" s="78"/>
      <c r="L485" s="78"/>
      <c r="M485" s="271"/>
      <c r="N485" s="271"/>
    </row>
    <row r="486" spans="1:14" s="55" customFormat="1" ht="11.1" customHeight="1" x14ac:dyDescent="0.2">
      <c r="A486" s="56"/>
      <c r="C486" s="56" t="s">
        <v>573</v>
      </c>
      <c r="D486" s="56" t="s">
        <v>574</v>
      </c>
      <c r="E486" s="56"/>
      <c r="F486" s="84"/>
      <c r="G486" s="131">
        <v>0.1</v>
      </c>
      <c r="H486" s="132">
        <v>3</v>
      </c>
      <c r="I486" s="132">
        <v>30</v>
      </c>
      <c r="J486" s="135">
        <v>23</v>
      </c>
      <c r="K486" s="78"/>
      <c r="L486" s="78"/>
      <c r="M486" s="271"/>
      <c r="N486" s="271"/>
    </row>
    <row r="487" spans="1:14" s="55" customFormat="1" ht="3.75" customHeight="1" x14ac:dyDescent="0.2">
      <c r="A487" s="56"/>
      <c r="B487" s="56"/>
      <c r="F487" s="84"/>
      <c r="G487" s="85"/>
      <c r="H487" s="86"/>
      <c r="I487" s="87"/>
      <c r="J487" s="231"/>
      <c r="K487" s="78"/>
      <c r="L487" s="78"/>
      <c r="M487" s="271"/>
      <c r="N487" s="271"/>
    </row>
    <row r="488" spans="1:14" s="55" customFormat="1" ht="11.1" customHeight="1" x14ac:dyDescent="0.2">
      <c r="B488" s="56" t="s">
        <v>575</v>
      </c>
      <c r="C488" s="56" t="s">
        <v>576</v>
      </c>
      <c r="F488" s="84"/>
      <c r="G488" s="131">
        <v>0.4</v>
      </c>
      <c r="H488" s="132">
        <v>12</v>
      </c>
      <c r="I488" s="132">
        <v>50</v>
      </c>
      <c r="J488" s="135">
        <v>31</v>
      </c>
      <c r="K488" s="78"/>
      <c r="L488" s="78"/>
      <c r="M488" s="271"/>
      <c r="N488" s="271"/>
    </row>
    <row r="489" spans="1:14" s="55" customFormat="1" ht="11.1" customHeight="1" x14ac:dyDescent="0.2">
      <c r="B489" s="56"/>
      <c r="C489" s="56" t="s">
        <v>577</v>
      </c>
      <c r="D489" s="55" t="s">
        <v>578</v>
      </c>
      <c r="F489" s="84"/>
      <c r="G489" s="131">
        <v>0.4</v>
      </c>
      <c r="H489" s="132">
        <v>11</v>
      </c>
      <c r="I489" s="132">
        <v>50</v>
      </c>
      <c r="J489" s="135">
        <v>32.6</v>
      </c>
      <c r="K489" s="78"/>
      <c r="L489" s="78"/>
      <c r="M489" s="271"/>
      <c r="N489" s="271"/>
    </row>
    <row r="490" spans="1:14" s="55" customFormat="1" ht="11.1" customHeight="1" x14ac:dyDescent="0.2">
      <c r="B490" s="56"/>
      <c r="C490" s="56" t="s">
        <v>579</v>
      </c>
      <c r="D490" s="55" t="s">
        <v>580</v>
      </c>
      <c r="F490" s="84"/>
      <c r="G490" s="138" t="s">
        <v>230</v>
      </c>
      <c r="H490" s="139" t="s">
        <v>230</v>
      </c>
      <c r="I490" s="139" t="s">
        <v>230</v>
      </c>
      <c r="J490" s="135" t="s">
        <v>230</v>
      </c>
      <c r="K490" s="78"/>
      <c r="L490" s="78"/>
      <c r="M490" s="271"/>
      <c r="N490" s="271"/>
    </row>
    <row r="491" spans="1:14" s="55" customFormat="1" ht="11.1" customHeight="1" x14ac:dyDescent="0.2">
      <c r="C491" s="56" t="s">
        <v>581</v>
      </c>
      <c r="D491" s="56" t="s">
        <v>582</v>
      </c>
      <c r="F491" s="84"/>
      <c r="G491" s="138" t="s">
        <v>230</v>
      </c>
      <c r="H491" s="139" t="s">
        <v>230</v>
      </c>
      <c r="I491" s="139" t="s">
        <v>230</v>
      </c>
      <c r="J491" s="135" t="s">
        <v>230</v>
      </c>
      <c r="K491" s="78"/>
      <c r="L491" s="78"/>
      <c r="M491" s="271"/>
      <c r="N491" s="271"/>
    </row>
    <row r="492" spans="1:14" ht="3.75" customHeight="1" x14ac:dyDescent="0.2">
      <c r="G492" s="85"/>
      <c r="J492" s="231"/>
      <c r="K492" s="78"/>
      <c r="L492" s="78"/>
      <c r="M492" s="271"/>
      <c r="N492" s="271"/>
    </row>
    <row r="493" spans="1:14" ht="11.1" customHeight="1" x14ac:dyDescent="0.2">
      <c r="A493" s="80">
        <v>9.1999999999999993</v>
      </c>
      <c r="B493" s="129" t="s">
        <v>583</v>
      </c>
      <c r="C493" s="80"/>
      <c r="D493" s="79"/>
      <c r="E493" s="79"/>
      <c r="G493" s="131">
        <v>2.5</v>
      </c>
      <c r="H493" s="132">
        <v>69</v>
      </c>
      <c r="I493" s="132">
        <v>100</v>
      </c>
      <c r="J493" s="135">
        <v>25.4</v>
      </c>
      <c r="K493" s="78"/>
      <c r="L493" s="78"/>
      <c r="M493" s="271"/>
      <c r="N493" s="271"/>
    </row>
    <row r="494" spans="1:14" s="55" customFormat="1" ht="11.1" customHeight="1" x14ac:dyDescent="0.2">
      <c r="B494" s="56" t="s">
        <v>584</v>
      </c>
      <c r="C494" s="55" t="s">
        <v>585</v>
      </c>
      <c r="F494" s="84"/>
      <c r="G494" s="138" t="s">
        <v>230</v>
      </c>
      <c r="H494" s="139" t="s">
        <v>230</v>
      </c>
      <c r="I494" s="139" t="s">
        <v>230</v>
      </c>
      <c r="J494" s="135" t="s">
        <v>230</v>
      </c>
      <c r="K494" s="78"/>
      <c r="L494" s="78"/>
      <c r="M494" s="271"/>
      <c r="N494" s="271"/>
    </row>
    <row r="495" spans="1:14" s="55" customFormat="1" ht="11.1" customHeight="1" x14ac:dyDescent="0.2">
      <c r="B495" s="56" t="s">
        <v>586</v>
      </c>
      <c r="C495" s="56" t="s">
        <v>587</v>
      </c>
      <c r="F495" s="84"/>
      <c r="G495" s="131">
        <v>0.7</v>
      </c>
      <c r="H495" s="132">
        <v>18</v>
      </c>
      <c r="I495" s="132">
        <v>20</v>
      </c>
      <c r="J495" s="135">
        <v>29</v>
      </c>
      <c r="K495" s="78"/>
      <c r="L495" s="78"/>
      <c r="M495" s="271"/>
      <c r="N495" s="271"/>
    </row>
    <row r="496" spans="1:14" s="55" customFormat="1" ht="11.1" customHeight="1" x14ac:dyDescent="0.2">
      <c r="B496" s="56" t="s">
        <v>588</v>
      </c>
      <c r="C496" s="55" t="s">
        <v>589</v>
      </c>
      <c r="F496" s="84"/>
      <c r="G496" s="256">
        <v>0.1</v>
      </c>
      <c r="H496" s="203">
        <v>2</v>
      </c>
      <c r="I496" s="132">
        <v>10</v>
      </c>
      <c r="J496" s="135">
        <v>38.1</v>
      </c>
      <c r="K496" s="78"/>
      <c r="L496" s="78"/>
      <c r="M496" s="271"/>
      <c r="N496" s="271"/>
    </row>
    <row r="497" spans="1:14" s="55" customFormat="1" ht="11.1" customHeight="1" x14ac:dyDescent="0.2">
      <c r="B497" s="56" t="s">
        <v>590</v>
      </c>
      <c r="C497" s="56" t="s">
        <v>591</v>
      </c>
      <c r="F497" s="84"/>
      <c r="G497" s="131">
        <v>0.1</v>
      </c>
      <c r="H497" s="132">
        <v>4</v>
      </c>
      <c r="I497" s="132">
        <v>30</v>
      </c>
      <c r="J497" s="135">
        <v>29.9</v>
      </c>
      <c r="K497" s="78"/>
      <c r="L497" s="78"/>
      <c r="M497" s="271"/>
      <c r="N497" s="271"/>
    </row>
    <row r="498" spans="1:14" s="55" customFormat="1" ht="11.1" customHeight="1" x14ac:dyDescent="0.2">
      <c r="B498" s="56" t="s">
        <v>592</v>
      </c>
      <c r="C498" s="55" t="s">
        <v>593</v>
      </c>
      <c r="F498" s="84"/>
      <c r="G498" s="138" t="s">
        <v>230</v>
      </c>
      <c r="H498" s="139" t="s">
        <v>230</v>
      </c>
      <c r="I498" s="139" t="s">
        <v>230</v>
      </c>
      <c r="J498" s="135" t="s">
        <v>230</v>
      </c>
      <c r="K498" s="78"/>
      <c r="L498" s="78"/>
      <c r="M498" s="271"/>
      <c r="N498" s="271"/>
    </row>
    <row r="499" spans="1:14" s="143" customFormat="1" ht="11.1" customHeight="1" x14ac:dyDescent="0.2">
      <c r="A499" s="55"/>
      <c r="B499" s="56" t="s">
        <v>594</v>
      </c>
      <c r="C499" s="56" t="s">
        <v>595</v>
      </c>
      <c r="D499" s="55"/>
      <c r="E499" s="55"/>
      <c r="F499" s="55"/>
      <c r="G499" s="131">
        <v>0.8</v>
      </c>
      <c r="H499" s="132">
        <v>23</v>
      </c>
      <c r="I499" s="132">
        <v>30</v>
      </c>
      <c r="J499" s="135">
        <v>41.3</v>
      </c>
      <c r="K499" s="78"/>
      <c r="L499" s="78"/>
      <c r="M499" s="271"/>
      <c r="N499" s="271"/>
    </row>
    <row r="500" spans="1:14" s="143" customFormat="1" ht="11.1" customHeight="1" x14ac:dyDescent="0.2">
      <c r="A500" s="55"/>
      <c r="B500" s="136" t="s">
        <v>596</v>
      </c>
      <c r="C500" s="55" t="s">
        <v>597</v>
      </c>
      <c r="D500" s="55"/>
      <c r="E500" s="55"/>
      <c r="F500" s="84"/>
      <c r="G500" s="138" t="s">
        <v>230</v>
      </c>
      <c r="H500" s="139" t="s">
        <v>230</v>
      </c>
      <c r="I500" s="139" t="s">
        <v>230</v>
      </c>
      <c r="J500" s="135" t="s">
        <v>230</v>
      </c>
      <c r="K500" s="78"/>
      <c r="L500" s="78"/>
      <c r="M500" s="271"/>
      <c r="N500" s="271"/>
    </row>
    <row r="501" spans="1:14" s="143" customFormat="1" ht="11.1" customHeight="1" x14ac:dyDescent="0.2">
      <c r="A501" s="55"/>
      <c r="B501" s="136" t="s">
        <v>598</v>
      </c>
      <c r="C501" s="55" t="s">
        <v>599</v>
      </c>
      <c r="D501" s="55"/>
      <c r="E501" s="55"/>
      <c r="F501" s="84"/>
      <c r="G501" s="138" t="s">
        <v>367</v>
      </c>
      <c r="H501" s="139" t="s">
        <v>367</v>
      </c>
      <c r="I501" s="139" t="s">
        <v>367</v>
      </c>
      <c r="J501" s="135" t="s">
        <v>230</v>
      </c>
      <c r="K501" s="78"/>
      <c r="L501" s="78"/>
      <c r="M501" s="271"/>
      <c r="N501" s="271"/>
    </row>
    <row r="502" spans="1:14" ht="3.75" customHeight="1" x14ac:dyDescent="0.2">
      <c r="A502" s="56"/>
      <c r="B502" s="56"/>
      <c r="C502" s="55"/>
      <c r="D502" s="55"/>
      <c r="E502" s="55"/>
      <c r="F502" s="84"/>
      <c r="G502" s="85"/>
      <c r="H502" s="86"/>
      <c r="I502" s="87"/>
      <c r="J502" s="231"/>
      <c r="K502" s="78"/>
      <c r="L502" s="78"/>
      <c r="M502" s="271"/>
      <c r="N502" s="271"/>
    </row>
    <row r="503" spans="1:14" ht="11.1" customHeight="1" x14ac:dyDescent="0.2">
      <c r="A503" s="80">
        <v>9.3000000000000007</v>
      </c>
      <c r="B503" s="80" t="s">
        <v>600</v>
      </c>
      <c r="D503" s="79"/>
      <c r="E503" s="79"/>
      <c r="G503" s="131">
        <v>14.1</v>
      </c>
      <c r="H503" s="132">
        <v>387</v>
      </c>
      <c r="I503" s="132">
        <v>3810</v>
      </c>
      <c r="J503" s="135">
        <v>3</v>
      </c>
      <c r="K503" s="78"/>
      <c r="L503" s="78"/>
      <c r="M503" s="271"/>
      <c r="N503" s="271"/>
    </row>
    <row r="504" spans="1:14" s="55" customFormat="1" ht="11.1" customHeight="1" x14ac:dyDescent="0.2">
      <c r="B504" s="56" t="s">
        <v>601</v>
      </c>
      <c r="C504" s="136" t="s">
        <v>602</v>
      </c>
      <c r="F504" s="84"/>
      <c r="G504" s="131">
        <v>2.9</v>
      </c>
      <c r="H504" s="132">
        <v>79</v>
      </c>
      <c r="I504" s="132">
        <v>1450</v>
      </c>
      <c r="J504" s="135">
        <v>5.9</v>
      </c>
      <c r="K504" s="78"/>
      <c r="L504" s="78"/>
      <c r="M504" s="271"/>
      <c r="N504" s="271"/>
    </row>
    <row r="505" spans="1:14" s="55" customFormat="1" ht="11.1" customHeight="1" x14ac:dyDescent="0.2">
      <c r="B505" s="56" t="s">
        <v>603</v>
      </c>
      <c r="C505" s="56" t="s">
        <v>604</v>
      </c>
      <c r="F505" s="84"/>
      <c r="G505" s="131">
        <v>1</v>
      </c>
      <c r="H505" s="132">
        <v>27</v>
      </c>
      <c r="I505" s="132">
        <v>300</v>
      </c>
      <c r="J505" s="135">
        <v>9.1</v>
      </c>
      <c r="K505" s="78"/>
      <c r="L505" s="78"/>
      <c r="M505" s="271"/>
      <c r="N505" s="271"/>
    </row>
    <row r="506" spans="1:14" s="55" customFormat="1" ht="11.1" customHeight="1" x14ac:dyDescent="0.2">
      <c r="B506" s="56"/>
      <c r="C506" s="136" t="s">
        <v>605</v>
      </c>
      <c r="D506" s="56" t="s">
        <v>606</v>
      </c>
      <c r="E506" s="56"/>
      <c r="F506" s="84"/>
      <c r="G506" s="131">
        <v>0.8</v>
      </c>
      <c r="H506" s="132">
        <v>21</v>
      </c>
      <c r="I506" s="132">
        <v>280</v>
      </c>
      <c r="J506" s="135">
        <v>8.4</v>
      </c>
      <c r="K506" s="78"/>
      <c r="L506" s="78"/>
      <c r="M506" s="271"/>
      <c r="N506" s="271"/>
    </row>
    <row r="507" spans="1:14" s="149" customFormat="1" ht="11.1" customHeight="1" x14ac:dyDescent="0.2">
      <c r="B507" s="56"/>
      <c r="C507" s="136" t="s">
        <v>607</v>
      </c>
      <c r="D507" s="56" t="s">
        <v>608</v>
      </c>
      <c r="E507" s="56"/>
      <c r="F507" s="84"/>
      <c r="G507" s="131">
        <v>0.2</v>
      </c>
      <c r="H507" s="132">
        <v>6</v>
      </c>
      <c r="I507" s="132">
        <v>30</v>
      </c>
      <c r="J507" s="135">
        <v>25.1</v>
      </c>
      <c r="K507" s="78"/>
      <c r="L507" s="78"/>
      <c r="M507" s="271"/>
      <c r="N507" s="271"/>
    </row>
    <row r="508" spans="1:14" s="55" customFormat="1" ht="11.1" customHeight="1" x14ac:dyDescent="0.2">
      <c r="B508" s="56" t="s">
        <v>609</v>
      </c>
      <c r="C508" s="56" t="s">
        <v>610</v>
      </c>
      <c r="D508" s="56"/>
      <c r="E508" s="56"/>
      <c r="F508" s="84"/>
      <c r="G508" s="131">
        <v>1.2</v>
      </c>
      <c r="H508" s="132">
        <v>33</v>
      </c>
      <c r="I508" s="132">
        <v>370</v>
      </c>
      <c r="J508" s="135">
        <v>13.3</v>
      </c>
      <c r="K508" s="78"/>
      <c r="L508" s="78"/>
      <c r="M508" s="271"/>
      <c r="N508" s="271"/>
    </row>
    <row r="509" spans="1:14" s="55" customFormat="1" ht="3.75" customHeight="1" x14ac:dyDescent="0.2">
      <c r="B509" s="56"/>
      <c r="C509" s="56"/>
      <c r="D509" s="56"/>
      <c r="E509" s="56"/>
      <c r="F509" s="84"/>
      <c r="G509" s="85"/>
      <c r="H509" s="86"/>
      <c r="I509" s="87"/>
      <c r="J509" s="231"/>
      <c r="K509" s="78"/>
      <c r="L509" s="78"/>
      <c r="M509" s="271"/>
      <c r="N509" s="271"/>
    </row>
    <row r="510" spans="1:14" s="55" customFormat="1" ht="11.1" customHeight="1" x14ac:dyDescent="0.2">
      <c r="B510" s="56" t="s">
        <v>611</v>
      </c>
      <c r="C510" s="56" t="s">
        <v>612</v>
      </c>
      <c r="F510" s="84"/>
      <c r="G510" s="131">
        <v>3.2</v>
      </c>
      <c r="H510" s="132">
        <v>88</v>
      </c>
      <c r="I510" s="132">
        <v>1930</v>
      </c>
      <c r="J510" s="135">
        <v>5.2</v>
      </c>
      <c r="K510" s="78"/>
      <c r="L510" s="78"/>
      <c r="M510" s="271"/>
      <c r="N510" s="271"/>
    </row>
    <row r="511" spans="1:14" s="55" customFormat="1" ht="11.1" customHeight="1" x14ac:dyDescent="0.2">
      <c r="B511" s="56"/>
      <c r="C511" s="56" t="s">
        <v>613</v>
      </c>
      <c r="D511" s="55" t="s">
        <v>614</v>
      </c>
      <c r="F511" s="84"/>
      <c r="G511" s="145">
        <v>0</v>
      </c>
      <c r="H511" s="132">
        <v>1</v>
      </c>
      <c r="I511" s="132">
        <v>30</v>
      </c>
      <c r="J511" s="135">
        <v>29.1</v>
      </c>
      <c r="K511" s="78"/>
      <c r="L511" s="78"/>
      <c r="M511" s="271"/>
      <c r="N511" s="271"/>
    </row>
    <row r="512" spans="1:14" s="55" customFormat="1" ht="11.1" customHeight="1" x14ac:dyDescent="0.2">
      <c r="B512" s="56"/>
      <c r="C512" s="56" t="s">
        <v>615</v>
      </c>
      <c r="D512" s="55" t="s">
        <v>616</v>
      </c>
      <c r="F512" s="84"/>
      <c r="G512" s="131">
        <v>2.9</v>
      </c>
      <c r="H512" s="132">
        <v>80</v>
      </c>
      <c r="I512" s="132">
        <v>1850</v>
      </c>
      <c r="J512" s="135">
        <v>5.4</v>
      </c>
      <c r="K512" s="78"/>
      <c r="L512" s="78"/>
      <c r="M512" s="271"/>
      <c r="N512" s="271"/>
    </row>
    <row r="513" spans="1:14" s="55" customFormat="1" ht="11.1" customHeight="1" x14ac:dyDescent="0.2">
      <c r="B513" s="56"/>
      <c r="C513" s="56" t="s">
        <v>617</v>
      </c>
      <c r="D513" s="56" t="s">
        <v>618</v>
      </c>
      <c r="E513" s="56"/>
      <c r="F513" s="84"/>
      <c r="G513" s="131">
        <v>0.2</v>
      </c>
      <c r="H513" s="132">
        <v>6</v>
      </c>
      <c r="I513" s="132">
        <v>110</v>
      </c>
      <c r="J513" s="135">
        <v>21.5</v>
      </c>
      <c r="K513" s="78"/>
      <c r="L513" s="78"/>
      <c r="M513" s="271"/>
      <c r="N513" s="271"/>
    </row>
    <row r="514" spans="1:14" s="55" customFormat="1" ht="11.1" customHeight="1" x14ac:dyDescent="0.2">
      <c r="B514" s="56"/>
      <c r="C514" s="56" t="s">
        <v>619</v>
      </c>
      <c r="D514" s="56" t="s">
        <v>620</v>
      </c>
      <c r="E514" s="56"/>
      <c r="F514" s="84"/>
      <c r="G514" s="145">
        <v>0</v>
      </c>
      <c r="H514" s="132">
        <v>1</v>
      </c>
      <c r="I514" s="132">
        <v>50</v>
      </c>
      <c r="J514" s="135">
        <v>29.8</v>
      </c>
      <c r="K514" s="78"/>
      <c r="L514" s="78"/>
      <c r="M514" s="271"/>
      <c r="N514" s="271"/>
    </row>
    <row r="515" spans="1:14" s="55" customFormat="1" ht="3.75" customHeight="1" x14ac:dyDescent="0.2">
      <c r="B515" s="56"/>
      <c r="C515" s="56"/>
      <c r="D515" s="144"/>
      <c r="E515" s="144"/>
      <c r="F515" s="84"/>
      <c r="G515" s="85"/>
      <c r="H515" s="139"/>
      <c r="I515" s="140"/>
      <c r="J515" s="135"/>
      <c r="K515" s="78"/>
      <c r="L515" s="78"/>
      <c r="M515" s="271"/>
      <c r="N515" s="271"/>
    </row>
    <row r="516" spans="1:14" s="55" customFormat="1" ht="11.1" customHeight="1" x14ac:dyDescent="0.2">
      <c r="B516" s="56" t="s">
        <v>621</v>
      </c>
      <c r="C516" s="56" t="s">
        <v>622</v>
      </c>
      <c r="F516" s="84"/>
      <c r="G516" s="131">
        <v>5.8</v>
      </c>
      <c r="H516" s="132">
        <v>159</v>
      </c>
      <c r="I516" s="132">
        <v>2170</v>
      </c>
      <c r="J516" s="135">
        <v>4.9000000000000004</v>
      </c>
      <c r="K516" s="78"/>
      <c r="L516" s="78"/>
      <c r="M516" s="271"/>
      <c r="N516" s="271"/>
    </row>
    <row r="517" spans="1:14" s="55" customFormat="1" ht="11.1" customHeight="1" x14ac:dyDescent="0.2">
      <c r="B517" s="56"/>
      <c r="C517" s="136" t="s">
        <v>623</v>
      </c>
      <c r="D517" s="56" t="s">
        <v>624</v>
      </c>
      <c r="E517" s="56"/>
      <c r="F517" s="84"/>
      <c r="G517" s="131">
        <v>2.6</v>
      </c>
      <c r="H517" s="132">
        <v>71</v>
      </c>
      <c r="I517" s="132">
        <v>2010</v>
      </c>
      <c r="J517" s="135">
        <v>3.3</v>
      </c>
      <c r="K517" s="78"/>
      <c r="L517" s="78"/>
      <c r="M517" s="271"/>
      <c r="N517" s="271"/>
    </row>
    <row r="518" spans="1:14" s="55" customFormat="1" ht="11.1" customHeight="1" x14ac:dyDescent="0.2">
      <c r="B518" s="56"/>
      <c r="C518" s="136" t="s">
        <v>625</v>
      </c>
      <c r="D518" s="56" t="s">
        <v>626</v>
      </c>
      <c r="E518" s="56"/>
      <c r="F518" s="84"/>
      <c r="G518" s="131">
        <v>0.9</v>
      </c>
      <c r="H518" s="132">
        <v>26</v>
      </c>
      <c r="I518" s="132">
        <v>700</v>
      </c>
      <c r="J518" s="135">
        <v>10.7</v>
      </c>
      <c r="K518" s="78"/>
      <c r="L518" s="78"/>
      <c r="M518" s="271"/>
      <c r="N518" s="271"/>
    </row>
    <row r="519" spans="1:14" s="55" customFormat="1" ht="11.1" customHeight="1" x14ac:dyDescent="0.2">
      <c r="B519" s="56"/>
      <c r="C519" s="56" t="s">
        <v>627</v>
      </c>
      <c r="D519" s="56" t="s">
        <v>628</v>
      </c>
      <c r="E519" s="56"/>
      <c r="F519" s="84"/>
      <c r="G519" s="131">
        <v>2.2999999999999998</v>
      </c>
      <c r="H519" s="132">
        <v>63</v>
      </c>
      <c r="I519" s="132">
        <v>250</v>
      </c>
      <c r="J519" s="135">
        <v>10</v>
      </c>
      <c r="K519" s="78"/>
      <c r="L519" s="78"/>
      <c r="M519" s="271"/>
      <c r="N519" s="271"/>
    </row>
    <row r="520" spans="1:14" s="55" customFormat="1" ht="3.75" customHeight="1" x14ac:dyDescent="0.2">
      <c r="A520" s="47"/>
      <c r="B520" s="45"/>
      <c r="C520" s="45"/>
      <c r="D520" s="226"/>
      <c r="E520" s="226"/>
      <c r="F520" s="48"/>
      <c r="G520" s="283"/>
      <c r="H520" s="284"/>
      <c r="I520" s="285"/>
      <c r="J520" s="268"/>
      <c r="K520" s="218"/>
      <c r="L520" s="269"/>
    </row>
    <row r="521" spans="1:14" s="55" customFormat="1" ht="3.75" customHeight="1" x14ac:dyDescent="0.2">
      <c r="B521" s="56"/>
      <c r="C521" s="56"/>
      <c r="D521" s="144"/>
      <c r="E521" s="144"/>
      <c r="F521" s="84"/>
      <c r="G521" s="138"/>
      <c r="H521" s="139"/>
      <c r="I521" s="140"/>
      <c r="J521" s="286"/>
      <c r="K521" s="218"/>
      <c r="L521" s="269"/>
    </row>
    <row r="522" spans="1:14" s="55" customFormat="1" ht="12" customHeight="1" x14ac:dyDescent="0.2">
      <c r="A522" s="157" t="s">
        <v>111</v>
      </c>
      <c r="B522" s="56"/>
      <c r="C522" s="56"/>
      <c r="E522" s="137"/>
      <c r="F522" s="142"/>
      <c r="G522" s="138"/>
      <c r="H522" s="139"/>
      <c r="I522" s="140"/>
      <c r="J522" s="286"/>
      <c r="K522" s="218"/>
      <c r="L522" s="269"/>
    </row>
    <row r="523" spans="1:14" s="55" customFormat="1" ht="12" customHeight="1" x14ac:dyDescent="0.2">
      <c r="A523" s="157" t="s">
        <v>182</v>
      </c>
      <c r="B523" s="56"/>
      <c r="C523" s="56"/>
      <c r="E523" s="137"/>
      <c r="F523" s="142"/>
      <c r="G523" s="138"/>
      <c r="H523" s="139"/>
      <c r="I523" s="140"/>
      <c r="J523" s="286"/>
      <c r="K523" s="218"/>
      <c r="L523" s="269"/>
    </row>
    <row r="524" spans="1:14" s="55" customFormat="1" ht="12" customHeight="1" x14ac:dyDescent="0.2">
      <c r="A524" s="157" t="s">
        <v>112</v>
      </c>
      <c r="B524" s="56"/>
      <c r="C524" s="56"/>
      <c r="E524" s="137"/>
      <c r="F524" s="142"/>
      <c r="G524" s="138"/>
      <c r="H524" s="139"/>
      <c r="I524" s="140"/>
      <c r="J524" s="286"/>
      <c r="K524" s="218"/>
      <c r="L524" s="269"/>
    </row>
    <row r="525" spans="1:14" s="143" customFormat="1" ht="13.5" customHeight="1" x14ac:dyDescent="0.2">
      <c r="A525" s="157" t="s">
        <v>629</v>
      </c>
      <c r="B525" s="287"/>
      <c r="C525" s="287"/>
      <c r="D525" s="287"/>
      <c r="E525" s="287"/>
      <c r="F525" s="137"/>
      <c r="G525" s="138"/>
      <c r="H525" s="288"/>
      <c r="I525" s="140"/>
      <c r="J525" s="244"/>
    </row>
    <row r="526" spans="1:14" s="143" customFormat="1" ht="11.1" customHeight="1" x14ac:dyDescent="0.2">
      <c r="A526" s="157" t="s">
        <v>630</v>
      </c>
      <c r="B526" s="287"/>
      <c r="C526" s="287"/>
      <c r="D526" s="287"/>
      <c r="E526" s="287"/>
      <c r="F526" s="137"/>
      <c r="G526" s="138"/>
      <c r="H526" s="288"/>
      <c r="I526" s="140"/>
      <c r="J526" s="244"/>
    </row>
    <row r="527" spans="1:14" s="143" customFormat="1" ht="13.5" customHeight="1" x14ac:dyDescent="0.2">
      <c r="A527" s="157" t="s">
        <v>631</v>
      </c>
      <c r="B527" s="287"/>
      <c r="C527" s="287"/>
      <c r="D527" s="287"/>
      <c r="E527" s="287"/>
      <c r="F527" s="137"/>
      <c r="G527" s="138"/>
      <c r="H527" s="288"/>
      <c r="I527" s="140"/>
      <c r="J527" s="244"/>
    </row>
    <row r="528" spans="1:14" s="143" customFormat="1" ht="13.5" customHeight="1" x14ac:dyDescent="0.2">
      <c r="A528" s="157" t="s">
        <v>632</v>
      </c>
      <c r="B528" s="287"/>
      <c r="C528" s="287"/>
      <c r="D528" s="287"/>
      <c r="E528" s="287"/>
      <c r="F528" s="137"/>
      <c r="G528" s="138"/>
      <c r="H528" s="288"/>
      <c r="I528" s="140"/>
      <c r="J528" s="244"/>
    </row>
    <row r="529" spans="1:12" s="143" customFormat="1" ht="13.5" customHeight="1" x14ac:dyDescent="0.2">
      <c r="A529" s="157" t="s">
        <v>633</v>
      </c>
      <c r="B529" s="287"/>
      <c r="C529" s="287"/>
      <c r="D529" s="287"/>
      <c r="E529" s="287"/>
      <c r="F529" s="137"/>
      <c r="G529" s="138"/>
      <c r="H529" s="288"/>
      <c r="I529" s="140"/>
      <c r="J529" s="244"/>
    </row>
    <row r="530" spans="1:12" s="143" customFormat="1" ht="13.5" customHeight="1" x14ac:dyDescent="0.2">
      <c r="A530" s="157" t="s">
        <v>634</v>
      </c>
      <c r="B530" s="287"/>
      <c r="C530" s="287"/>
      <c r="D530" s="287"/>
      <c r="E530" s="287"/>
      <c r="F530" s="137"/>
      <c r="G530" s="138"/>
      <c r="H530" s="288"/>
      <c r="I530" s="140"/>
      <c r="J530" s="244"/>
    </row>
    <row r="531" spans="1:12" s="143" customFormat="1" ht="11.1" customHeight="1" x14ac:dyDescent="0.2">
      <c r="A531" s="157" t="s">
        <v>635</v>
      </c>
      <c r="B531" s="287"/>
      <c r="C531" s="287"/>
      <c r="D531" s="287"/>
      <c r="E531" s="287"/>
      <c r="F531" s="137"/>
      <c r="G531" s="138"/>
      <c r="H531" s="288"/>
      <c r="I531" s="140"/>
      <c r="J531" s="244"/>
    </row>
    <row r="532" spans="1:12" s="55" customFormat="1" ht="13.5" customHeight="1" x14ac:dyDescent="0.2">
      <c r="B532" s="56"/>
      <c r="C532" s="56"/>
      <c r="D532" s="144"/>
      <c r="E532" s="144"/>
      <c r="F532" s="84"/>
      <c r="G532" s="138"/>
      <c r="H532" s="139"/>
      <c r="I532" s="140"/>
      <c r="J532" s="286"/>
      <c r="K532" s="218"/>
      <c r="L532" s="269"/>
    </row>
    <row r="533" spans="1:12" s="55" customFormat="1" ht="13.5" customHeight="1" x14ac:dyDescent="0.2">
      <c r="A533" s="158"/>
      <c r="B533" s="56"/>
      <c r="C533" s="56"/>
      <c r="D533" s="144"/>
      <c r="E533" s="144"/>
      <c r="F533" s="84"/>
      <c r="G533" s="138"/>
      <c r="H533" s="139"/>
      <c r="I533" s="140"/>
      <c r="J533" s="244"/>
      <c r="K533" s="218"/>
      <c r="L533" s="269"/>
    </row>
    <row r="534" spans="1:12" s="55" customFormat="1" ht="13.5" customHeight="1" x14ac:dyDescent="0.2">
      <c r="A534" s="158"/>
      <c r="B534" s="56"/>
      <c r="C534" s="56"/>
      <c r="D534" s="144"/>
      <c r="E534" s="144"/>
      <c r="F534" s="84"/>
      <c r="G534" s="138"/>
      <c r="H534" s="139"/>
      <c r="I534" s="140"/>
      <c r="J534" s="244"/>
      <c r="K534" s="218"/>
      <c r="L534" s="269"/>
    </row>
    <row r="535" spans="1:12" s="55" customFormat="1" ht="13.5" customHeight="1" x14ac:dyDescent="0.2">
      <c r="B535" s="56"/>
      <c r="C535" s="56"/>
      <c r="D535" s="144"/>
      <c r="E535" s="144"/>
      <c r="F535" s="84"/>
      <c r="G535" s="138"/>
      <c r="H535" s="139"/>
      <c r="I535" s="140"/>
      <c r="J535" s="244"/>
      <c r="K535" s="218"/>
      <c r="L535" s="269"/>
    </row>
    <row r="536" spans="1:12" s="55" customFormat="1" ht="13.5" customHeight="1" x14ac:dyDescent="0.15">
      <c r="A536" s="159" t="s">
        <v>114</v>
      </c>
      <c r="B536" s="56"/>
      <c r="C536" s="56"/>
      <c r="D536" s="144"/>
      <c r="E536" s="144"/>
      <c r="F536" s="84"/>
      <c r="G536" s="227"/>
      <c r="H536" s="289"/>
      <c r="I536" s="290"/>
      <c r="J536" s="291"/>
      <c r="K536" s="218"/>
      <c r="L536" s="269"/>
    </row>
    <row r="537" spans="1:12" s="31" customFormat="1" ht="15.75" customHeight="1" x14ac:dyDescent="0.3">
      <c r="A537" s="160" t="s">
        <v>183</v>
      </c>
      <c r="B537" s="161"/>
      <c r="D537" s="32"/>
      <c r="E537" s="32"/>
      <c r="F537" s="33"/>
      <c r="G537" s="164"/>
      <c r="H537" s="165"/>
      <c r="I537" s="166"/>
      <c r="J537" s="292"/>
      <c r="K537" s="37"/>
      <c r="L537" s="269"/>
    </row>
    <row r="538" spans="1:12" s="31" customFormat="1" ht="15.75" customHeight="1" x14ac:dyDescent="0.25">
      <c r="A538" s="41" t="s">
        <v>24</v>
      </c>
      <c r="B538" s="168"/>
      <c r="C538" s="43"/>
      <c r="D538" s="44"/>
      <c r="E538" s="32"/>
      <c r="F538" s="33"/>
      <c r="G538" s="164"/>
      <c r="H538" s="165"/>
      <c r="I538" s="166"/>
      <c r="J538" s="292"/>
      <c r="K538" s="37"/>
      <c r="L538" s="269"/>
    </row>
    <row r="539" spans="1:12" ht="4.5" customHeight="1" x14ac:dyDescent="0.2">
      <c r="A539" s="71"/>
      <c r="B539" s="71"/>
      <c r="C539" s="72"/>
      <c r="D539" s="73"/>
      <c r="E539" s="73"/>
      <c r="F539" s="73"/>
      <c r="G539" s="101"/>
      <c r="H539" s="102"/>
      <c r="I539" s="103"/>
      <c r="J539" s="52"/>
      <c r="L539" s="269"/>
    </row>
    <row r="540" spans="1:12" s="55" customFormat="1" ht="3" customHeight="1" x14ac:dyDescent="0.2">
      <c r="A540" s="81"/>
      <c r="B540" s="81"/>
      <c r="D540" s="84"/>
      <c r="E540" s="84"/>
      <c r="F540" s="84"/>
      <c r="H540" s="250"/>
      <c r="K540" s="53"/>
      <c r="L540" s="269"/>
    </row>
    <row r="541" spans="1:12" s="180" customFormat="1" ht="11.1" customHeight="1" x14ac:dyDescent="0.15">
      <c r="A541" s="172"/>
      <c r="B541" s="172"/>
      <c r="C541" s="173"/>
      <c r="D541" s="174"/>
      <c r="E541" s="174"/>
      <c r="F541" s="59"/>
      <c r="G541" s="60" t="s">
        <v>116</v>
      </c>
      <c r="H541" s="61" t="s">
        <v>25</v>
      </c>
      <c r="I541" s="60" t="s">
        <v>26</v>
      </c>
      <c r="J541" s="60" t="s">
        <v>117</v>
      </c>
      <c r="K541" s="179"/>
      <c r="L541" s="269"/>
    </row>
    <row r="542" spans="1:12" s="180" customFormat="1" ht="11.1" customHeight="1" x14ac:dyDescent="0.15">
      <c r="A542" s="172"/>
      <c r="B542" s="172"/>
      <c r="C542" s="181"/>
      <c r="D542" s="174"/>
      <c r="E542" s="174"/>
      <c r="F542" s="59"/>
      <c r="G542" s="60" t="s">
        <v>29</v>
      </c>
      <c r="H542" s="61" t="s">
        <v>27</v>
      </c>
      <c r="I542" s="60" t="s">
        <v>28</v>
      </c>
      <c r="J542" s="60" t="s">
        <v>118</v>
      </c>
      <c r="K542" s="179"/>
      <c r="L542" s="269"/>
    </row>
    <row r="543" spans="1:12" s="180" customFormat="1" ht="11.1" customHeight="1" x14ac:dyDescent="0.15">
      <c r="A543" s="172"/>
      <c r="B543" s="172"/>
      <c r="C543" s="181"/>
      <c r="D543" s="174"/>
      <c r="E543" s="174"/>
      <c r="F543" s="59"/>
      <c r="G543" s="60" t="s">
        <v>31</v>
      </c>
      <c r="H543" s="61" t="s">
        <v>29</v>
      </c>
      <c r="I543" s="60" t="s">
        <v>30</v>
      </c>
      <c r="J543" s="60" t="s">
        <v>119</v>
      </c>
      <c r="K543" s="179"/>
      <c r="L543" s="269"/>
    </row>
    <row r="544" spans="1:12" s="180" customFormat="1" ht="11.1" customHeight="1" x14ac:dyDescent="0.15">
      <c r="A544" s="172"/>
      <c r="B544" s="172"/>
      <c r="C544" s="181"/>
      <c r="D544" s="174"/>
      <c r="E544" s="174"/>
      <c r="F544" s="59"/>
      <c r="G544" s="60" t="s">
        <v>32</v>
      </c>
      <c r="H544" s="61" t="s">
        <v>33</v>
      </c>
      <c r="I544" s="60" t="s">
        <v>120</v>
      </c>
      <c r="J544" s="60" t="s">
        <v>121</v>
      </c>
      <c r="K544" s="179"/>
      <c r="L544" s="269"/>
    </row>
    <row r="545" spans="1:14" ht="3.75" customHeight="1" x14ac:dyDescent="0.2">
      <c r="A545" s="71"/>
      <c r="B545" s="71"/>
      <c r="C545" s="72"/>
      <c r="D545" s="73"/>
      <c r="E545" s="73"/>
      <c r="F545" s="73"/>
      <c r="G545" s="74"/>
      <c r="H545" s="75"/>
      <c r="I545" s="76"/>
      <c r="J545" s="293"/>
      <c r="L545" s="269"/>
    </row>
    <row r="546" spans="1:14" ht="3" customHeight="1" x14ac:dyDescent="0.2">
      <c r="B546" s="81"/>
      <c r="C546" s="82"/>
      <c r="D546" s="83"/>
      <c r="E546" s="83"/>
      <c r="F546" s="84"/>
      <c r="G546" s="294"/>
      <c r="H546" s="295"/>
      <c r="I546" s="296"/>
      <c r="J546" s="128"/>
      <c r="L546" s="269"/>
    </row>
    <row r="547" spans="1:14" s="93" customFormat="1" ht="11.1" customHeight="1" x14ac:dyDescent="0.2">
      <c r="A547" s="111" t="s">
        <v>123</v>
      </c>
      <c r="B547" s="112"/>
      <c r="C547" s="113"/>
      <c r="F547" s="114" t="s">
        <v>124</v>
      </c>
      <c r="G547" s="107"/>
      <c r="H547" s="108"/>
      <c r="I547" s="109"/>
      <c r="J547" s="110"/>
      <c r="K547" s="53"/>
      <c r="L547" s="270"/>
    </row>
    <row r="548" spans="1:14" s="55" customFormat="1" ht="3" customHeight="1" x14ac:dyDescent="0.15">
      <c r="B548" s="56"/>
      <c r="C548" s="56"/>
      <c r="D548" s="144"/>
      <c r="E548" s="144"/>
      <c r="F548" s="84"/>
      <c r="G548" s="85"/>
      <c r="H548" s="86"/>
      <c r="I548" s="87"/>
      <c r="J548" s="231"/>
      <c r="K548" s="218"/>
      <c r="L548" s="269"/>
    </row>
    <row r="549" spans="1:14" s="55" customFormat="1" ht="12.75" customHeight="1" x14ac:dyDescent="0.15">
      <c r="A549" s="188">
        <v>9</v>
      </c>
      <c r="B549" s="188" t="s">
        <v>636</v>
      </c>
      <c r="C549" s="297"/>
      <c r="D549" s="297"/>
      <c r="E549" s="297"/>
      <c r="F549" s="84"/>
      <c r="G549" s="85"/>
      <c r="H549" s="86"/>
      <c r="I549" s="87"/>
      <c r="J549" s="286"/>
      <c r="K549" s="218"/>
      <c r="L549" s="269"/>
    </row>
    <row r="550" spans="1:14" s="55" customFormat="1" ht="6" customHeight="1" x14ac:dyDescent="0.15">
      <c r="A550" s="186"/>
      <c r="B550" s="186"/>
      <c r="C550" s="56"/>
      <c r="D550" s="56"/>
      <c r="E550" s="56"/>
      <c r="F550" s="84"/>
      <c r="G550" s="85"/>
      <c r="H550" s="86"/>
      <c r="I550" s="87"/>
      <c r="J550" s="231"/>
      <c r="K550" s="218"/>
      <c r="L550" s="269"/>
    </row>
    <row r="551" spans="1:14" ht="11.1" customHeight="1" x14ac:dyDescent="0.2">
      <c r="A551" s="80">
        <v>9.4</v>
      </c>
      <c r="B551" s="80" t="s">
        <v>637</v>
      </c>
      <c r="C551" s="80"/>
      <c r="D551" s="79"/>
      <c r="E551" s="79"/>
      <c r="F551" s="298"/>
      <c r="G551" s="131">
        <v>19.899999999999999</v>
      </c>
      <c r="H551" s="132">
        <v>547</v>
      </c>
      <c r="I551" s="132">
        <v>5090</v>
      </c>
      <c r="J551" s="135">
        <v>2.9</v>
      </c>
      <c r="K551" s="78"/>
      <c r="L551" s="78"/>
      <c r="M551" s="255"/>
      <c r="N551" s="255"/>
    </row>
    <row r="552" spans="1:14" s="55" customFormat="1" ht="11.1" customHeight="1" x14ac:dyDescent="0.2">
      <c r="B552" s="56" t="s">
        <v>638</v>
      </c>
      <c r="C552" s="136" t="s">
        <v>639</v>
      </c>
      <c r="F552" s="84"/>
      <c r="G552" s="131">
        <v>7.5</v>
      </c>
      <c r="H552" s="132">
        <v>207</v>
      </c>
      <c r="I552" s="132">
        <v>2070</v>
      </c>
      <c r="J552" s="135">
        <v>5.4</v>
      </c>
      <c r="K552" s="78"/>
      <c r="L552" s="78"/>
      <c r="M552" s="255"/>
      <c r="N552" s="255"/>
    </row>
    <row r="553" spans="1:14" s="55" customFormat="1" ht="11.1" customHeight="1" x14ac:dyDescent="0.2">
      <c r="B553" s="56"/>
      <c r="C553" s="136" t="s">
        <v>640</v>
      </c>
      <c r="D553" s="55" t="s">
        <v>641</v>
      </c>
      <c r="F553" s="84"/>
      <c r="G553" s="131">
        <v>0.5</v>
      </c>
      <c r="H553" s="132">
        <v>14</v>
      </c>
      <c r="I553" s="132">
        <v>130</v>
      </c>
      <c r="J553" s="135">
        <v>14.3</v>
      </c>
      <c r="K553" s="78"/>
      <c r="L553" s="78"/>
      <c r="M553" s="255"/>
      <c r="N553" s="255"/>
    </row>
    <row r="554" spans="1:14" s="55" customFormat="1" ht="11.1" customHeight="1" x14ac:dyDescent="0.2">
      <c r="B554" s="56"/>
      <c r="C554" s="136" t="s">
        <v>642</v>
      </c>
      <c r="D554" s="55" t="s">
        <v>643</v>
      </c>
      <c r="F554" s="84"/>
      <c r="G554" s="131">
        <v>1.3</v>
      </c>
      <c r="H554" s="132">
        <v>36</v>
      </c>
      <c r="I554" s="132">
        <v>750</v>
      </c>
      <c r="J554" s="135">
        <v>6.3</v>
      </c>
      <c r="K554" s="78"/>
      <c r="L554" s="78"/>
      <c r="M554" s="255"/>
      <c r="N554" s="255"/>
    </row>
    <row r="555" spans="1:14" s="55" customFormat="1" ht="11.1" customHeight="1" x14ac:dyDescent="0.2">
      <c r="B555" s="56"/>
      <c r="C555" s="136" t="s">
        <v>644</v>
      </c>
      <c r="D555" s="55" t="s">
        <v>645</v>
      </c>
      <c r="F555" s="84"/>
      <c r="G555" s="131">
        <v>2.9</v>
      </c>
      <c r="H555" s="132">
        <v>78</v>
      </c>
      <c r="I555" s="132">
        <v>1040</v>
      </c>
      <c r="J555" s="135">
        <v>11.6</v>
      </c>
      <c r="K555" s="78"/>
      <c r="L555" s="78"/>
      <c r="M555" s="255"/>
      <c r="N555" s="255"/>
    </row>
    <row r="556" spans="1:14" s="55" customFormat="1" ht="11.1" customHeight="1" x14ac:dyDescent="0.2">
      <c r="B556" s="56"/>
      <c r="C556" s="136" t="s">
        <v>646</v>
      </c>
      <c r="D556" s="55" t="s">
        <v>647</v>
      </c>
      <c r="F556" s="84"/>
      <c r="G556" s="131">
        <v>2.7</v>
      </c>
      <c r="H556" s="132">
        <v>75</v>
      </c>
      <c r="I556" s="132">
        <v>830</v>
      </c>
      <c r="J556" s="135">
        <v>6.1</v>
      </c>
      <c r="K556" s="78"/>
      <c r="L556" s="78"/>
      <c r="M556" s="255"/>
      <c r="N556" s="255"/>
    </row>
    <row r="557" spans="1:14" s="55" customFormat="1" ht="11.1" customHeight="1" x14ac:dyDescent="0.2">
      <c r="B557" s="56"/>
      <c r="C557" s="136" t="s">
        <v>648</v>
      </c>
      <c r="D557" s="55" t="s">
        <v>649</v>
      </c>
      <c r="F557" s="84"/>
      <c r="G557" s="131">
        <v>0.1</v>
      </c>
      <c r="H557" s="132">
        <v>3</v>
      </c>
      <c r="I557" s="132">
        <v>40</v>
      </c>
      <c r="J557" s="135">
        <v>27.7</v>
      </c>
      <c r="K557" s="78"/>
      <c r="L557" s="78"/>
      <c r="M557" s="255"/>
      <c r="N557" s="255"/>
    </row>
    <row r="558" spans="1:14" s="55" customFormat="1" ht="3.75" customHeight="1" x14ac:dyDescent="0.2">
      <c r="A558" s="56"/>
      <c r="B558" s="136"/>
      <c r="F558" s="84"/>
      <c r="G558" s="85"/>
      <c r="H558" s="86"/>
      <c r="I558" s="87"/>
      <c r="J558" s="231"/>
      <c r="K558" s="78"/>
      <c r="L558" s="78"/>
      <c r="M558" s="255"/>
      <c r="N558" s="255"/>
    </row>
    <row r="559" spans="1:14" s="55" customFormat="1" ht="11.1" customHeight="1" x14ac:dyDescent="0.2">
      <c r="B559" s="56" t="s">
        <v>650</v>
      </c>
      <c r="C559" s="136" t="s">
        <v>651</v>
      </c>
      <c r="F559" s="84"/>
      <c r="G559" s="131">
        <v>3.4</v>
      </c>
      <c r="H559" s="132">
        <v>94</v>
      </c>
      <c r="I559" s="132">
        <v>880</v>
      </c>
      <c r="J559" s="135">
        <v>6.8</v>
      </c>
      <c r="K559" s="78"/>
      <c r="L559" s="78"/>
      <c r="M559" s="255"/>
      <c r="N559" s="255"/>
    </row>
    <row r="560" spans="1:14" s="55" customFormat="1" ht="11.1" customHeight="1" x14ac:dyDescent="0.2">
      <c r="B560" s="56"/>
      <c r="C560" s="136" t="s">
        <v>652</v>
      </c>
      <c r="D560" s="55" t="s">
        <v>653</v>
      </c>
      <c r="F560" s="84"/>
      <c r="G560" s="131">
        <v>0.7</v>
      </c>
      <c r="H560" s="132">
        <v>21</v>
      </c>
      <c r="I560" s="132">
        <v>440</v>
      </c>
      <c r="J560" s="135">
        <v>6.1</v>
      </c>
      <c r="K560" s="78"/>
      <c r="L560" s="78"/>
      <c r="M560" s="255"/>
      <c r="N560" s="255"/>
    </row>
    <row r="561" spans="1:14" s="55" customFormat="1" ht="11.1" customHeight="1" x14ac:dyDescent="0.2">
      <c r="B561" s="56"/>
      <c r="C561" s="56" t="s">
        <v>654</v>
      </c>
      <c r="D561" s="56" t="s">
        <v>655</v>
      </c>
      <c r="E561" s="56"/>
      <c r="F561" s="84"/>
      <c r="G561" s="131">
        <v>1.9</v>
      </c>
      <c r="H561" s="132">
        <v>53</v>
      </c>
      <c r="I561" s="132">
        <v>300</v>
      </c>
      <c r="J561" s="135">
        <v>11.4</v>
      </c>
      <c r="K561" s="78"/>
      <c r="L561" s="78"/>
      <c r="M561" s="255"/>
      <c r="N561" s="255"/>
    </row>
    <row r="562" spans="1:14" s="55" customFormat="1" ht="11.1" customHeight="1" x14ac:dyDescent="0.2">
      <c r="B562" s="56"/>
      <c r="C562" s="56" t="s">
        <v>656</v>
      </c>
      <c r="D562" s="56" t="s">
        <v>657</v>
      </c>
      <c r="E562" s="56"/>
      <c r="F562" s="84"/>
      <c r="G562" s="131">
        <v>0.8</v>
      </c>
      <c r="H562" s="132">
        <v>21</v>
      </c>
      <c r="I562" s="132">
        <v>250</v>
      </c>
      <c r="J562" s="135">
        <v>10.3</v>
      </c>
      <c r="K562" s="78"/>
      <c r="L562" s="78"/>
      <c r="M562" s="255"/>
      <c r="N562" s="255"/>
    </row>
    <row r="563" spans="1:14" s="55" customFormat="1" ht="3.75" customHeight="1" x14ac:dyDescent="0.2">
      <c r="B563" s="56"/>
      <c r="C563" s="56"/>
      <c r="F563" s="84"/>
      <c r="G563" s="85"/>
      <c r="H563" s="86"/>
      <c r="I563" s="87"/>
      <c r="J563" s="231"/>
      <c r="K563" s="78"/>
      <c r="L563" s="78"/>
      <c r="M563" s="255"/>
      <c r="N563" s="255"/>
    </row>
    <row r="564" spans="1:14" s="149" customFormat="1" ht="11.1" customHeight="1" x14ac:dyDescent="0.2">
      <c r="B564" s="56" t="s">
        <v>658</v>
      </c>
      <c r="C564" s="56" t="s">
        <v>659</v>
      </c>
      <c r="D564" s="56"/>
      <c r="E564" s="56"/>
      <c r="F564" s="84"/>
      <c r="G564" s="131">
        <v>4.5</v>
      </c>
      <c r="H564" s="132">
        <v>124</v>
      </c>
      <c r="I564" s="132">
        <v>4680</v>
      </c>
      <c r="J564" s="135">
        <v>1.6</v>
      </c>
      <c r="K564" s="78"/>
      <c r="L564" s="78"/>
      <c r="M564" s="255"/>
      <c r="N564" s="255"/>
    </row>
    <row r="565" spans="1:14" s="55" customFormat="1" ht="11.1" customHeight="1" x14ac:dyDescent="0.2">
      <c r="B565" s="56"/>
      <c r="C565" s="56" t="s">
        <v>660</v>
      </c>
      <c r="D565" s="56" t="s">
        <v>661</v>
      </c>
      <c r="E565" s="56"/>
      <c r="F565" s="84"/>
      <c r="G565" s="131">
        <v>2.2000000000000002</v>
      </c>
      <c r="H565" s="132">
        <v>61</v>
      </c>
      <c r="I565" s="132">
        <v>4460</v>
      </c>
      <c r="J565" s="135">
        <v>0.7</v>
      </c>
      <c r="K565" s="78"/>
      <c r="L565" s="78"/>
      <c r="M565" s="255"/>
      <c r="N565" s="255"/>
    </row>
    <row r="566" spans="1:14" s="55" customFormat="1" ht="11.1" customHeight="1" x14ac:dyDescent="0.2">
      <c r="B566" s="56"/>
      <c r="C566" s="56" t="s">
        <v>662</v>
      </c>
      <c r="D566" s="55" t="s">
        <v>663</v>
      </c>
      <c r="F566" s="84"/>
      <c r="G566" s="131">
        <v>1.3</v>
      </c>
      <c r="H566" s="132">
        <v>36</v>
      </c>
      <c r="I566" s="132">
        <v>650</v>
      </c>
      <c r="J566" s="135">
        <v>4.5999999999999996</v>
      </c>
      <c r="K566" s="78"/>
      <c r="L566" s="78"/>
      <c r="M566" s="255"/>
      <c r="N566" s="255"/>
    </row>
    <row r="567" spans="1:14" s="55" customFormat="1" ht="11.1" customHeight="1" x14ac:dyDescent="0.2">
      <c r="B567" s="56"/>
      <c r="C567" s="56" t="s">
        <v>664</v>
      </c>
      <c r="D567" s="56" t="s">
        <v>665</v>
      </c>
      <c r="E567" s="56"/>
      <c r="F567" s="84"/>
      <c r="G567" s="202">
        <v>0</v>
      </c>
      <c r="H567" s="273">
        <v>0</v>
      </c>
      <c r="I567" s="132">
        <v>20</v>
      </c>
      <c r="J567" s="135">
        <v>30.2</v>
      </c>
      <c r="K567" s="78"/>
      <c r="L567" s="78"/>
      <c r="M567" s="255"/>
      <c r="N567" s="255"/>
    </row>
    <row r="568" spans="1:14" s="55" customFormat="1" ht="11.1" customHeight="1" x14ac:dyDescent="0.2">
      <c r="B568" s="56"/>
      <c r="C568" s="56" t="s">
        <v>666</v>
      </c>
      <c r="D568" s="55" t="s">
        <v>667</v>
      </c>
      <c r="F568" s="84"/>
      <c r="G568" s="131">
        <v>0.1</v>
      </c>
      <c r="H568" s="132">
        <v>4</v>
      </c>
      <c r="I568" s="132">
        <v>70</v>
      </c>
      <c r="J568" s="135">
        <v>17.100000000000001</v>
      </c>
      <c r="K568" s="78"/>
      <c r="L568" s="78"/>
      <c r="M568" s="255"/>
      <c r="N568" s="255"/>
    </row>
    <row r="569" spans="1:14" s="55" customFormat="1" ht="11.1" customHeight="1" x14ac:dyDescent="0.2">
      <c r="B569" s="56"/>
      <c r="C569" s="56" t="s">
        <v>668</v>
      </c>
      <c r="D569" s="56" t="s">
        <v>669</v>
      </c>
      <c r="E569" s="56"/>
      <c r="F569" s="84"/>
      <c r="G569" s="138" t="s">
        <v>230</v>
      </c>
      <c r="H569" s="139" t="s">
        <v>230</v>
      </c>
      <c r="I569" s="139" t="s">
        <v>230</v>
      </c>
      <c r="J569" s="135" t="s">
        <v>230</v>
      </c>
      <c r="K569" s="78"/>
      <c r="L569" s="78"/>
      <c r="M569" s="255"/>
      <c r="N569" s="255"/>
    </row>
    <row r="570" spans="1:14" s="55" customFormat="1" ht="11.1" customHeight="1" x14ac:dyDescent="0.2">
      <c r="B570" s="56"/>
      <c r="C570" s="56" t="s">
        <v>670</v>
      </c>
      <c r="D570" s="56" t="s">
        <v>671</v>
      </c>
      <c r="E570" s="56"/>
      <c r="F570" s="84"/>
      <c r="G570" s="131">
        <v>0.8</v>
      </c>
      <c r="H570" s="132">
        <v>22</v>
      </c>
      <c r="I570" s="132">
        <v>1360</v>
      </c>
      <c r="J570" s="135">
        <v>3.3</v>
      </c>
      <c r="K570" s="78"/>
      <c r="L570" s="78"/>
      <c r="M570" s="255"/>
      <c r="N570" s="255"/>
    </row>
    <row r="571" spans="1:14" s="55" customFormat="1" ht="3.75" customHeight="1" x14ac:dyDescent="0.2">
      <c r="B571" s="56"/>
      <c r="C571" s="56"/>
      <c r="F571" s="84"/>
      <c r="G571" s="85"/>
      <c r="H571" s="86"/>
      <c r="I571" s="87"/>
      <c r="J571" s="231"/>
      <c r="K571" s="78"/>
      <c r="L571" s="78"/>
      <c r="M571" s="255"/>
      <c r="N571" s="255"/>
    </row>
    <row r="572" spans="1:14" s="55" customFormat="1" ht="11.1" customHeight="1" x14ac:dyDescent="0.2">
      <c r="B572" s="56" t="s">
        <v>672</v>
      </c>
      <c r="C572" s="56" t="s">
        <v>673</v>
      </c>
      <c r="F572" s="84"/>
      <c r="G572" s="131">
        <v>1.7</v>
      </c>
      <c r="H572" s="132">
        <v>45</v>
      </c>
      <c r="I572" s="132">
        <v>1080</v>
      </c>
      <c r="J572" s="135">
        <v>8.6999999999999993</v>
      </c>
      <c r="K572" s="78"/>
      <c r="L572" s="78"/>
      <c r="M572" s="255"/>
      <c r="N572" s="255"/>
    </row>
    <row r="573" spans="1:14" s="55" customFormat="1" ht="11.1" customHeight="1" x14ac:dyDescent="0.2">
      <c r="B573" s="56"/>
      <c r="C573" s="56" t="s">
        <v>674</v>
      </c>
      <c r="D573" s="56" t="s">
        <v>675</v>
      </c>
      <c r="E573" s="56"/>
      <c r="F573" s="84"/>
      <c r="G573" s="131">
        <v>0.9</v>
      </c>
      <c r="H573" s="132">
        <v>23</v>
      </c>
      <c r="I573" s="132">
        <v>440</v>
      </c>
      <c r="J573" s="135">
        <v>12.9</v>
      </c>
      <c r="K573" s="78"/>
      <c r="L573" s="78"/>
      <c r="M573" s="255"/>
      <c r="N573" s="255"/>
    </row>
    <row r="574" spans="1:14" s="55" customFormat="1" ht="11.1" customHeight="1" x14ac:dyDescent="0.2">
      <c r="B574" s="56"/>
      <c r="C574" s="136" t="s">
        <v>676</v>
      </c>
      <c r="D574" s="55" t="s">
        <v>677</v>
      </c>
      <c r="F574" s="84"/>
      <c r="G574" s="131">
        <v>0.2</v>
      </c>
      <c r="H574" s="132">
        <v>6</v>
      </c>
      <c r="I574" s="132">
        <v>150</v>
      </c>
      <c r="J574" s="135">
        <v>23.2</v>
      </c>
      <c r="K574" s="78"/>
      <c r="L574" s="78"/>
      <c r="M574" s="255"/>
      <c r="N574" s="255"/>
    </row>
    <row r="575" spans="1:14" s="55" customFormat="1" ht="11.1" customHeight="1" x14ac:dyDescent="0.2">
      <c r="B575" s="56"/>
      <c r="C575" s="136" t="s">
        <v>678</v>
      </c>
      <c r="D575" s="55" t="s">
        <v>679</v>
      </c>
      <c r="F575" s="84"/>
      <c r="G575" s="131">
        <v>0.6</v>
      </c>
      <c r="H575" s="132">
        <v>16</v>
      </c>
      <c r="I575" s="132">
        <v>620</v>
      </c>
      <c r="J575" s="135">
        <v>12</v>
      </c>
      <c r="K575" s="78"/>
      <c r="L575" s="78"/>
      <c r="M575" s="255"/>
      <c r="N575" s="255"/>
    </row>
    <row r="576" spans="1:14" s="55" customFormat="1" ht="3.75" customHeight="1" x14ac:dyDescent="0.2">
      <c r="A576" s="56"/>
      <c r="B576" s="136"/>
      <c r="F576" s="84"/>
      <c r="G576" s="107"/>
      <c r="H576" s="86"/>
      <c r="I576" s="87"/>
      <c r="J576" s="231"/>
      <c r="K576" s="78"/>
      <c r="L576" s="78"/>
      <c r="M576" s="255"/>
      <c r="N576" s="255"/>
    </row>
    <row r="577" spans="1:14" s="55" customFormat="1" ht="11.1" customHeight="1" x14ac:dyDescent="0.2">
      <c r="B577" s="56" t="s">
        <v>680</v>
      </c>
      <c r="C577" s="136" t="s">
        <v>681</v>
      </c>
      <c r="F577" s="84"/>
      <c r="G577" s="107"/>
      <c r="H577" s="108"/>
      <c r="I577" s="109"/>
      <c r="J577" s="231"/>
      <c r="K577" s="78"/>
      <c r="L577" s="78"/>
      <c r="M577" s="255"/>
      <c r="N577" s="255"/>
    </row>
    <row r="578" spans="1:14" s="55" customFormat="1" ht="11.1" customHeight="1" x14ac:dyDescent="0.2">
      <c r="B578" s="56"/>
      <c r="C578" s="136" t="s">
        <v>682</v>
      </c>
      <c r="F578" s="84"/>
      <c r="G578" s="131">
        <v>0.2</v>
      </c>
      <c r="H578" s="132">
        <v>5</v>
      </c>
      <c r="I578" s="132">
        <v>140</v>
      </c>
      <c r="J578" s="135">
        <v>16.2</v>
      </c>
      <c r="K578" s="78"/>
      <c r="L578" s="78"/>
      <c r="M578" s="255"/>
      <c r="N578" s="255"/>
    </row>
    <row r="579" spans="1:14" s="55" customFormat="1" ht="3.75" customHeight="1" x14ac:dyDescent="0.2">
      <c r="A579" s="80"/>
      <c r="B579" s="80"/>
      <c r="C579" s="79"/>
      <c r="D579" s="219"/>
      <c r="E579" s="219"/>
      <c r="F579" s="219"/>
      <c r="G579" s="107"/>
      <c r="H579" s="108"/>
      <c r="I579" s="109"/>
      <c r="J579" s="231"/>
      <c r="K579" s="78"/>
      <c r="L579" s="78"/>
      <c r="M579" s="255"/>
      <c r="N579" s="255"/>
    </row>
    <row r="580" spans="1:14" s="55" customFormat="1" ht="11.1" customHeight="1" x14ac:dyDescent="0.2">
      <c r="A580" s="56"/>
      <c r="B580" s="56" t="s">
        <v>683</v>
      </c>
      <c r="C580" s="136" t="s">
        <v>684</v>
      </c>
      <c r="F580" s="84"/>
      <c r="G580" s="131">
        <v>2.6</v>
      </c>
      <c r="H580" s="132">
        <v>71</v>
      </c>
      <c r="I580" s="132">
        <v>1820</v>
      </c>
      <c r="J580" s="135">
        <v>5.5</v>
      </c>
      <c r="K580" s="78"/>
      <c r="L580" s="78"/>
      <c r="M580" s="255"/>
      <c r="N580" s="255"/>
    </row>
    <row r="581" spans="1:14" s="55" customFormat="1" ht="11.1" customHeight="1" x14ac:dyDescent="0.2">
      <c r="A581" s="56"/>
      <c r="B581" s="56"/>
      <c r="C581" s="56" t="s">
        <v>685</v>
      </c>
      <c r="D581" s="84" t="s">
        <v>686</v>
      </c>
      <c r="E581" s="84"/>
      <c r="F581" s="84"/>
      <c r="G581" s="145">
        <v>0</v>
      </c>
      <c r="H581" s="132">
        <v>1</v>
      </c>
      <c r="I581" s="132">
        <v>30</v>
      </c>
      <c r="J581" s="135">
        <v>24.1</v>
      </c>
      <c r="K581" s="78"/>
      <c r="L581" s="78"/>
      <c r="M581" s="255"/>
      <c r="N581" s="255"/>
    </row>
    <row r="582" spans="1:14" s="55" customFormat="1" ht="11.1" customHeight="1" x14ac:dyDescent="0.2">
      <c r="A582" s="56"/>
      <c r="B582" s="56"/>
      <c r="C582" s="56" t="s">
        <v>687</v>
      </c>
      <c r="D582" s="56" t="s">
        <v>688</v>
      </c>
      <c r="E582" s="56"/>
      <c r="F582" s="84"/>
      <c r="G582" s="131">
        <v>0.2</v>
      </c>
      <c r="H582" s="132">
        <v>5</v>
      </c>
      <c r="I582" s="132">
        <v>110</v>
      </c>
      <c r="J582" s="135">
        <v>15.4</v>
      </c>
      <c r="K582" s="78"/>
      <c r="L582" s="78"/>
      <c r="M582" s="255"/>
      <c r="N582" s="255"/>
    </row>
    <row r="583" spans="1:14" s="55" customFormat="1" ht="11.1" customHeight="1" x14ac:dyDescent="0.2">
      <c r="A583" s="56"/>
      <c r="C583" s="136" t="s">
        <v>689</v>
      </c>
      <c r="D583" s="55" t="s">
        <v>690</v>
      </c>
      <c r="F583" s="84"/>
      <c r="G583" s="131">
        <v>1.7</v>
      </c>
      <c r="H583" s="132">
        <v>46</v>
      </c>
      <c r="I583" s="132">
        <v>1530</v>
      </c>
      <c r="J583" s="135">
        <v>4.0999999999999996</v>
      </c>
      <c r="K583" s="78"/>
      <c r="L583" s="78"/>
      <c r="M583" s="255"/>
      <c r="N583" s="255"/>
    </row>
    <row r="584" spans="1:14" s="55" customFormat="1" ht="11.1" customHeight="1" x14ac:dyDescent="0.2">
      <c r="A584" s="56"/>
      <c r="C584" s="136" t="s">
        <v>691</v>
      </c>
      <c r="D584" s="55" t="s">
        <v>692</v>
      </c>
      <c r="F584" s="84"/>
      <c r="G584" s="131">
        <v>0.7</v>
      </c>
      <c r="H584" s="132">
        <v>19</v>
      </c>
      <c r="I584" s="132">
        <v>430</v>
      </c>
      <c r="J584" s="135">
        <v>15.7</v>
      </c>
      <c r="K584" s="78"/>
      <c r="L584" s="78"/>
      <c r="M584" s="255"/>
      <c r="N584" s="255"/>
    </row>
    <row r="585" spans="1:14" ht="3.75" customHeight="1" x14ac:dyDescent="0.2">
      <c r="A585" s="56"/>
      <c r="B585" s="56"/>
      <c r="C585" s="55"/>
      <c r="D585" s="55"/>
      <c r="E585" s="55"/>
      <c r="F585" s="84"/>
      <c r="G585" s="85"/>
      <c r="H585" s="86"/>
      <c r="I585" s="87"/>
      <c r="J585" s="231"/>
      <c r="K585" s="78"/>
      <c r="L585" s="78"/>
      <c r="M585" s="255"/>
      <c r="N585" s="255"/>
    </row>
    <row r="586" spans="1:14" ht="11.1" customHeight="1" x14ac:dyDescent="0.2">
      <c r="A586" s="80">
        <v>9.5</v>
      </c>
      <c r="B586" s="80" t="s">
        <v>693</v>
      </c>
      <c r="D586" s="79"/>
      <c r="E586" s="79"/>
      <c r="G586" s="131">
        <v>5.3</v>
      </c>
      <c r="H586" s="132">
        <v>146</v>
      </c>
      <c r="I586" s="132">
        <v>4000</v>
      </c>
      <c r="J586" s="135">
        <v>2.4</v>
      </c>
      <c r="K586" s="78"/>
      <c r="L586" s="78"/>
      <c r="M586" s="255"/>
      <c r="N586" s="255"/>
    </row>
    <row r="587" spans="1:14" s="143" customFormat="1" ht="11.1" customHeight="1" x14ac:dyDescent="0.2">
      <c r="A587" s="55"/>
      <c r="B587" s="56" t="s">
        <v>694</v>
      </c>
      <c r="C587" s="143" t="s">
        <v>695</v>
      </c>
      <c r="D587" s="55"/>
      <c r="E587" s="55"/>
      <c r="F587" s="84"/>
      <c r="G587" s="131">
        <v>1.2</v>
      </c>
      <c r="H587" s="132">
        <v>33</v>
      </c>
      <c r="I587" s="132">
        <v>1050</v>
      </c>
      <c r="J587" s="135">
        <v>4.9000000000000004</v>
      </c>
      <c r="K587" s="78"/>
      <c r="L587" s="78"/>
      <c r="M587" s="255"/>
      <c r="N587" s="255"/>
    </row>
    <row r="588" spans="1:14" s="55" customFormat="1" ht="11.1" customHeight="1" x14ac:dyDescent="0.2">
      <c r="A588" s="56"/>
      <c r="B588" s="55" t="s">
        <v>696</v>
      </c>
      <c r="C588" s="56" t="s">
        <v>697</v>
      </c>
      <c r="E588" s="56"/>
      <c r="F588" s="84"/>
      <c r="G588" s="131">
        <v>0.8</v>
      </c>
      <c r="H588" s="132">
        <v>23</v>
      </c>
      <c r="I588" s="132">
        <v>1330</v>
      </c>
      <c r="J588" s="135">
        <v>5</v>
      </c>
      <c r="K588" s="78"/>
      <c r="L588" s="78"/>
      <c r="M588" s="255"/>
      <c r="N588" s="255"/>
    </row>
    <row r="589" spans="1:14" s="55" customFormat="1" ht="11.1" customHeight="1" x14ac:dyDescent="0.2">
      <c r="A589" s="56"/>
      <c r="B589" s="55" t="s">
        <v>698</v>
      </c>
      <c r="C589" s="56" t="s">
        <v>699</v>
      </c>
      <c r="E589" s="56"/>
      <c r="F589" s="84"/>
      <c r="G589" s="131">
        <v>1.2</v>
      </c>
      <c r="H589" s="132">
        <v>34</v>
      </c>
      <c r="I589" s="132">
        <v>2310</v>
      </c>
      <c r="J589" s="135">
        <v>3.3</v>
      </c>
      <c r="K589" s="78"/>
      <c r="L589" s="78"/>
      <c r="M589" s="255"/>
      <c r="N589" s="255"/>
    </row>
    <row r="590" spans="1:14" s="55" customFormat="1" ht="11.1" customHeight="1" x14ac:dyDescent="0.2">
      <c r="A590" s="56"/>
      <c r="B590" s="55" t="s">
        <v>700</v>
      </c>
      <c r="C590" s="56" t="s">
        <v>701</v>
      </c>
      <c r="E590" s="56"/>
      <c r="F590" s="84"/>
      <c r="G590" s="131">
        <v>1.4</v>
      </c>
      <c r="H590" s="132">
        <v>38</v>
      </c>
      <c r="I590" s="132">
        <v>1840</v>
      </c>
      <c r="J590" s="135">
        <v>4</v>
      </c>
      <c r="K590" s="78"/>
      <c r="L590" s="78"/>
      <c r="M590" s="255"/>
      <c r="N590" s="255"/>
    </row>
    <row r="591" spans="1:14" s="55" customFormat="1" ht="11.25" customHeight="1" x14ac:dyDescent="0.2">
      <c r="A591" s="56"/>
      <c r="B591" s="55" t="s">
        <v>702</v>
      </c>
      <c r="C591" s="56" t="s">
        <v>703</v>
      </c>
      <c r="F591" s="84"/>
      <c r="G591" s="131">
        <v>0.6</v>
      </c>
      <c r="H591" s="132">
        <v>17</v>
      </c>
      <c r="I591" s="132">
        <v>1340</v>
      </c>
      <c r="J591" s="135">
        <v>4.9000000000000004</v>
      </c>
      <c r="K591" s="78"/>
      <c r="L591" s="78"/>
      <c r="M591" s="255"/>
      <c r="N591" s="255"/>
    </row>
    <row r="592" spans="1:14" s="55" customFormat="1" ht="3.75" customHeight="1" x14ac:dyDescent="0.2">
      <c r="A592" s="56"/>
      <c r="B592" s="56"/>
      <c r="C592" s="56"/>
      <c r="F592" s="84"/>
      <c r="G592" s="85"/>
      <c r="H592" s="108"/>
      <c r="I592" s="87"/>
      <c r="J592" s="231"/>
      <c r="K592" s="78"/>
      <c r="L592" s="78"/>
      <c r="M592" s="255"/>
      <c r="N592" s="255"/>
    </row>
    <row r="593" spans="1:14" ht="11.1" customHeight="1" x14ac:dyDescent="0.2">
      <c r="A593" s="80">
        <v>9.6</v>
      </c>
      <c r="B593" s="129" t="s">
        <v>704</v>
      </c>
      <c r="C593" s="80"/>
      <c r="D593" s="79"/>
      <c r="E593" s="79"/>
      <c r="G593" s="131">
        <v>30.4</v>
      </c>
      <c r="H593" s="132">
        <v>837</v>
      </c>
      <c r="I593" s="132">
        <v>1160</v>
      </c>
      <c r="J593" s="135">
        <v>4.5</v>
      </c>
      <c r="K593" s="78"/>
      <c r="L593" s="78"/>
      <c r="M593" s="255"/>
      <c r="N593" s="255"/>
    </row>
    <row r="594" spans="1:14" s="55" customFormat="1" ht="11.1" customHeight="1" x14ac:dyDescent="0.2">
      <c r="B594" s="56" t="s">
        <v>705</v>
      </c>
      <c r="C594" s="56" t="s">
        <v>706</v>
      </c>
      <c r="F594" s="84"/>
      <c r="G594" s="131">
        <v>2.1</v>
      </c>
      <c r="H594" s="132">
        <v>57</v>
      </c>
      <c r="I594" s="132">
        <v>230</v>
      </c>
      <c r="J594" s="135">
        <v>9.1</v>
      </c>
      <c r="K594" s="78"/>
      <c r="L594" s="78"/>
      <c r="M594" s="255"/>
      <c r="N594" s="255"/>
    </row>
    <row r="595" spans="1:14" s="55" customFormat="1" ht="11.1" customHeight="1" x14ac:dyDescent="0.2">
      <c r="B595" s="56" t="s">
        <v>707</v>
      </c>
      <c r="C595" s="56" t="s">
        <v>708</v>
      </c>
      <c r="F595" s="84"/>
      <c r="G595" s="131">
        <v>28.4</v>
      </c>
      <c r="H595" s="132">
        <v>779</v>
      </c>
      <c r="I595" s="132">
        <v>990</v>
      </c>
      <c r="J595" s="135">
        <v>4.7</v>
      </c>
      <c r="K595" s="78"/>
      <c r="L595" s="78"/>
      <c r="M595" s="255"/>
      <c r="N595" s="255"/>
    </row>
    <row r="596" spans="1:14" s="55" customFormat="1" ht="3" customHeight="1" x14ac:dyDescent="0.2">
      <c r="A596" s="45"/>
      <c r="B596" s="45"/>
      <c r="C596" s="45"/>
      <c r="D596" s="47"/>
      <c r="E596" s="47"/>
      <c r="F596" s="48"/>
      <c r="G596" s="74"/>
      <c r="H596" s="299"/>
      <c r="I596" s="76"/>
      <c r="J596" s="258"/>
      <c r="K596" s="78"/>
      <c r="L596" s="78"/>
      <c r="M596" s="255"/>
      <c r="N596" s="255"/>
    </row>
    <row r="597" spans="1:14" ht="3" customHeight="1" x14ac:dyDescent="0.2">
      <c r="A597" s="56"/>
      <c r="B597" s="136"/>
      <c r="C597" s="56"/>
      <c r="D597" s="55"/>
      <c r="E597" s="55"/>
      <c r="F597" s="84"/>
      <c r="G597" s="175"/>
      <c r="H597" s="300"/>
      <c r="I597" s="177"/>
      <c r="J597" s="301"/>
      <c r="K597" s="78"/>
      <c r="L597" s="78"/>
      <c r="M597" s="255"/>
      <c r="N597" s="255"/>
    </row>
    <row r="598" spans="1:14" s="128" customFormat="1" ht="12.75" customHeight="1" x14ac:dyDescent="0.2">
      <c r="A598" s="188">
        <v>10</v>
      </c>
      <c r="B598" s="120" t="s">
        <v>16</v>
      </c>
      <c r="C598" s="188"/>
      <c r="D598" s="121"/>
      <c r="E598" s="121"/>
      <c r="F598" s="259"/>
      <c r="G598" s="123">
        <v>5.7</v>
      </c>
      <c r="H598" s="124">
        <v>155</v>
      </c>
      <c r="I598" s="124">
        <v>260</v>
      </c>
      <c r="J598" s="125">
        <v>16.600000000000001</v>
      </c>
      <c r="K598" s="78"/>
      <c r="L598" s="78"/>
      <c r="M598" s="255"/>
      <c r="N598" s="255"/>
    </row>
    <row r="599" spans="1:14" s="55" customFormat="1" ht="4.5" customHeight="1" x14ac:dyDescent="0.2">
      <c r="A599" s="80"/>
      <c r="B599" s="129"/>
      <c r="C599" s="80"/>
      <c r="D599" s="79"/>
      <c r="E599" s="79"/>
      <c r="F599" s="219"/>
      <c r="G599" s="85"/>
      <c r="H599" s="86"/>
      <c r="I599" s="87"/>
      <c r="J599" s="231"/>
      <c r="K599" s="78"/>
      <c r="L599" s="78"/>
      <c r="M599" s="255"/>
      <c r="N599" s="255"/>
    </row>
    <row r="600" spans="1:14" ht="11.1" customHeight="1" x14ac:dyDescent="0.2">
      <c r="A600" s="302">
        <v>10.1</v>
      </c>
      <c r="B600" s="80" t="s">
        <v>709</v>
      </c>
      <c r="C600" s="80"/>
      <c r="D600" s="79"/>
      <c r="E600" s="79"/>
      <c r="G600" s="131">
        <v>5</v>
      </c>
      <c r="H600" s="132">
        <v>139</v>
      </c>
      <c r="I600" s="132">
        <v>170</v>
      </c>
      <c r="J600" s="135">
        <v>17.8</v>
      </c>
      <c r="K600" s="78"/>
      <c r="L600" s="78"/>
      <c r="M600" s="255"/>
      <c r="N600" s="255"/>
    </row>
    <row r="601" spans="1:14" ht="11.1" customHeight="1" x14ac:dyDescent="0.2">
      <c r="A601" s="302"/>
      <c r="B601" s="56" t="s">
        <v>710</v>
      </c>
      <c r="C601" s="136" t="s">
        <v>711</v>
      </c>
      <c r="D601" s="79"/>
      <c r="E601" s="79"/>
      <c r="G601" s="131">
        <v>1.2</v>
      </c>
      <c r="H601" s="132">
        <v>33</v>
      </c>
      <c r="I601" s="132">
        <v>20</v>
      </c>
      <c r="J601" s="135">
        <v>41.3</v>
      </c>
      <c r="K601" s="78"/>
      <c r="L601" s="78"/>
      <c r="M601" s="255"/>
      <c r="N601" s="255"/>
    </row>
    <row r="602" spans="1:14" ht="11.1" customHeight="1" x14ac:dyDescent="0.2">
      <c r="A602" s="302"/>
      <c r="B602" s="56" t="s">
        <v>712</v>
      </c>
      <c r="C602" s="56" t="s">
        <v>713</v>
      </c>
      <c r="D602" s="79"/>
      <c r="E602" s="79"/>
      <c r="G602" s="131">
        <v>0.6</v>
      </c>
      <c r="H602" s="132">
        <v>16</v>
      </c>
      <c r="I602" s="132">
        <v>20</v>
      </c>
      <c r="J602" s="135">
        <v>41.1</v>
      </c>
      <c r="K602" s="78"/>
      <c r="L602" s="78"/>
      <c r="M602" s="255"/>
      <c r="N602" s="255"/>
    </row>
    <row r="603" spans="1:14" ht="11.1" customHeight="1" x14ac:dyDescent="0.2">
      <c r="A603" s="302"/>
      <c r="B603" s="56" t="s">
        <v>714</v>
      </c>
      <c r="C603" s="56" t="s">
        <v>715</v>
      </c>
      <c r="D603" s="79"/>
      <c r="E603" s="79"/>
      <c r="G603" s="131">
        <v>0.2</v>
      </c>
      <c r="H603" s="132">
        <v>5</v>
      </c>
      <c r="I603" s="132">
        <v>30</v>
      </c>
      <c r="J603" s="135">
        <v>33.4</v>
      </c>
      <c r="K603" s="78"/>
      <c r="L603" s="78"/>
      <c r="M603" s="255"/>
      <c r="N603" s="255"/>
    </row>
    <row r="604" spans="1:14" ht="11.1" customHeight="1" x14ac:dyDescent="0.2">
      <c r="A604" s="302"/>
      <c r="B604" s="56" t="s">
        <v>716</v>
      </c>
      <c r="C604" s="56" t="s">
        <v>717</v>
      </c>
      <c r="D604" s="79"/>
      <c r="E604" s="79"/>
      <c r="G604" s="131">
        <v>2.7</v>
      </c>
      <c r="H604" s="132">
        <v>73</v>
      </c>
      <c r="I604" s="132">
        <v>60</v>
      </c>
      <c r="J604" s="135">
        <v>23.7</v>
      </c>
      <c r="K604" s="78"/>
      <c r="L604" s="78"/>
      <c r="M604" s="255"/>
      <c r="N604" s="255"/>
    </row>
    <row r="605" spans="1:14" ht="11.1" customHeight="1" x14ac:dyDescent="0.2">
      <c r="A605" s="302"/>
      <c r="B605" s="56" t="s">
        <v>718</v>
      </c>
      <c r="C605" s="136" t="s">
        <v>719</v>
      </c>
      <c r="D605" s="79"/>
      <c r="E605" s="79"/>
      <c r="G605" s="131">
        <v>0.4</v>
      </c>
      <c r="H605" s="132">
        <v>11</v>
      </c>
      <c r="I605" s="132">
        <v>50</v>
      </c>
      <c r="J605" s="135">
        <v>26.3</v>
      </c>
      <c r="K605" s="78"/>
      <c r="L605" s="78"/>
      <c r="M605" s="255"/>
      <c r="N605" s="255"/>
    </row>
    <row r="606" spans="1:14" s="55" customFormat="1" ht="3.75" customHeight="1" x14ac:dyDescent="0.2">
      <c r="A606" s="56"/>
      <c r="B606" s="56"/>
      <c r="C606" s="56"/>
      <c r="F606" s="84"/>
      <c r="G606" s="85"/>
      <c r="H606" s="86"/>
      <c r="I606" s="86"/>
      <c r="J606" s="231"/>
      <c r="K606" s="78"/>
      <c r="L606" s="78"/>
      <c r="M606" s="255"/>
      <c r="N606" s="255"/>
    </row>
    <row r="607" spans="1:14" ht="11.1" customHeight="1" x14ac:dyDescent="0.2">
      <c r="A607" s="302">
        <v>10.199999999999999</v>
      </c>
      <c r="B607" s="80" t="s">
        <v>720</v>
      </c>
      <c r="D607" s="79"/>
      <c r="E607" s="79"/>
      <c r="G607" s="131">
        <v>0.6</v>
      </c>
      <c r="H607" s="132">
        <v>17</v>
      </c>
      <c r="I607" s="132">
        <v>100</v>
      </c>
      <c r="J607" s="135">
        <v>24.7</v>
      </c>
      <c r="K607" s="78"/>
      <c r="L607" s="78"/>
      <c r="M607" s="255"/>
      <c r="N607" s="255"/>
    </row>
    <row r="608" spans="1:14" s="55" customFormat="1" ht="11.1" customHeight="1" x14ac:dyDescent="0.2">
      <c r="A608" s="56"/>
      <c r="B608" s="56" t="s">
        <v>721</v>
      </c>
      <c r="C608" s="136" t="s">
        <v>711</v>
      </c>
      <c r="F608" s="84"/>
      <c r="G608" s="131">
        <v>0.2</v>
      </c>
      <c r="H608" s="132">
        <v>6</v>
      </c>
      <c r="I608" s="132">
        <v>50</v>
      </c>
      <c r="J608" s="135">
        <v>30.9</v>
      </c>
      <c r="K608" s="78"/>
      <c r="L608" s="78"/>
      <c r="M608" s="255"/>
      <c r="N608" s="255"/>
    </row>
    <row r="609" spans="1:14" s="55" customFormat="1" ht="11.1" customHeight="1" x14ac:dyDescent="0.2">
      <c r="A609" s="56"/>
      <c r="B609" s="56" t="s">
        <v>722</v>
      </c>
      <c r="C609" s="56" t="s">
        <v>713</v>
      </c>
      <c r="F609" s="84"/>
      <c r="G609" s="131">
        <v>0.1</v>
      </c>
      <c r="H609" s="132">
        <v>4</v>
      </c>
      <c r="I609" s="132">
        <v>40</v>
      </c>
      <c r="J609" s="135">
        <v>30.9</v>
      </c>
      <c r="K609" s="78"/>
      <c r="L609" s="78"/>
      <c r="M609" s="255"/>
      <c r="N609" s="255"/>
    </row>
    <row r="610" spans="1:14" s="55" customFormat="1" ht="11.1" customHeight="1" x14ac:dyDescent="0.2">
      <c r="A610" s="56"/>
      <c r="B610" s="56" t="s">
        <v>723</v>
      </c>
      <c r="C610" s="56" t="s">
        <v>715</v>
      </c>
      <c r="F610" s="84"/>
      <c r="G610" s="138" t="s">
        <v>367</v>
      </c>
      <c r="H610" s="139" t="s">
        <v>367</v>
      </c>
      <c r="I610" s="139" t="s">
        <v>367</v>
      </c>
      <c r="J610" s="135" t="s">
        <v>230</v>
      </c>
      <c r="K610" s="78"/>
      <c r="L610" s="78"/>
      <c r="M610" s="255"/>
      <c r="N610" s="255"/>
    </row>
    <row r="611" spans="1:14" s="55" customFormat="1" ht="11.1" customHeight="1" x14ac:dyDescent="0.2">
      <c r="A611" s="56"/>
      <c r="B611" s="56" t="s">
        <v>724</v>
      </c>
      <c r="C611" s="56" t="s">
        <v>717</v>
      </c>
      <c r="F611" s="84"/>
      <c r="G611" s="138" t="s">
        <v>230</v>
      </c>
      <c r="H611" s="139" t="s">
        <v>230</v>
      </c>
      <c r="I611" s="139" t="s">
        <v>230</v>
      </c>
      <c r="J611" s="135" t="s">
        <v>230</v>
      </c>
      <c r="K611" s="78"/>
      <c r="L611" s="78"/>
      <c r="M611" s="255"/>
      <c r="N611" s="255"/>
    </row>
    <row r="612" spans="1:14" s="55" customFormat="1" ht="11.1" customHeight="1" x14ac:dyDescent="0.2">
      <c r="A612" s="56"/>
      <c r="B612" s="56" t="s">
        <v>725</v>
      </c>
      <c r="C612" s="136" t="s">
        <v>719</v>
      </c>
      <c r="F612" s="84"/>
      <c r="G612" s="138" t="s">
        <v>230</v>
      </c>
      <c r="H612" s="139" t="s">
        <v>230</v>
      </c>
      <c r="I612" s="139" t="s">
        <v>230</v>
      </c>
      <c r="J612" s="135" t="s">
        <v>230</v>
      </c>
      <c r="K612" s="78"/>
      <c r="L612" s="78"/>
      <c r="M612" s="255"/>
      <c r="N612" s="255"/>
    </row>
    <row r="613" spans="1:14" s="55" customFormat="1" ht="3" customHeight="1" x14ac:dyDescent="0.2">
      <c r="A613" s="71"/>
      <c r="B613" s="195"/>
      <c r="C613" s="226"/>
      <c r="D613" s="72"/>
      <c r="E613" s="72"/>
      <c r="F613" s="73"/>
      <c r="G613" s="152"/>
      <c r="H613" s="153"/>
      <c r="I613" s="154"/>
      <c r="J613" s="155"/>
      <c r="K613" s="214"/>
      <c r="L613" s="255"/>
      <c r="M613" s="255"/>
      <c r="N613" s="255"/>
    </row>
    <row r="614" spans="1:14" s="55" customFormat="1" ht="5.25" customHeight="1" x14ac:dyDescent="0.2">
      <c r="A614" s="80"/>
      <c r="B614" s="129"/>
      <c r="C614" s="144"/>
      <c r="D614" s="79"/>
      <c r="E614" s="79"/>
      <c r="F614" s="219"/>
      <c r="G614" s="138"/>
      <c r="H614" s="139"/>
      <c r="I614" s="140"/>
      <c r="J614" s="135"/>
      <c r="K614" s="214"/>
      <c r="L614" s="255"/>
      <c r="M614" s="255"/>
      <c r="N614" s="255"/>
    </row>
    <row r="615" spans="1:14" s="55" customFormat="1" ht="12" customHeight="1" x14ac:dyDescent="0.2">
      <c r="A615" s="157" t="s">
        <v>111</v>
      </c>
      <c r="B615" s="56"/>
      <c r="C615" s="56"/>
      <c r="E615" s="137"/>
      <c r="F615" s="142"/>
      <c r="G615" s="241"/>
      <c r="H615" s="242"/>
      <c r="I615" s="140"/>
      <c r="J615" s="135"/>
      <c r="K615" s="214"/>
      <c r="L615" s="255"/>
      <c r="M615" s="255"/>
      <c r="N615" s="255"/>
    </row>
    <row r="616" spans="1:14" s="55" customFormat="1" ht="12" customHeight="1" x14ac:dyDescent="0.2">
      <c r="A616" s="157" t="s">
        <v>182</v>
      </c>
      <c r="B616" s="56"/>
      <c r="C616" s="56"/>
      <c r="E616" s="137"/>
      <c r="F616" s="142"/>
      <c r="G616" s="241"/>
      <c r="H616" s="242"/>
      <c r="I616" s="140"/>
      <c r="J616" s="135"/>
      <c r="K616" s="214"/>
      <c r="L616" s="255"/>
      <c r="M616" s="255"/>
      <c r="N616" s="255"/>
    </row>
    <row r="617" spans="1:14" s="55" customFormat="1" ht="12" customHeight="1" x14ac:dyDescent="0.2">
      <c r="A617" s="157" t="s">
        <v>112</v>
      </c>
      <c r="B617" s="56"/>
      <c r="C617" s="56"/>
      <c r="E617" s="137"/>
      <c r="F617" s="142"/>
      <c r="G617" s="241"/>
      <c r="H617" s="242"/>
      <c r="I617" s="140"/>
      <c r="J617" s="135"/>
      <c r="K617" s="214"/>
      <c r="L617" s="255"/>
      <c r="M617" s="255"/>
      <c r="N617" s="255"/>
    </row>
    <row r="618" spans="1:14" s="55" customFormat="1" ht="13.5" customHeight="1" x14ac:dyDescent="0.2">
      <c r="A618" s="245" t="s">
        <v>726</v>
      </c>
      <c r="B618" s="56"/>
      <c r="C618" s="56"/>
      <c r="D618" s="56"/>
      <c r="E618" s="56"/>
      <c r="F618" s="84"/>
      <c r="G618" s="85"/>
      <c r="H618" s="280"/>
      <c r="I618" s="87"/>
      <c r="J618" s="286"/>
    </row>
    <row r="619" spans="1:14" s="55" customFormat="1" ht="13.5" customHeight="1" x14ac:dyDescent="0.2">
      <c r="A619" s="245" t="s">
        <v>727</v>
      </c>
      <c r="B619" s="56"/>
      <c r="C619" s="56"/>
      <c r="D619" s="56"/>
      <c r="E619" s="56"/>
      <c r="F619" s="84"/>
      <c r="G619" s="85"/>
      <c r="H619" s="280"/>
      <c r="I619" s="87"/>
      <c r="J619" s="286"/>
    </row>
    <row r="620" spans="1:14" s="55" customFormat="1" ht="13.5" customHeight="1" x14ac:dyDescent="0.2">
      <c r="A620" s="245" t="s">
        <v>728</v>
      </c>
      <c r="B620" s="56"/>
      <c r="C620" s="56"/>
      <c r="D620" s="56"/>
      <c r="E620" s="56"/>
      <c r="F620" s="84"/>
      <c r="G620" s="85"/>
      <c r="H620" s="280"/>
      <c r="I620" s="87"/>
      <c r="J620" s="286"/>
    </row>
    <row r="621" spans="1:14" s="55" customFormat="1" ht="13.5" customHeight="1" x14ac:dyDescent="0.2">
      <c r="A621" s="157" t="s">
        <v>729</v>
      </c>
      <c r="B621" s="56"/>
      <c r="C621" s="56"/>
      <c r="D621" s="56"/>
      <c r="E621" s="56"/>
      <c r="F621" s="84"/>
      <c r="G621" s="85"/>
      <c r="H621" s="280"/>
      <c r="I621" s="87"/>
      <c r="J621" s="286"/>
    </row>
    <row r="622" spans="1:14" s="55" customFormat="1" ht="12.75" customHeight="1" x14ac:dyDescent="0.2">
      <c r="A622" s="80"/>
      <c r="B622" s="129"/>
      <c r="C622" s="144"/>
      <c r="D622" s="79"/>
      <c r="E622" s="79"/>
      <c r="F622" s="219"/>
      <c r="G622" s="138"/>
      <c r="H622" s="139"/>
      <c r="I622" s="140"/>
      <c r="J622" s="135"/>
      <c r="K622" s="214"/>
      <c r="L622" s="255"/>
      <c r="M622" s="255"/>
      <c r="N622" s="255"/>
    </row>
    <row r="623" spans="1:14" s="55" customFormat="1" ht="12.75" customHeight="1" x14ac:dyDescent="0.2">
      <c r="A623" s="158"/>
      <c r="B623" s="129"/>
      <c r="C623" s="144"/>
      <c r="D623" s="79"/>
      <c r="E623" s="79"/>
      <c r="F623" s="219"/>
      <c r="G623" s="138"/>
      <c r="H623" s="139"/>
      <c r="I623" s="140"/>
      <c r="J623" s="135"/>
      <c r="K623" s="214"/>
      <c r="L623" s="255"/>
      <c r="M623" s="255"/>
      <c r="N623" s="255"/>
    </row>
    <row r="624" spans="1:14" s="55" customFormat="1" ht="12.75" customHeight="1" x14ac:dyDescent="0.2">
      <c r="A624" s="158"/>
      <c r="B624" s="129"/>
      <c r="C624" s="144"/>
      <c r="D624" s="79"/>
      <c r="E624" s="79"/>
      <c r="F624" s="219"/>
      <c r="G624" s="138"/>
      <c r="H624" s="139"/>
      <c r="I624" s="140"/>
      <c r="J624" s="135"/>
      <c r="K624" s="214"/>
      <c r="L624" s="255"/>
      <c r="M624" s="255"/>
      <c r="N624" s="255"/>
    </row>
    <row r="625" spans="1:14" ht="12.75" customHeight="1" x14ac:dyDescent="0.2">
      <c r="A625" s="56"/>
      <c r="B625" s="56"/>
      <c r="C625" s="142"/>
      <c r="D625" s="55"/>
      <c r="E625" s="55"/>
      <c r="F625" s="84"/>
      <c r="G625" s="241"/>
      <c r="H625" s="242"/>
      <c r="I625" s="243"/>
      <c r="J625" s="244"/>
      <c r="K625" s="214"/>
      <c r="L625" s="255"/>
      <c r="M625" s="255"/>
      <c r="N625" s="255"/>
    </row>
    <row r="626" spans="1:14" ht="12.75" customHeight="1" x14ac:dyDescent="0.2">
      <c r="A626" s="159" t="s">
        <v>114</v>
      </c>
      <c r="B626" s="56"/>
      <c r="C626" s="142"/>
      <c r="D626" s="55"/>
      <c r="E626" s="55"/>
      <c r="F626" s="84"/>
      <c r="G626" s="241"/>
      <c r="H626" s="242"/>
      <c r="I626" s="243"/>
      <c r="J626" s="79"/>
      <c r="K626" s="214"/>
      <c r="L626" s="255"/>
      <c r="M626" s="255"/>
      <c r="N626" s="255"/>
    </row>
    <row r="627" spans="1:14" s="31" customFormat="1" ht="15.75" customHeight="1" x14ac:dyDescent="0.3">
      <c r="A627" s="160" t="s">
        <v>183</v>
      </c>
      <c r="B627" s="161"/>
      <c r="D627" s="32"/>
      <c r="E627" s="32"/>
      <c r="F627" s="33"/>
      <c r="G627" s="34"/>
      <c r="H627" s="35"/>
      <c r="I627" s="36"/>
      <c r="J627" s="246"/>
      <c r="K627" s="214"/>
      <c r="L627" s="255"/>
      <c r="M627" s="255"/>
      <c r="N627" s="255"/>
    </row>
    <row r="628" spans="1:14" s="31" customFormat="1" ht="15.75" customHeight="1" x14ac:dyDescent="0.25">
      <c r="A628" s="41" t="s">
        <v>24</v>
      </c>
      <c r="B628" s="168"/>
      <c r="C628" s="43"/>
      <c r="D628" s="44"/>
      <c r="E628" s="32"/>
      <c r="F628" s="33"/>
      <c r="G628" s="34"/>
      <c r="H628" s="35"/>
      <c r="I628" s="36"/>
      <c r="J628" s="246"/>
      <c r="K628" s="214"/>
      <c r="L628" s="255"/>
      <c r="M628" s="255"/>
      <c r="N628" s="255"/>
    </row>
    <row r="629" spans="1:14" ht="6" customHeight="1" x14ac:dyDescent="0.15">
      <c r="A629" s="71"/>
      <c r="B629" s="71"/>
      <c r="C629" s="72"/>
      <c r="D629" s="73"/>
      <c r="E629" s="73"/>
      <c r="F629" s="73"/>
      <c r="G629" s="101"/>
      <c r="H629" s="102"/>
      <c r="I629" s="103"/>
      <c r="J629" s="77"/>
      <c r="K629" s="214"/>
      <c r="L629" s="255"/>
      <c r="M629" s="255"/>
      <c r="N629" s="255"/>
    </row>
    <row r="630" spans="1:14" s="55" customFormat="1" ht="3" customHeight="1" x14ac:dyDescent="0.15">
      <c r="A630" s="81"/>
      <c r="B630" s="81"/>
      <c r="D630" s="84"/>
      <c r="E630" s="84"/>
      <c r="F630" s="84"/>
      <c r="G630" s="249"/>
      <c r="H630" s="250"/>
      <c r="I630" s="251"/>
      <c r="J630" s="252"/>
      <c r="K630" s="214"/>
      <c r="L630" s="255"/>
      <c r="M630" s="255"/>
      <c r="N630" s="255"/>
    </row>
    <row r="631" spans="1:14" s="180" customFormat="1" ht="11.1" customHeight="1" x14ac:dyDescent="0.15">
      <c r="A631" s="172"/>
      <c r="B631" s="172"/>
      <c r="C631" s="173"/>
      <c r="D631" s="174"/>
      <c r="E631" s="174"/>
      <c r="F631" s="59"/>
      <c r="G631" s="60" t="s">
        <v>116</v>
      </c>
      <c r="H631" s="61" t="s">
        <v>25</v>
      </c>
      <c r="I631" s="62" t="s">
        <v>26</v>
      </c>
      <c r="J631" s="63" t="s">
        <v>117</v>
      </c>
      <c r="K631" s="214"/>
      <c r="L631" s="255"/>
      <c r="M631" s="255"/>
      <c r="N631" s="255"/>
    </row>
    <row r="632" spans="1:14" s="180" customFormat="1" ht="11.1" customHeight="1" x14ac:dyDescent="0.15">
      <c r="A632" s="172"/>
      <c r="B632" s="172"/>
      <c r="C632" s="181"/>
      <c r="D632" s="174"/>
      <c r="E632" s="174"/>
      <c r="F632" s="59"/>
      <c r="G632" s="67" t="s">
        <v>29</v>
      </c>
      <c r="H632" s="61" t="s">
        <v>27</v>
      </c>
      <c r="I632" s="62" t="s">
        <v>28</v>
      </c>
      <c r="J632" s="63" t="s">
        <v>118</v>
      </c>
      <c r="K632" s="214"/>
      <c r="L632" s="255"/>
      <c r="M632" s="255"/>
      <c r="N632" s="255"/>
    </row>
    <row r="633" spans="1:14" s="180" customFormat="1" ht="11.1" customHeight="1" x14ac:dyDescent="0.15">
      <c r="A633" s="172"/>
      <c r="B633" s="172"/>
      <c r="C633" s="181"/>
      <c r="D633" s="174"/>
      <c r="E633" s="174"/>
      <c r="F633" s="59"/>
      <c r="G633" s="60" t="s">
        <v>31</v>
      </c>
      <c r="H633" s="61" t="s">
        <v>29</v>
      </c>
      <c r="I633" s="62" t="s">
        <v>30</v>
      </c>
      <c r="J633" s="69" t="s">
        <v>119</v>
      </c>
      <c r="K633" s="214"/>
      <c r="L633" s="255"/>
      <c r="M633" s="255"/>
      <c r="N633" s="255"/>
    </row>
    <row r="634" spans="1:14" s="180" customFormat="1" ht="11.1" customHeight="1" x14ac:dyDescent="0.15">
      <c r="A634" s="172"/>
      <c r="B634" s="172"/>
      <c r="C634" s="181"/>
      <c r="D634" s="174"/>
      <c r="E634" s="174"/>
      <c r="F634" s="59"/>
      <c r="G634" s="67" t="s">
        <v>32</v>
      </c>
      <c r="H634" s="61" t="s">
        <v>33</v>
      </c>
      <c r="I634" s="62" t="s">
        <v>120</v>
      </c>
      <c r="J634" s="70" t="s">
        <v>121</v>
      </c>
      <c r="K634" s="214"/>
      <c r="L634" s="255"/>
      <c r="M634" s="255"/>
      <c r="N634" s="255"/>
    </row>
    <row r="635" spans="1:14" ht="3.75" customHeight="1" x14ac:dyDescent="0.15">
      <c r="A635" s="71"/>
      <c r="B635" s="71"/>
      <c r="C635" s="72"/>
      <c r="D635" s="73"/>
      <c r="E635" s="73"/>
      <c r="F635" s="73"/>
      <c r="G635" s="101"/>
      <c r="H635" s="102"/>
      <c r="I635" s="103"/>
      <c r="J635" s="73"/>
      <c r="K635" s="214"/>
      <c r="L635" s="255"/>
      <c r="M635" s="255"/>
      <c r="N635" s="255"/>
    </row>
    <row r="636" spans="1:14" ht="3" customHeight="1" x14ac:dyDescent="0.15">
      <c r="B636" s="81"/>
      <c r="C636" s="82"/>
      <c r="D636" s="83"/>
      <c r="E636" s="83"/>
      <c r="F636" s="84"/>
      <c r="G636" s="85"/>
      <c r="H636" s="86"/>
      <c r="I636" s="87"/>
      <c r="J636" s="83"/>
      <c r="K636" s="214"/>
      <c r="L636" s="255"/>
      <c r="M636" s="255"/>
      <c r="N636" s="255"/>
    </row>
    <row r="637" spans="1:14" s="93" customFormat="1" ht="11.1" customHeight="1" x14ac:dyDescent="0.15">
      <c r="A637" s="111" t="s">
        <v>123</v>
      </c>
      <c r="B637" s="112"/>
      <c r="C637" s="113"/>
      <c r="F637" s="114" t="s">
        <v>124</v>
      </c>
      <c r="G637" s="115"/>
      <c r="H637" s="116"/>
      <c r="I637" s="117"/>
      <c r="K637" s="214"/>
      <c r="L637" s="303"/>
      <c r="M637" s="303"/>
      <c r="N637" s="303"/>
    </row>
    <row r="638" spans="1:14" s="128" customFormat="1" ht="3" customHeight="1" x14ac:dyDescent="0.15">
      <c r="A638" s="186"/>
      <c r="B638" s="186"/>
      <c r="C638" s="187"/>
      <c r="D638" s="79"/>
      <c r="E638" s="79"/>
      <c r="G638" s="107"/>
      <c r="H638" s="108"/>
      <c r="I638" s="109"/>
      <c r="J638" s="110"/>
      <c r="K638" s="214"/>
      <c r="L638" s="255"/>
      <c r="M638" s="255"/>
      <c r="N638" s="255"/>
    </row>
    <row r="639" spans="1:14" s="128" customFormat="1" ht="12.75" customHeight="1" x14ac:dyDescent="0.2">
      <c r="A639" s="188">
        <v>11</v>
      </c>
      <c r="B639" s="188" t="s">
        <v>17</v>
      </c>
      <c r="C639" s="121"/>
      <c r="D639" s="121"/>
      <c r="E639" s="121"/>
      <c r="F639" s="259"/>
      <c r="G639" s="123">
        <v>51.4</v>
      </c>
      <c r="H639" s="124">
        <v>1413</v>
      </c>
      <c r="I639" s="124">
        <v>4880</v>
      </c>
      <c r="J639" s="125">
        <v>1.8</v>
      </c>
      <c r="K639" s="78"/>
      <c r="L639" s="78"/>
      <c r="M639" s="255"/>
      <c r="N639" s="255"/>
    </row>
    <row r="640" spans="1:14" s="55" customFormat="1" ht="6" customHeight="1" x14ac:dyDescent="0.2">
      <c r="A640" s="56"/>
      <c r="B640" s="56"/>
      <c r="F640" s="84"/>
      <c r="G640" s="85"/>
      <c r="H640" s="86"/>
      <c r="I640" s="87"/>
      <c r="J640" s="231"/>
      <c r="K640" s="78"/>
      <c r="L640" s="78"/>
      <c r="M640" s="255"/>
      <c r="N640" s="255"/>
    </row>
    <row r="641" spans="1:14" ht="11.1" customHeight="1" x14ac:dyDescent="0.2">
      <c r="A641" s="302">
        <v>11.1</v>
      </c>
      <c r="B641" s="129" t="s">
        <v>730</v>
      </c>
      <c r="C641" s="80"/>
      <c r="D641" s="79"/>
      <c r="E641" s="79"/>
      <c r="G641" s="131">
        <v>40.799999999999997</v>
      </c>
      <c r="H641" s="132">
        <v>1120</v>
      </c>
      <c r="I641" s="132">
        <v>4800</v>
      </c>
      <c r="J641" s="135">
        <v>1.8</v>
      </c>
      <c r="K641" s="78"/>
      <c r="L641" s="78"/>
      <c r="M641" s="255"/>
      <c r="N641" s="255"/>
    </row>
    <row r="642" spans="1:14" s="55" customFormat="1" ht="11.1" customHeight="1" x14ac:dyDescent="0.2">
      <c r="B642" s="56" t="s">
        <v>731</v>
      </c>
      <c r="C642" s="56" t="s">
        <v>732</v>
      </c>
      <c r="D642" s="56"/>
      <c r="F642" s="84"/>
      <c r="G642" s="131">
        <v>19.399999999999999</v>
      </c>
      <c r="H642" s="132">
        <v>532</v>
      </c>
      <c r="I642" s="132">
        <v>4050</v>
      </c>
      <c r="J642" s="135">
        <v>2</v>
      </c>
      <c r="K642" s="78"/>
      <c r="L642" s="78"/>
      <c r="M642" s="255"/>
      <c r="N642" s="255"/>
    </row>
    <row r="643" spans="1:14" s="55" customFormat="1" ht="11.1" customHeight="1" x14ac:dyDescent="0.2">
      <c r="B643" s="56" t="s">
        <v>733</v>
      </c>
      <c r="C643" s="136" t="s">
        <v>734</v>
      </c>
      <c r="F643" s="84"/>
      <c r="G643" s="131">
        <v>8</v>
      </c>
      <c r="H643" s="132">
        <v>220</v>
      </c>
      <c r="I643" s="132">
        <v>2280</v>
      </c>
      <c r="J643" s="135">
        <v>3.3</v>
      </c>
      <c r="K643" s="78"/>
      <c r="L643" s="78"/>
      <c r="M643" s="255"/>
      <c r="N643" s="255"/>
    </row>
    <row r="644" spans="1:14" s="55" customFormat="1" ht="11.1" customHeight="1" x14ac:dyDescent="0.2">
      <c r="B644" s="56" t="s">
        <v>735</v>
      </c>
      <c r="C644" s="55" t="s">
        <v>736</v>
      </c>
      <c r="F644" s="84"/>
      <c r="G644" s="131">
        <v>5.4</v>
      </c>
      <c r="H644" s="132">
        <v>148</v>
      </c>
      <c r="I644" s="132">
        <v>2300</v>
      </c>
      <c r="J644" s="135">
        <v>2.5</v>
      </c>
      <c r="K644" s="78"/>
      <c r="L644" s="78"/>
      <c r="M644" s="255"/>
      <c r="N644" s="255"/>
    </row>
    <row r="645" spans="1:14" ht="3.75" customHeight="1" x14ac:dyDescent="0.2">
      <c r="B645" s="79"/>
      <c r="C645" s="80"/>
      <c r="D645" s="79"/>
      <c r="E645" s="79"/>
      <c r="F645" s="79"/>
      <c r="G645" s="85"/>
      <c r="H645" s="86"/>
      <c r="I645" s="87"/>
      <c r="K645" s="78"/>
      <c r="L645" s="78"/>
      <c r="M645" s="255"/>
      <c r="N645" s="255"/>
    </row>
    <row r="646" spans="1:14" s="143" customFormat="1" ht="11.1" customHeight="1" x14ac:dyDescent="0.2">
      <c r="A646" s="55"/>
      <c r="B646" s="56" t="s">
        <v>737</v>
      </c>
      <c r="C646" s="56" t="s">
        <v>738</v>
      </c>
      <c r="D646" s="55"/>
      <c r="E646" s="55"/>
      <c r="F646" s="84"/>
      <c r="G646" s="131">
        <v>5.6</v>
      </c>
      <c r="H646" s="132">
        <v>155</v>
      </c>
      <c r="I646" s="132">
        <v>3030</v>
      </c>
      <c r="J646" s="135">
        <v>2.2000000000000002</v>
      </c>
      <c r="K646" s="78"/>
      <c r="L646" s="78"/>
      <c r="M646" s="255"/>
      <c r="N646" s="255"/>
    </row>
    <row r="647" spans="1:14" s="143" customFormat="1" ht="11.1" customHeight="1" x14ac:dyDescent="0.2">
      <c r="A647" s="55"/>
      <c r="C647" s="56" t="s">
        <v>739</v>
      </c>
      <c r="D647" s="55" t="s">
        <v>740</v>
      </c>
      <c r="E647" s="55"/>
      <c r="F647" s="84"/>
      <c r="G647" s="131">
        <v>4.3</v>
      </c>
      <c r="H647" s="132">
        <v>117</v>
      </c>
      <c r="I647" s="132">
        <v>2710</v>
      </c>
      <c r="J647" s="135">
        <v>2.4</v>
      </c>
      <c r="K647" s="78"/>
      <c r="L647" s="78"/>
      <c r="M647" s="255"/>
      <c r="N647" s="255"/>
    </row>
    <row r="648" spans="1:14" s="143" customFormat="1" ht="11.1" customHeight="1" x14ac:dyDescent="0.2">
      <c r="A648" s="55"/>
      <c r="B648" s="272"/>
      <c r="C648" s="56" t="s">
        <v>741</v>
      </c>
      <c r="D648" s="55" t="s">
        <v>742</v>
      </c>
      <c r="E648" s="55"/>
      <c r="F648" s="84"/>
      <c r="G648" s="131">
        <v>0.3</v>
      </c>
      <c r="H648" s="132">
        <v>8</v>
      </c>
      <c r="I648" s="132">
        <v>1100</v>
      </c>
      <c r="J648" s="135">
        <v>4.3</v>
      </c>
      <c r="K648" s="78"/>
      <c r="L648" s="78"/>
      <c r="M648" s="255"/>
      <c r="N648" s="255"/>
    </row>
    <row r="649" spans="1:14" s="143" customFormat="1" ht="11.1" customHeight="1" x14ac:dyDescent="0.2">
      <c r="A649" s="55"/>
      <c r="B649" s="272"/>
      <c r="C649" s="56" t="s">
        <v>743</v>
      </c>
      <c r="D649" s="55" t="s">
        <v>744</v>
      </c>
      <c r="E649" s="55"/>
      <c r="F649" s="84"/>
      <c r="G649" s="131">
        <v>0.2</v>
      </c>
      <c r="H649" s="132">
        <v>5</v>
      </c>
      <c r="I649" s="132">
        <v>450</v>
      </c>
      <c r="J649" s="135">
        <v>5.9</v>
      </c>
      <c r="K649" s="78"/>
      <c r="L649" s="78"/>
      <c r="M649" s="255"/>
      <c r="N649" s="255"/>
    </row>
    <row r="650" spans="1:14" s="143" customFormat="1" ht="11.1" customHeight="1" x14ac:dyDescent="0.2">
      <c r="A650" s="55"/>
      <c r="B650" s="272"/>
      <c r="C650" s="56" t="s">
        <v>745</v>
      </c>
      <c r="D650" s="55" t="s">
        <v>110</v>
      </c>
      <c r="E650" s="55"/>
      <c r="F650" s="84"/>
      <c r="G650" s="131">
        <v>0.9</v>
      </c>
      <c r="H650" s="132">
        <v>25</v>
      </c>
      <c r="I650" s="132">
        <v>1940</v>
      </c>
      <c r="J650" s="135">
        <v>3.5</v>
      </c>
      <c r="K650" s="78"/>
      <c r="L650" s="78"/>
      <c r="M650" s="255"/>
      <c r="N650" s="255"/>
    </row>
    <row r="651" spans="1:14" s="143" customFormat="1" ht="3.75" customHeight="1" x14ac:dyDescent="0.2">
      <c r="A651" s="55"/>
      <c r="B651" s="272"/>
      <c r="C651" s="56"/>
      <c r="D651" s="55"/>
      <c r="E651" s="55"/>
      <c r="F651" s="84"/>
      <c r="G651" s="85"/>
      <c r="H651" s="86"/>
      <c r="I651" s="87"/>
      <c r="J651" s="231"/>
      <c r="K651" s="78"/>
      <c r="L651" s="78"/>
      <c r="M651" s="255"/>
      <c r="N651" s="255"/>
    </row>
    <row r="652" spans="1:14" s="143" customFormat="1" ht="11.1" customHeight="1" x14ac:dyDescent="0.2">
      <c r="A652" s="55"/>
      <c r="B652" s="56" t="s">
        <v>746</v>
      </c>
      <c r="C652" s="56" t="s">
        <v>747</v>
      </c>
      <c r="D652" s="55"/>
      <c r="E652" s="84"/>
      <c r="F652" s="84"/>
      <c r="G652" s="131">
        <v>0.7</v>
      </c>
      <c r="H652" s="132">
        <v>18</v>
      </c>
      <c r="I652" s="132">
        <v>40</v>
      </c>
      <c r="J652" s="135">
        <v>41.3</v>
      </c>
      <c r="K652" s="78"/>
      <c r="L652" s="78"/>
      <c r="M652" s="255"/>
      <c r="N652" s="255"/>
    </row>
    <row r="653" spans="1:14" s="143" customFormat="1" ht="3.75" customHeight="1" x14ac:dyDescent="0.2">
      <c r="A653" s="55"/>
      <c r="C653" s="136"/>
      <c r="D653" s="55"/>
      <c r="E653" s="55"/>
      <c r="F653" s="84"/>
      <c r="G653" s="85"/>
      <c r="H653" s="86"/>
      <c r="I653" s="87"/>
      <c r="J653" s="231"/>
      <c r="K653" s="78"/>
      <c r="L653" s="78"/>
      <c r="M653" s="255"/>
      <c r="N653" s="255"/>
    </row>
    <row r="654" spans="1:14" s="143" customFormat="1" ht="11.1" customHeight="1" x14ac:dyDescent="0.2">
      <c r="A654" s="56"/>
      <c r="B654" s="56" t="s">
        <v>748</v>
      </c>
      <c r="C654" s="136" t="s">
        <v>749</v>
      </c>
      <c r="E654" s="55"/>
      <c r="F654" s="84"/>
      <c r="G654" s="131">
        <v>1.7</v>
      </c>
      <c r="H654" s="132">
        <v>48</v>
      </c>
      <c r="I654" s="132">
        <v>1170</v>
      </c>
      <c r="J654" s="135">
        <v>4.0999999999999996</v>
      </c>
      <c r="K654" s="78"/>
      <c r="L654" s="78"/>
      <c r="M654" s="255"/>
      <c r="N654" s="255"/>
    </row>
    <row r="655" spans="1:14" s="143" customFormat="1" ht="11.1" customHeight="1" x14ac:dyDescent="0.2">
      <c r="A655" s="56"/>
      <c r="B655" s="55"/>
      <c r="C655" s="56" t="s">
        <v>750</v>
      </c>
      <c r="D655" s="55" t="s">
        <v>751</v>
      </c>
      <c r="E655" s="84"/>
      <c r="F655" s="84"/>
      <c r="G655" s="131">
        <v>0.7</v>
      </c>
      <c r="H655" s="132">
        <v>20</v>
      </c>
      <c r="I655" s="132">
        <v>420</v>
      </c>
      <c r="J655" s="135">
        <v>6.7</v>
      </c>
      <c r="K655" s="78"/>
      <c r="L655" s="78"/>
      <c r="M655" s="255"/>
      <c r="N655" s="255"/>
    </row>
    <row r="656" spans="1:14" s="55" customFormat="1" ht="11.1" customHeight="1" x14ac:dyDescent="0.2">
      <c r="A656" s="56"/>
      <c r="C656" s="56" t="s">
        <v>752</v>
      </c>
      <c r="D656" s="55" t="s">
        <v>753</v>
      </c>
      <c r="F656" s="84"/>
      <c r="G656" s="131">
        <v>1</v>
      </c>
      <c r="H656" s="132">
        <v>28</v>
      </c>
      <c r="I656" s="132">
        <v>860</v>
      </c>
      <c r="J656" s="135">
        <v>5.6</v>
      </c>
      <c r="K656" s="78"/>
      <c r="L656" s="78"/>
      <c r="M656" s="255"/>
      <c r="N656" s="255"/>
    </row>
    <row r="657" spans="1:14" s="55" customFormat="1" ht="3.75" customHeight="1" x14ac:dyDescent="0.2">
      <c r="A657" s="56"/>
      <c r="B657" s="81"/>
      <c r="C657" s="56"/>
      <c r="D657" s="192"/>
      <c r="E657" s="192"/>
      <c r="F657" s="192"/>
      <c r="G657" s="85"/>
      <c r="H657" s="86"/>
      <c r="I657" s="87"/>
      <c r="J657" s="231"/>
      <c r="K657" s="78"/>
      <c r="L657" s="78"/>
      <c r="M657" s="255"/>
      <c r="N657" s="255"/>
    </row>
    <row r="658" spans="1:14" ht="11.1" customHeight="1" x14ac:dyDescent="0.2">
      <c r="A658" s="302">
        <v>11.2</v>
      </c>
      <c r="B658" s="80" t="s">
        <v>754</v>
      </c>
      <c r="D658" s="79"/>
      <c r="E658" s="79"/>
      <c r="G658" s="131">
        <v>10.6</v>
      </c>
      <c r="H658" s="132">
        <v>292</v>
      </c>
      <c r="I658" s="132">
        <v>1600</v>
      </c>
      <c r="J658" s="135">
        <v>4.5</v>
      </c>
      <c r="K658" s="78"/>
      <c r="L658" s="78"/>
      <c r="M658" s="255"/>
      <c r="N658" s="255"/>
    </row>
    <row r="659" spans="1:14" s="55" customFormat="1" ht="11.1" customHeight="1" x14ac:dyDescent="0.2">
      <c r="B659" s="56" t="s">
        <v>755</v>
      </c>
      <c r="C659" s="136" t="s">
        <v>756</v>
      </c>
      <c r="F659" s="84"/>
      <c r="G659" s="131">
        <v>5.6</v>
      </c>
      <c r="H659" s="132">
        <v>155</v>
      </c>
      <c r="I659" s="132">
        <v>1250</v>
      </c>
      <c r="J659" s="135">
        <v>4.0999999999999996</v>
      </c>
      <c r="K659" s="78"/>
      <c r="L659" s="78"/>
      <c r="M659" s="255"/>
      <c r="N659" s="255"/>
    </row>
    <row r="660" spans="1:14" s="55" customFormat="1" ht="11.1" customHeight="1" x14ac:dyDescent="0.2">
      <c r="B660" s="56" t="s">
        <v>757</v>
      </c>
      <c r="C660" s="136" t="s">
        <v>758</v>
      </c>
      <c r="F660" s="84"/>
      <c r="G660" s="131">
        <v>4.8</v>
      </c>
      <c r="H660" s="132">
        <v>133</v>
      </c>
      <c r="I660" s="132">
        <v>450</v>
      </c>
      <c r="J660" s="135">
        <v>7.8</v>
      </c>
      <c r="K660" s="78"/>
      <c r="L660" s="78"/>
      <c r="M660" s="255"/>
      <c r="N660" s="255"/>
    </row>
    <row r="661" spans="1:14" s="55" customFormat="1" ht="11.1" customHeight="1" x14ac:dyDescent="0.2">
      <c r="B661" s="56" t="s">
        <v>759</v>
      </c>
      <c r="C661" s="136" t="s">
        <v>760</v>
      </c>
      <c r="F661" s="84"/>
      <c r="G661" s="131">
        <v>0.2</v>
      </c>
      <c r="H661" s="132">
        <v>4</v>
      </c>
      <c r="I661" s="132">
        <v>40</v>
      </c>
      <c r="J661" s="135">
        <v>28.8</v>
      </c>
      <c r="K661" s="78"/>
      <c r="L661" s="78"/>
      <c r="M661" s="255"/>
      <c r="N661" s="255"/>
    </row>
    <row r="662" spans="1:14" ht="3" customHeight="1" x14ac:dyDescent="0.2">
      <c r="A662" s="71"/>
      <c r="B662" s="195"/>
      <c r="C662" s="47"/>
      <c r="D662" s="72"/>
      <c r="E662" s="72"/>
      <c r="F662" s="73"/>
      <c r="G662" s="74"/>
      <c r="H662" s="279"/>
      <c r="I662" s="76"/>
      <c r="J662" s="258"/>
      <c r="K662" s="78"/>
      <c r="L662" s="78"/>
      <c r="M662" s="255"/>
      <c r="N662" s="255"/>
    </row>
    <row r="663" spans="1:14" ht="3" customHeight="1" x14ac:dyDescent="0.2">
      <c r="A663" s="56"/>
      <c r="B663" s="56"/>
      <c r="C663" s="56"/>
      <c r="D663" s="55"/>
      <c r="E663" s="55"/>
      <c r="F663" s="84"/>
      <c r="G663" s="85"/>
      <c r="H663" s="278"/>
      <c r="I663" s="87"/>
      <c r="J663" s="231"/>
      <c r="K663" s="78"/>
      <c r="L663" s="78"/>
      <c r="M663" s="255"/>
      <c r="N663" s="255"/>
    </row>
    <row r="664" spans="1:14" s="128" customFormat="1" ht="12.75" customHeight="1" x14ac:dyDescent="0.2">
      <c r="A664" s="188">
        <v>12</v>
      </c>
      <c r="B664" s="188" t="s">
        <v>18</v>
      </c>
      <c r="C664" s="188"/>
      <c r="D664" s="121"/>
      <c r="E664" s="121"/>
      <c r="F664" s="259"/>
      <c r="G664" s="123">
        <v>45.7</v>
      </c>
      <c r="H664" s="124">
        <v>1256</v>
      </c>
      <c r="I664" s="124">
        <v>5360</v>
      </c>
      <c r="J664" s="125">
        <v>2.2999999999999998</v>
      </c>
      <c r="K664" s="78"/>
      <c r="L664" s="78"/>
      <c r="M664" s="255"/>
      <c r="N664" s="255"/>
    </row>
    <row r="665" spans="1:14" ht="3.75" customHeight="1" x14ac:dyDescent="0.2">
      <c r="A665" s="56"/>
      <c r="B665" s="56"/>
      <c r="C665" s="55"/>
      <c r="D665" s="55"/>
      <c r="E665" s="55"/>
      <c r="F665" s="84"/>
      <c r="G665" s="85"/>
      <c r="H665" s="86"/>
      <c r="I665" s="87"/>
      <c r="J665" s="231"/>
      <c r="K665" s="78"/>
      <c r="L665" s="78"/>
      <c r="M665" s="255"/>
      <c r="N665" s="255"/>
    </row>
    <row r="666" spans="1:14" ht="11.1" customHeight="1" x14ac:dyDescent="0.2">
      <c r="A666" s="302">
        <v>12.1</v>
      </c>
      <c r="B666" s="80" t="s">
        <v>761</v>
      </c>
      <c r="C666" s="80"/>
      <c r="D666" s="79"/>
      <c r="E666" s="79"/>
      <c r="G666" s="131">
        <v>13</v>
      </c>
      <c r="H666" s="132">
        <v>357</v>
      </c>
      <c r="I666" s="132">
        <v>4750</v>
      </c>
      <c r="J666" s="135">
        <v>2.4</v>
      </c>
      <c r="K666" s="78"/>
      <c r="L666" s="78"/>
      <c r="M666" s="255"/>
      <c r="N666" s="255"/>
    </row>
    <row r="667" spans="1:14" s="55" customFormat="1" ht="11.1" customHeight="1" x14ac:dyDescent="0.2">
      <c r="B667" s="56" t="s">
        <v>762</v>
      </c>
      <c r="C667" s="56" t="s">
        <v>763</v>
      </c>
      <c r="F667" s="84"/>
      <c r="G667" s="131">
        <v>4.3</v>
      </c>
      <c r="H667" s="132">
        <v>119</v>
      </c>
      <c r="I667" s="132">
        <v>1270</v>
      </c>
      <c r="J667" s="135">
        <v>4.5999999999999996</v>
      </c>
      <c r="K667" s="78"/>
      <c r="L667" s="78"/>
      <c r="M667" s="255"/>
      <c r="N667" s="255"/>
    </row>
    <row r="668" spans="1:14" s="55" customFormat="1" ht="11.1" customHeight="1" x14ac:dyDescent="0.2">
      <c r="B668" s="56" t="s">
        <v>764</v>
      </c>
      <c r="C668" s="56" t="s">
        <v>765</v>
      </c>
      <c r="F668" s="84"/>
      <c r="G668" s="131">
        <v>0.9</v>
      </c>
      <c r="H668" s="132">
        <v>24</v>
      </c>
      <c r="I668" s="132">
        <v>2300</v>
      </c>
      <c r="J668" s="135">
        <v>2.4</v>
      </c>
      <c r="K668" s="78"/>
      <c r="L668" s="78"/>
      <c r="M668" s="255"/>
      <c r="N668" s="255"/>
    </row>
    <row r="669" spans="1:14" s="55" customFormat="1" ht="3.75" customHeight="1" x14ac:dyDescent="0.2">
      <c r="B669" s="56"/>
      <c r="C669" s="56"/>
      <c r="F669" s="84"/>
      <c r="G669" s="85"/>
      <c r="H669" s="86"/>
      <c r="I669" s="87"/>
      <c r="J669" s="231"/>
      <c r="K669" s="78"/>
      <c r="L669" s="78"/>
      <c r="M669" s="255"/>
      <c r="N669" s="255"/>
    </row>
    <row r="670" spans="1:14" s="55" customFormat="1" ht="11.1" customHeight="1" x14ac:dyDescent="0.2">
      <c r="B670" s="56" t="s">
        <v>766</v>
      </c>
      <c r="C670" s="136" t="s">
        <v>767</v>
      </c>
      <c r="D670" s="56"/>
      <c r="F670" s="84"/>
      <c r="G670" s="131">
        <v>2.5</v>
      </c>
      <c r="H670" s="132">
        <v>69</v>
      </c>
      <c r="I670" s="132">
        <v>3840</v>
      </c>
      <c r="J670" s="135">
        <v>2.2999999999999998</v>
      </c>
      <c r="K670" s="78"/>
      <c r="L670" s="78"/>
      <c r="M670" s="255"/>
      <c r="N670" s="255"/>
    </row>
    <row r="671" spans="1:14" s="55" customFormat="1" ht="11.1" customHeight="1" x14ac:dyDescent="0.2">
      <c r="B671" s="56"/>
      <c r="C671" s="136" t="s">
        <v>768</v>
      </c>
      <c r="D671" s="56" t="s">
        <v>769</v>
      </c>
      <c r="F671" s="84"/>
      <c r="G671" s="131">
        <v>1.5</v>
      </c>
      <c r="H671" s="132">
        <v>40</v>
      </c>
      <c r="I671" s="132">
        <v>3280</v>
      </c>
      <c r="J671" s="135">
        <v>2.2999999999999998</v>
      </c>
      <c r="K671" s="78"/>
      <c r="L671" s="78"/>
      <c r="M671" s="255"/>
      <c r="N671" s="255"/>
    </row>
    <row r="672" spans="1:14" s="55" customFormat="1" ht="11.1" customHeight="1" x14ac:dyDescent="0.2">
      <c r="B672" s="56"/>
      <c r="C672" s="56" t="s">
        <v>770</v>
      </c>
      <c r="D672" s="55" t="s">
        <v>771</v>
      </c>
      <c r="F672" s="84"/>
      <c r="G672" s="131">
        <v>0.5</v>
      </c>
      <c r="H672" s="132">
        <v>14</v>
      </c>
      <c r="I672" s="132">
        <v>1830</v>
      </c>
      <c r="J672" s="135">
        <v>6.7</v>
      </c>
      <c r="K672" s="78"/>
      <c r="L672" s="78"/>
      <c r="M672" s="255"/>
      <c r="N672" s="255"/>
    </row>
    <row r="673" spans="1:14" s="55" customFormat="1" ht="11.1" customHeight="1" x14ac:dyDescent="0.2">
      <c r="B673" s="56"/>
      <c r="C673" s="56" t="s">
        <v>772</v>
      </c>
      <c r="D673" s="55" t="s">
        <v>773</v>
      </c>
      <c r="F673" s="84"/>
      <c r="G673" s="131">
        <v>0.6</v>
      </c>
      <c r="H673" s="132">
        <v>15</v>
      </c>
      <c r="I673" s="132">
        <v>1230</v>
      </c>
      <c r="J673" s="135">
        <v>5</v>
      </c>
      <c r="K673" s="78"/>
      <c r="L673" s="78"/>
      <c r="M673" s="255"/>
      <c r="N673" s="255"/>
    </row>
    <row r="674" spans="1:14" s="55" customFormat="1" ht="3.75" customHeight="1" x14ac:dyDescent="0.2">
      <c r="B674" s="56"/>
      <c r="C674" s="136"/>
      <c r="D674" s="56"/>
      <c r="F674" s="84"/>
      <c r="G674" s="85"/>
      <c r="H674" s="86"/>
      <c r="I674" s="87"/>
      <c r="J674" s="217"/>
      <c r="K674" s="78"/>
      <c r="L674" s="78"/>
      <c r="M674" s="255"/>
      <c r="N674" s="255"/>
    </row>
    <row r="675" spans="1:14" s="55" customFormat="1" ht="11.1" customHeight="1" x14ac:dyDescent="0.2">
      <c r="B675" s="56" t="s">
        <v>774</v>
      </c>
      <c r="C675" s="136" t="s">
        <v>775</v>
      </c>
      <c r="D675" s="56"/>
      <c r="F675" s="84"/>
      <c r="G675" s="131">
        <v>0.6</v>
      </c>
      <c r="H675" s="132">
        <v>17</v>
      </c>
      <c r="I675" s="132">
        <v>1020</v>
      </c>
      <c r="J675" s="135">
        <v>9.4</v>
      </c>
      <c r="K675" s="78"/>
      <c r="L675" s="78"/>
      <c r="M675" s="255"/>
      <c r="N675" s="255"/>
    </row>
    <row r="676" spans="1:14" s="55" customFormat="1" ht="3.75" customHeight="1" x14ac:dyDescent="0.2">
      <c r="B676" s="56"/>
      <c r="C676" s="56"/>
      <c r="D676" s="56"/>
      <c r="F676" s="84"/>
      <c r="G676" s="85"/>
      <c r="H676" s="86"/>
      <c r="I676" s="87"/>
      <c r="J676" s="231"/>
      <c r="K676" s="78"/>
      <c r="L676" s="78"/>
      <c r="M676" s="255"/>
      <c r="N676" s="255"/>
    </row>
    <row r="677" spans="1:14" s="55" customFormat="1" ht="11.1" customHeight="1" x14ac:dyDescent="0.2">
      <c r="B677" s="56" t="s">
        <v>776</v>
      </c>
      <c r="C677" s="56" t="s">
        <v>777</v>
      </c>
      <c r="D677" s="56"/>
      <c r="F677" s="84"/>
      <c r="G677" s="131">
        <v>4.5999999999999996</v>
      </c>
      <c r="H677" s="132">
        <v>128</v>
      </c>
      <c r="I677" s="132">
        <v>2990</v>
      </c>
      <c r="J677" s="135">
        <v>3.7</v>
      </c>
      <c r="K677" s="78"/>
      <c r="L677" s="78"/>
      <c r="M677" s="255"/>
      <c r="N677" s="255"/>
    </row>
    <row r="678" spans="1:14" s="55" customFormat="1" ht="11.1" customHeight="1" x14ac:dyDescent="0.2">
      <c r="B678" s="56"/>
      <c r="C678" s="56" t="s">
        <v>778</v>
      </c>
      <c r="D678" s="56" t="s">
        <v>779</v>
      </c>
      <c r="F678" s="84"/>
      <c r="G678" s="131">
        <v>0.9</v>
      </c>
      <c r="H678" s="132">
        <v>25</v>
      </c>
      <c r="I678" s="132">
        <v>1620</v>
      </c>
      <c r="J678" s="135">
        <v>4.9000000000000004</v>
      </c>
      <c r="K678" s="78"/>
      <c r="L678" s="78"/>
      <c r="M678" s="255"/>
      <c r="N678" s="255"/>
    </row>
    <row r="679" spans="1:14" s="55" customFormat="1" ht="11.1" customHeight="1" x14ac:dyDescent="0.2">
      <c r="B679" s="56"/>
      <c r="C679" s="56" t="s">
        <v>780</v>
      </c>
      <c r="D679" s="56" t="s">
        <v>781</v>
      </c>
      <c r="F679" s="84"/>
      <c r="G679" s="131">
        <v>3.4</v>
      </c>
      <c r="H679" s="132">
        <v>94</v>
      </c>
      <c r="I679" s="132">
        <v>2320</v>
      </c>
      <c r="J679" s="135">
        <v>4.0999999999999996</v>
      </c>
      <c r="K679" s="78"/>
      <c r="L679" s="78"/>
      <c r="M679" s="255"/>
      <c r="N679" s="255"/>
    </row>
    <row r="680" spans="1:14" s="55" customFormat="1" ht="11.1" customHeight="1" x14ac:dyDescent="0.2">
      <c r="B680" s="56"/>
      <c r="C680" s="56" t="s">
        <v>782</v>
      </c>
      <c r="D680" s="56" t="s">
        <v>783</v>
      </c>
      <c r="F680" s="84"/>
      <c r="G680" s="131">
        <v>0.3</v>
      </c>
      <c r="H680" s="132">
        <v>8</v>
      </c>
      <c r="I680" s="132">
        <v>110</v>
      </c>
      <c r="J680" s="135">
        <v>16.3</v>
      </c>
      <c r="K680" s="78"/>
      <c r="L680" s="78"/>
      <c r="M680" s="255"/>
      <c r="N680" s="255"/>
    </row>
    <row r="681" spans="1:14" ht="3.75" customHeight="1" x14ac:dyDescent="0.2">
      <c r="A681" s="302"/>
      <c r="C681" s="304"/>
      <c r="D681" s="79"/>
      <c r="E681" s="79"/>
      <c r="G681" s="138"/>
      <c r="H681" s="139"/>
      <c r="I681" s="305"/>
      <c r="J681" s="135"/>
      <c r="K681" s="78"/>
      <c r="L681" s="78"/>
      <c r="M681" s="255"/>
      <c r="N681" s="255"/>
    </row>
    <row r="682" spans="1:14" s="55" customFormat="1" ht="11.1" customHeight="1" x14ac:dyDescent="0.2">
      <c r="A682" s="302">
        <v>12.2</v>
      </c>
      <c r="B682" s="129" t="s">
        <v>784</v>
      </c>
      <c r="C682" s="80"/>
      <c r="D682" s="79"/>
      <c r="E682" s="79"/>
      <c r="F682" s="219"/>
      <c r="G682" s="131">
        <v>3.7</v>
      </c>
      <c r="H682" s="132">
        <v>101</v>
      </c>
      <c r="I682" s="132">
        <v>1230</v>
      </c>
      <c r="J682" s="135">
        <v>7.4</v>
      </c>
      <c r="K682" s="78"/>
      <c r="L682" s="78"/>
      <c r="M682" s="255"/>
      <c r="N682" s="255"/>
    </row>
    <row r="683" spans="1:14" s="55" customFormat="1" ht="11.1" customHeight="1" x14ac:dyDescent="0.2">
      <c r="B683" s="56" t="s">
        <v>785</v>
      </c>
      <c r="C683" s="55" t="s">
        <v>786</v>
      </c>
      <c r="F683" s="84"/>
      <c r="G683" s="131">
        <v>2.2000000000000002</v>
      </c>
      <c r="H683" s="132">
        <v>60</v>
      </c>
      <c r="I683" s="132">
        <v>830</v>
      </c>
      <c r="J683" s="135">
        <v>10.3</v>
      </c>
      <c r="K683" s="78"/>
      <c r="L683" s="78"/>
      <c r="M683" s="255"/>
      <c r="N683" s="255"/>
    </row>
    <row r="684" spans="1:14" s="55" customFormat="1" ht="11.1" customHeight="1" x14ac:dyDescent="0.2">
      <c r="B684" s="56" t="s">
        <v>787</v>
      </c>
      <c r="C684" s="55" t="s">
        <v>788</v>
      </c>
      <c r="F684" s="84"/>
      <c r="G684" s="131">
        <v>1</v>
      </c>
      <c r="H684" s="132">
        <v>27</v>
      </c>
      <c r="I684" s="132">
        <v>420</v>
      </c>
      <c r="J684" s="135">
        <v>10.199999999999999</v>
      </c>
      <c r="K684" s="78"/>
      <c r="L684" s="78"/>
      <c r="M684" s="255"/>
      <c r="N684" s="255"/>
    </row>
    <row r="685" spans="1:14" s="55" customFormat="1" ht="11.1" customHeight="1" x14ac:dyDescent="0.2">
      <c r="B685" s="56" t="s">
        <v>789</v>
      </c>
      <c r="C685" s="55" t="s">
        <v>790</v>
      </c>
      <c r="F685" s="84"/>
      <c r="G685" s="131">
        <v>0.1</v>
      </c>
      <c r="H685" s="132">
        <v>4</v>
      </c>
      <c r="I685" s="132">
        <v>100</v>
      </c>
      <c r="J685" s="135">
        <v>19.399999999999999</v>
      </c>
      <c r="K685" s="78"/>
      <c r="L685" s="78"/>
      <c r="M685" s="255"/>
      <c r="N685" s="255"/>
    </row>
    <row r="686" spans="1:14" s="55" customFormat="1" ht="11.1" customHeight="1" x14ac:dyDescent="0.2">
      <c r="B686" s="56" t="s">
        <v>791</v>
      </c>
      <c r="C686" s="55" t="s">
        <v>792</v>
      </c>
      <c r="F686" s="84"/>
      <c r="G686" s="131">
        <v>0.1</v>
      </c>
      <c r="H686" s="132">
        <v>3</v>
      </c>
      <c r="I686" s="132">
        <v>30</v>
      </c>
      <c r="J686" s="135">
        <v>26.5</v>
      </c>
      <c r="K686" s="78"/>
      <c r="L686" s="78"/>
      <c r="M686" s="255"/>
      <c r="N686" s="255"/>
    </row>
    <row r="687" spans="1:14" s="55" customFormat="1" ht="11.1" customHeight="1" x14ac:dyDescent="0.2">
      <c r="B687" s="56" t="s">
        <v>793</v>
      </c>
      <c r="C687" s="55" t="s">
        <v>794</v>
      </c>
      <c r="E687" s="84"/>
      <c r="F687" s="84"/>
      <c r="G687" s="256">
        <v>0.1</v>
      </c>
      <c r="H687" s="203">
        <v>3</v>
      </c>
      <c r="I687" s="132">
        <v>10</v>
      </c>
      <c r="J687" s="135">
        <v>56</v>
      </c>
      <c r="K687" s="78"/>
      <c r="L687" s="78"/>
      <c r="M687" s="255"/>
      <c r="N687" s="255"/>
    </row>
    <row r="688" spans="1:14" s="55" customFormat="1" ht="11.1" customHeight="1" x14ac:dyDescent="0.2">
      <c r="A688" s="80"/>
      <c r="B688" s="56" t="s">
        <v>795</v>
      </c>
      <c r="C688" s="56" t="s">
        <v>796</v>
      </c>
      <c r="G688" s="131">
        <v>0.1</v>
      </c>
      <c r="H688" s="132">
        <v>4</v>
      </c>
      <c r="I688" s="132">
        <v>20</v>
      </c>
      <c r="J688" s="135">
        <v>33.1</v>
      </c>
      <c r="K688" s="78"/>
      <c r="L688" s="78"/>
      <c r="M688" s="255"/>
      <c r="N688" s="255"/>
    </row>
    <row r="689" spans="1:14" s="55" customFormat="1" ht="3.75" customHeight="1" x14ac:dyDescent="0.2">
      <c r="G689" s="85"/>
      <c r="H689" s="108"/>
      <c r="I689" s="79"/>
      <c r="J689" s="171"/>
      <c r="K689" s="78"/>
      <c r="L689" s="78"/>
      <c r="M689" s="255"/>
      <c r="N689" s="255"/>
    </row>
    <row r="690" spans="1:14" s="55" customFormat="1" ht="11.1" customHeight="1" x14ac:dyDescent="0.2">
      <c r="A690" s="302">
        <v>12.3</v>
      </c>
      <c r="B690" s="80" t="s">
        <v>797</v>
      </c>
      <c r="C690" s="79"/>
      <c r="D690" s="219"/>
      <c r="E690" s="219"/>
      <c r="F690" s="219"/>
      <c r="G690" s="131">
        <v>3.2</v>
      </c>
      <c r="H690" s="132">
        <v>88</v>
      </c>
      <c r="I690" s="132">
        <v>230</v>
      </c>
      <c r="J690" s="135">
        <v>16.8</v>
      </c>
      <c r="K690" s="78"/>
      <c r="L690" s="78"/>
      <c r="M690" s="255"/>
      <c r="N690" s="255"/>
    </row>
    <row r="691" spans="1:14" s="55" customFormat="1" ht="11.1" customHeight="1" x14ac:dyDescent="0.2">
      <c r="B691" s="56" t="s">
        <v>798</v>
      </c>
      <c r="C691" s="55" t="s">
        <v>799</v>
      </c>
      <c r="E691" s="84"/>
      <c r="F691" s="84"/>
      <c r="G691" s="138" t="s">
        <v>230</v>
      </c>
      <c r="H691" s="139" t="s">
        <v>230</v>
      </c>
      <c r="I691" s="139" t="s">
        <v>230</v>
      </c>
      <c r="J691" s="135" t="s">
        <v>230</v>
      </c>
      <c r="K691" s="78"/>
      <c r="L691" s="78"/>
      <c r="M691" s="255"/>
      <c r="N691" s="255"/>
    </row>
    <row r="692" spans="1:14" s="55" customFormat="1" ht="11.1" customHeight="1" x14ac:dyDescent="0.2">
      <c r="B692" s="56" t="s">
        <v>800</v>
      </c>
      <c r="C692" s="55" t="s">
        <v>801</v>
      </c>
      <c r="E692" s="84"/>
      <c r="F692" s="84"/>
      <c r="G692" s="131">
        <v>0.3</v>
      </c>
      <c r="H692" s="132">
        <v>9</v>
      </c>
      <c r="I692" s="132">
        <v>20</v>
      </c>
      <c r="J692" s="135">
        <v>33.700000000000003</v>
      </c>
      <c r="K692" s="78"/>
      <c r="L692" s="78"/>
      <c r="M692" s="255"/>
      <c r="N692" s="255"/>
    </row>
    <row r="693" spans="1:14" s="55" customFormat="1" ht="11.1" customHeight="1" x14ac:dyDescent="0.2">
      <c r="B693" s="56" t="s">
        <v>802</v>
      </c>
      <c r="C693" s="55" t="s">
        <v>803</v>
      </c>
      <c r="E693" s="84"/>
      <c r="F693" s="84"/>
      <c r="G693" s="131">
        <v>0.8</v>
      </c>
      <c r="H693" s="132">
        <v>23</v>
      </c>
      <c r="I693" s="132">
        <v>80</v>
      </c>
      <c r="J693" s="135">
        <v>21.3</v>
      </c>
      <c r="K693" s="78"/>
      <c r="L693" s="78"/>
      <c r="M693" s="255"/>
      <c r="N693" s="255"/>
    </row>
    <row r="694" spans="1:14" s="55" customFormat="1" ht="11.1" customHeight="1" x14ac:dyDescent="0.2">
      <c r="B694" s="56" t="s">
        <v>804</v>
      </c>
      <c r="C694" s="55" t="s">
        <v>805</v>
      </c>
      <c r="E694" s="84"/>
      <c r="F694" s="84"/>
      <c r="G694" s="131">
        <v>1.6</v>
      </c>
      <c r="H694" s="132">
        <v>45</v>
      </c>
      <c r="I694" s="132">
        <v>130</v>
      </c>
      <c r="J694" s="135">
        <v>15.8</v>
      </c>
      <c r="K694" s="78"/>
      <c r="L694" s="78"/>
      <c r="M694" s="255"/>
      <c r="N694" s="255"/>
    </row>
    <row r="695" spans="1:14" s="55" customFormat="1" ht="3.75" customHeight="1" x14ac:dyDescent="0.15">
      <c r="A695" s="47"/>
      <c r="B695" s="45"/>
      <c r="C695" s="45"/>
      <c r="D695" s="47"/>
      <c r="E695" s="47"/>
      <c r="F695" s="47"/>
      <c r="G695" s="49"/>
      <c r="H695" s="50"/>
      <c r="I695" s="51"/>
      <c r="J695" s="306"/>
      <c r="K695" s="208"/>
      <c r="L695" s="269"/>
    </row>
    <row r="696" spans="1:14" s="55" customFormat="1" ht="5.25" customHeight="1" x14ac:dyDescent="0.15">
      <c r="G696" s="249"/>
      <c r="H696" s="250"/>
      <c r="K696" s="208"/>
      <c r="L696" s="269"/>
    </row>
    <row r="697" spans="1:14" ht="11.1" customHeight="1" x14ac:dyDescent="0.2">
      <c r="A697" s="157" t="s">
        <v>111</v>
      </c>
      <c r="B697" s="56"/>
      <c r="C697" s="56"/>
      <c r="D697" s="55"/>
      <c r="E697" s="137"/>
      <c r="F697" s="142"/>
      <c r="G697" s="241"/>
      <c r="H697" s="242"/>
      <c r="K697" s="208"/>
      <c r="L697" s="269"/>
    </row>
    <row r="698" spans="1:14" ht="11.1" customHeight="1" x14ac:dyDescent="0.2">
      <c r="A698" s="157" t="s">
        <v>182</v>
      </c>
      <c r="B698" s="56"/>
      <c r="C698" s="56"/>
      <c r="D698" s="55"/>
      <c r="E698" s="137"/>
      <c r="F698" s="142"/>
      <c r="G698" s="241"/>
      <c r="H698" s="242"/>
      <c r="K698" s="208"/>
      <c r="L698" s="269"/>
    </row>
    <row r="699" spans="1:14" ht="11.1" customHeight="1" x14ac:dyDescent="0.2">
      <c r="A699" s="157" t="s">
        <v>112</v>
      </c>
      <c r="B699" s="56"/>
      <c r="C699" s="56"/>
      <c r="D699" s="55"/>
      <c r="E699" s="137"/>
      <c r="F699" s="142"/>
      <c r="G699" s="241"/>
      <c r="H699" s="242"/>
      <c r="K699" s="208"/>
      <c r="L699" s="269"/>
    </row>
    <row r="700" spans="1:14" ht="11.1" customHeight="1" x14ac:dyDescent="0.15">
      <c r="K700" s="208"/>
      <c r="L700" s="269"/>
    </row>
    <row r="701" spans="1:14" ht="11.1" customHeight="1" x14ac:dyDescent="0.15">
      <c r="K701" s="208"/>
      <c r="L701" s="269"/>
    </row>
    <row r="702" spans="1:14" ht="11.1" customHeight="1" x14ac:dyDescent="0.15">
      <c r="K702" s="208"/>
      <c r="L702" s="269"/>
    </row>
    <row r="703" spans="1:14" ht="11.1" customHeight="1" x14ac:dyDescent="0.15">
      <c r="K703" s="208"/>
      <c r="L703" s="269"/>
    </row>
    <row r="704" spans="1:14" ht="11.1" customHeight="1" x14ac:dyDescent="0.15">
      <c r="K704" s="208"/>
      <c r="L704" s="269"/>
    </row>
    <row r="705" spans="1:12" ht="11.1" customHeight="1" x14ac:dyDescent="0.15">
      <c r="K705" s="208"/>
      <c r="L705" s="269"/>
    </row>
    <row r="706" spans="1:12" ht="11.1" customHeight="1" x14ac:dyDescent="0.15">
      <c r="K706" s="208"/>
      <c r="L706" s="269"/>
    </row>
    <row r="707" spans="1:12" ht="11.1" customHeight="1" x14ac:dyDescent="0.15">
      <c r="K707" s="208"/>
      <c r="L707" s="269"/>
    </row>
    <row r="708" spans="1:12" ht="11.1" customHeight="1" x14ac:dyDescent="0.15">
      <c r="K708" s="208"/>
      <c r="L708" s="269"/>
    </row>
    <row r="709" spans="1:12" ht="11.1" customHeight="1" x14ac:dyDescent="0.15">
      <c r="A709" s="79"/>
      <c r="B709" s="79"/>
      <c r="D709" s="79"/>
      <c r="E709" s="79"/>
      <c r="F709" s="79"/>
      <c r="I709" s="79"/>
      <c r="J709" s="79"/>
      <c r="K709" s="208"/>
      <c r="L709" s="269"/>
    </row>
    <row r="710" spans="1:12" s="55" customFormat="1" ht="11.1" customHeight="1" x14ac:dyDescent="0.15">
      <c r="G710" s="249"/>
      <c r="H710" s="250"/>
      <c r="K710" s="208"/>
      <c r="L710" s="269"/>
    </row>
    <row r="711" spans="1:12" s="55" customFormat="1" ht="11.1" customHeight="1" x14ac:dyDescent="0.15">
      <c r="G711" s="249"/>
      <c r="H711" s="250"/>
      <c r="K711" s="208"/>
      <c r="L711" s="269"/>
    </row>
    <row r="712" spans="1:12" s="55" customFormat="1" ht="11.25" customHeight="1" x14ac:dyDescent="0.15">
      <c r="B712" s="56"/>
      <c r="C712" s="56"/>
      <c r="E712" s="84"/>
      <c r="F712" s="84"/>
      <c r="G712" s="249"/>
      <c r="H712" s="250"/>
      <c r="I712" s="251"/>
      <c r="J712" s="252"/>
      <c r="K712" s="208"/>
      <c r="L712" s="269"/>
    </row>
    <row r="713" spans="1:12" s="143" customFormat="1" ht="15" customHeight="1" x14ac:dyDescent="0.2">
      <c r="A713" s="159" t="s">
        <v>114</v>
      </c>
      <c r="G713" s="307"/>
      <c r="H713" s="308"/>
      <c r="K713" s="208"/>
      <c r="L713" s="269"/>
    </row>
    <row r="714" spans="1:12" s="31" customFormat="1" ht="15.75" customHeight="1" x14ac:dyDescent="0.3">
      <c r="A714" s="160" t="s">
        <v>183</v>
      </c>
      <c r="B714" s="161"/>
      <c r="D714" s="32"/>
      <c r="E714" s="32"/>
      <c r="F714" s="33"/>
      <c r="G714" s="34"/>
      <c r="H714" s="35"/>
      <c r="I714" s="36"/>
      <c r="J714" s="246"/>
      <c r="K714" s="208"/>
      <c r="L714" s="269"/>
    </row>
    <row r="715" spans="1:12" s="31" customFormat="1" ht="15.75" customHeight="1" x14ac:dyDescent="0.25">
      <c r="A715" s="41" t="s">
        <v>24</v>
      </c>
      <c r="B715" s="168"/>
      <c r="C715" s="43"/>
      <c r="D715" s="44"/>
      <c r="E715" s="32"/>
      <c r="F715" s="33"/>
      <c r="G715" s="34"/>
      <c r="H715" s="35"/>
      <c r="I715" s="36"/>
      <c r="J715" s="246"/>
      <c r="K715" s="208"/>
      <c r="L715" s="269"/>
    </row>
    <row r="716" spans="1:12" ht="6" customHeight="1" x14ac:dyDescent="0.15">
      <c r="A716" s="71"/>
      <c r="B716" s="71"/>
      <c r="C716" s="72"/>
      <c r="D716" s="73"/>
      <c r="E716" s="73"/>
      <c r="F716" s="73"/>
      <c r="G716" s="101"/>
      <c r="H716" s="102"/>
      <c r="I716" s="103"/>
      <c r="J716" s="77"/>
      <c r="K716" s="208"/>
      <c r="L716" s="269"/>
    </row>
    <row r="717" spans="1:12" s="55" customFormat="1" ht="3" customHeight="1" x14ac:dyDescent="0.15">
      <c r="A717" s="81"/>
      <c r="B717" s="81"/>
      <c r="D717" s="84"/>
      <c r="E717" s="84"/>
      <c r="F717" s="84"/>
      <c r="G717" s="249"/>
      <c r="H717" s="250"/>
      <c r="I717" s="251"/>
      <c r="J717" s="252"/>
      <c r="K717" s="208"/>
      <c r="L717" s="269"/>
    </row>
    <row r="718" spans="1:12" s="180" customFormat="1" ht="11.1" customHeight="1" x14ac:dyDescent="0.15">
      <c r="A718" s="172"/>
      <c r="B718" s="172"/>
      <c r="C718" s="173"/>
      <c r="D718" s="174"/>
      <c r="E718" s="174"/>
      <c r="F718" s="59"/>
      <c r="G718" s="60" t="s">
        <v>116</v>
      </c>
      <c r="H718" s="61" t="s">
        <v>25</v>
      </c>
      <c r="I718" s="62" t="s">
        <v>26</v>
      </c>
      <c r="J718" s="63" t="s">
        <v>117</v>
      </c>
      <c r="K718" s="208"/>
      <c r="L718" s="269"/>
    </row>
    <row r="719" spans="1:12" s="180" customFormat="1" ht="11.1" customHeight="1" x14ac:dyDescent="0.15">
      <c r="A719" s="172"/>
      <c r="B719" s="172"/>
      <c r="C719" s="181"/>
      <c r="D719" s="174"/>
      <c r="E719" s="174"/>
      <c r="F719" s="59"/>
      <c r="G719" s="67" t="s">
        <v>29</v>
      </c>
      <c r="H719" s="61" t="s">
        <v>27</v>
      </c>
      <c r="I719" s="62" t="s">
        <v>28</v>
      </c>
      <c r="J719" s="63" t="s">
        <v>118</v>
      </c>
      <c r="K719" s="208"/>
      <c r="L719" s="269"/>
    </row>
    <row r="720" spans="1:12" s="180" customFormat="1" ht="11.1" customHeight="1" x14ac:dyDescent="0.15">
      <c r="A720" s="172"/>
      <c r="B720" s="172"/>
      <c r="C720" s="181"/>
      <c r="D720" s="174"/>
      <c r="E720" s="174"/>
      <c r="F720" s="59"/>
      <c r="G720" s="60" t="s">
        <v>31</v>
      </c>
      <c r="H720" s="61" t="s">
        <v>29</v>
      </c>
      <c r="I720" s="62" t="s">
        <v>30</v>
      </c>
      <c r="J720" s="69" t="s">
        <v>119</v>
      </c>
      <c r="K720" s="208"/>
      <c r="L720" s="269"/>
    </row>
    <row r="721" spans="1:14" s="180" customFormat="1" ht="11.1" customHeight="1" x14ac:dyDescent="0.15">
      <c r="A721" s="172"/>
      <c r="B721" s="172"/>
      <c r="C721" s="181"/>
      <c r="D721" s="174"/>
      <c r="E721" s="174"/>
      <c r="F721" s="59"/>
      <c r="G721" s="67" t="s">
        <v>32</v>
      </c>
      <c r="H721" s="61" t="s">
        <v>33</v>
      </c>
      <c r="I721" s="62" t="s">
        <v>120</v>
      </c>
      <c r="J721" s="70" t="s">
        <v>121</v>
      </c>
      <c r="K721" s="208"/>
      <c r="L721" s="269"/>
    </row>
    <row r="722" spans="1:14" ht="3.75" customHeight="1" x14ac:dyDescent="0.15">
      <c r="A722" s="71"/>
      <c r="B722" s="71"/>
      <c r="C722" s="72"/>
      <c r="D722" s="73"/>
      <c r="E722" s="73"/>
      <c r="F722" s="73"/>
      <c r="G722" s="101"/>
      <c r="H722" s="102"/>
      <c r="I722" s="103"/>
      <c r="J722" s="73"/>
      <c r="K722" s="208"/>
      <c r="L722" s="269"/>
    </row>
    <row r="723" spans="1:14" ht="3" customHeight="1" x14ac:dyDescent="0.15">
      <c r="B723" s="81"/>
      <c r="C723" s="82"/>
      <c r="D723" s="83"/>
      <c r="E723" s="83"/>
      <c r="F723" s="84"/>
      <c r="G723" s="85"/>
      <c r="H723" s="86"/>
      <c r="I723" s="87"/>
      <c r="J723" s="83"/>
      <c r="K723" s="208"/>
      <c r="L723" s="269"/>
    </row>
    <row r="724" spans="1:14" s="93" customFormat="1" ht="11.1" customHeight="1" x14ac:dyDescent="0.15">
      <c r="A724" s="111" t="s">
        <v>123</v>
      </c>
      <c r="B724" s="112"/>
      <c r="C724" s="113"/>
      <c r="F724" s="114" t="s">
        <v>124</v>
      </c>
      <c r="G724" s="115"/>
      <c r="H724" s="116"/>
      <c r="I724" s="117"/>
      <c r="K724" s="208"/>
      <c r="L724" s="270"/>
    </row>
    <row r="725" spans="1:14" s="128" customFormat="1" ht="3" customHeight="1" x14ac:dyDescent="0.15">
      <c r="A725" s="186"/>
      <c r="B725" s="186"/>
      <c r="C725" s="187"/>
      <c r="D725" s="79"/>
      <c r="E725" s="79"/>
      <c r="G725" s="107"/>
      <c r="H725" s="108"/>
      <c r="I725" s="109"/>
      <c r="J725" s="110"/>
      <c r="K725" s="208"/>
      <c r="L725" s="269"/>
    </row>
    <row r="726" spans="1:14" s="55" customFormat="1" ht="3" customHeight="1" x14ac:dyDescent="0.2">
      <c r="B726" s="56"/>
      <c r="C726" s="56"/>
      <c r="D726" s="144"/>
      <c r="E726" s="144"/>
      <c r="F726" s="84"/>
      <c r="G726" s="241"/>
      <c r="H726" s="242"/>
      <c r="I726" s="243"/>
      <c r="J726" s="244"/>
      <c r="K726" s="208"/>
      <c r="L726" s="269"/>
    </row>
    <row r="727" spans="1:14" s="143" customFormat="1" ht="12.75" customHeight="1" x14ac:dyDescent="0.2">
      <c r="A727" s="188">
        <v>12</v>
      </c>
      <c r="B727" s="188" t="s">
        <v>806</v>
      </c>
      <c r="C727" s="309"/>
      <c r="D727" s="309"/>
      <c r="E727" s="309"/>
      <c r="G727" s="307"/>
      <c r="H727" s="308"/>
      <c r="J727" s="252"/>
      <c r="K727" s="208"/>
      <c r="L727" s="269"/>
    </row>
    <row r="728" spans="1:14" s="143" customFormat="1" ht="6" customHeight="1" x14ac:dyDescent="0.2">
      <c r="A728" s="55"/>
      <c r="B728" s="56"/>
      <c r="C728" s="56"/>
      <c r="D728" s="55"/>
      <c r="E728" s="84"/>
      <c r="F728" s="84"/>
      <c r="G728" s="249"/>
      <c r="H728" s="250"/>
      <c r="I728" s="251"/>
      <c r="J728" s="252"/>
      <c r="K728" s="208"/>
      <c r="L728" s="269"/>
    </row>
    <row r="729" spans="1:14" ht="11.1" customHeight="1" x14ac:dyDescent="0.2">
      <c r="A729" s="302">
        <v>12.4</v>
      </c>
      <c r="B729" s="80" t="s">
        <v>807</v>
      </c>
      <c r="G729" s="131">
        <v>20.100000000000001</v>
      </c>
      <c r="H729" s="132">
        <v>554</v>
      </c>
      <c r="I729" s="132">
        <v>4910</v>
      </c>
      <c r="J729" s="135">
        <v>2.1</v>
      </c>
      <c r="K729" s="128"/>
      <c r="L729" s="128"/>
      <c r="M729" s="255"/>
      <c r="N729" s="255"/>
    </row>
    <row r="730" spans="1:14" s="55" customFormat="1" ht="11.1" customHeight="1" x14ac:dyDescent="0.2">
      <c r="B730" s="56" t="s">
        <v>808</v>
      </c>
      <c r="C730" s="56" t="s">
        <v>809</v>
      </c>
      <c r="E730" s="84"/>
      <c r="F730" s="84"/>
      <c r="G730" s="131">
        <v>5.0999999999999996</v>
      </c>
      <c r="H730" s="132">
        <v>139</v>
      </c>
      <c r="I730" s="132">
        <v>4210</v>
      </c>
      <c r="J730" s="135">
        <v>2</v>
      </c>
      <c r="K730" s="128"/>
      <c r="L730" s="128"/>
      <c r="M730" s="255"/>
      <c r="N730" s="255"/>
    </row>
    <row r="731" spans="1:14" s="55" customFormat="1" ht="11.1" customHeight="1" x14ac:dyDescent="0.2">
      <c r="B731" s="56"/>
      <c r="C731" s="56" t="s">
        <v>810</v>
      </c>
      <c r="D731" s="55" t="s">
        <v>811</v>
      </c>
      <c r="E731" s="84"/>
      <c r="F731" s="84"/>
      <c r="G731" s="131">
        <v>2.4</v>
      </c>
      <c r="H731" s="132">
        <v>65</v>
      </c>
      <c r="I731" s="132">
        <v>3480</v>
      </c>
      <c r="J731" s="135">
        <v>2.1</v>
      </c>
      <c r="K731" s="128"/>
      <c r="L731" s="128"/>
      <c r="M731" s="255"/>
      <c r="N731" s="255"/>
    </row>
    <row r="732" spans="1:14" s="55" customFormat="1" ht="11.1" customHeight="1" x14ac:dyDescent="0.2">
      <c r="B732" s="56"/>
      <c r="C732" s="56" t="s">
        <v>812</v>
      </c>
      <c r="D732" s="55" t="s">
        <v>813</v>
      </c>
      <c r="E732" s="84"/>
      <c r="F732" s="84"/>
      <c r="G732" s="131">
        <v>2.2999999999999998</v>
      </c>
      <c r="H732" s="132">
        <v>62</v>
      </c>
      <c r="I732" s="132">
        <v>4010</v>
      </c>
      <c r="J732" s="135">
        <v>2.2999999999999998</v>
      </c>
      <c r="K732" s="128"/>
      <c r="L732" s="128"/>
      <c r="M732" s="255"/>
      <c r="N732" s="255"/>
    </row>
    <row r="733" spans="1:14" s="55" customFormat="1" ht="11.1" customHeight="1" x14ac:dyDescent="0.2">
      <c r="B733" s="56"/>
      <c r="C733" s="56" t="s">
        <v>814</v>
      </c>
      <c r="D733" s="55" t="s">
        <v>815</v>
      </c>
      <c r="E733" s="84"/>
      <c r="F733" s="84"/>
      <c r="G733" s="131">
        <v>0.5</v>
      </c>
      <c r="H733" s="132">
        <v>12</v>
      </c>
      <c r="I733" s="132">
        <v>570</v>
      </c>
      <c r="J733" s="135">
        <v>4.5</v>
      </c>
      <c r="K733" s="128"/>
      <c r="L733" s="128"/>
      <c r="M733" s="255"/>
      <c r="N733" s="255"/>
    </row>
    <row r="734" spans="1:14" s="55" customFormat="1" ht="3.75" customHeight="1" x14ac:dyDescent="0.15">
      <c r="B734" s="56"/>
      <c r="C734" s="56"/>
      <c r="E734" s="84"/>
      <c r="F734" s="84"/>
      <c r="G734" s="107"/>
      <c r="H734" s="108"/>
      <c r="I734" s="109"/>
      <c r="J734" s="171"/>
      <c r="K734" s="128"/>
      <c r="L734" s="128"/>
      <c r="M734" s="255"/>
      <c r="N734" s="255"/>
    </row>
    <row r="735" spans="1:14" s="55" customFormat="1" ht="11.1" customHeight="1" x14ac:dyDescent="0.2">
      <c r="B735" s="56" t="s">
        <v>816</v>
      </c>
      <c r="C735" s="56" t="s">
        <v>817</v>
      </c>
      <c r="E735" s="84"/>
      <c r="F735" s="84"/>
      <c r="G735" s="131">
        <v>2.7</v>
      </c>
      <c r="H735" s="132">
        <v>76</v>
      </c>
      <c r="I735" s="132">
        <v>930</v>
      </c>
      <c r="J735" s="135">
        <v>9.3000000000000007</v>
      </c>
      <c r="K735" s="128"/>
      <c r="L735" s="128"/>
      <c r="M735" s="255"/>
      <c r="N735" s="255"/>
    </row>
    <row r="736" spans="1:14" s="55" customFormat="1" ht="3.75" customHeight="1" x14ac:dyDescent="0.15">
      <c r="B736" s="56"/>
      <c r="C736" s="56"/>
      <c r="E736" s="84"/>
      <c r="F736" s="84"/>
      <c r="G736" s="107"/>
      <c r="H736" s="108"/>
      <c r="I736" s="109"/>
      <c r="J736" s="171"/>
      <c r="K736" s="128"/>
      <c r="L736" s="128"/>
      <c r="M736" s="255"/>
      <c r="N736" s="255"/>
    </row>
    <row r="737" spans="1:14" s="55" customFormat="1" ht="11.1" customHeight="1" x14ac:dyDescent="0.2">
      <c r="B737" s="56" t="s">
        <v>818</v>
      </c>
      <c r="C737" s="56" t="s">
        <v>819</v>
      </c>
      <c r="E737" s="84"/>
      <c r="F737" s="84"/>
      <c r="G737" s="131">
        <v>11.3</v>
      </c>
      <c r="H737" s="132">
        <v>310</v>
      </c>
      <c r="I737" s="132">
        <v>4260</v>
      </c>
      <c r="J737" s="135">
        <v>2.2999999999999998</v>
      </c>
      <c r="K737" s="128"/>
      <c r="L737" s="128"/>
      <c r="M737" s="255"/>
      <c r="N737" s="255"/>
    </row>
    <row r="738" spans="1:14" s="55" customFormat="1" ht="11.1" customHeight="1" x14ac:dyDescent="0.2">
      <c r="B738" s="56"/>
      <c r="C738" s="56" t="s">
        <v>820</v>
      </c>
      <c r="D738" s="55" t="s">
        <v>821</v>
      </c>
      <c r="E738" s="84"/>
      <c r="F738" s="84"/>
      <c r="G738" s="131">
        <v>11.2</v>
      </c>
      <c r="H738" s="132">
        <v>309</v>
      </c>
      <c r="I738" s="132">
        <v>4260</v>
      </c>
      <c r="J738" s="135">
        <v>2.2000000000000002</v>
      </c>
      <c r="K738" s="128"/>
      <c r="L738" s="128"/>
      <c r="M738" s="255"/>
      <c r="N738" s="255"/>
    </row>
    <row r="739" spans="1:14" s="55" customFormat="1" ht="11.1" customHeight="1" x14ac:dyDescent="0.2">
      <c r="B739" s="56"/>
      <c r="C739" s="56" t="s">
        <v>822</v>
      </c>
      <c r="D739" s="55" t="s">
        <v>823</v>
      </c>
      <c r="E739" s="84"/>
      <c r="F739" s="84"/>
      <c r="G739" s="138" t="s">
        <v>230</v>
      </c>
      <c r="H739" s="139" t="s">
        <v>230</v>
      </c>
      <c r="I739" s="139" t="s">
        <v>230</v>
      </c>
      <c r="J739" s="135" t="s">
        <v>230</v>
      </c>
      <c r="K739" s="128"/>
      <c r="L739" s="128"/>
      <c r="M739" s="255"/>
      <c r="N739" s="255"/>
    </row>
    <row r="740" spans="1:14" s="55" customFormat="1" ht="3.75" customHeight="1" x14ac:dyDescent="0.15">
      <c r="A740" s="56"/>
      <c r="B740" s="56"/>
      <c r="D740" s="84"/>
      <c r="E740" s="84"/>
      <c r="F740" s="84"/>
      <c r="G740" s="107"/>
      <c r="H740" s="108"/>
      <c r="I740" s="109"/>
      <c r="J740" s="171"/>
      <c r="K740" s="128"/>
      <c r="L740" s="128"/>
      <c r="M740" s="255"/>
      <c r="N740" s="255"/>
    </row>
    <row r="741" spans="1:14" s="55" customFormat="1" ht="11.1" customHeight="1" x14ac:dyDescent="0.2">
      <c r="B741" s="56" t="s">
        <v>824</v>
      </c>
      <c r="C741" s="56" t="s">
        <v>825</v>
      </c>
      <c r="E741" s="84"/>
      <c r="F741" s="84"/>
      <c r="G741" s="131">
        <v>1</v>
      </c>
      <c r="H741" s="132">
        <v>28</v>
      </c>
      <c r="I741" s="132">
        <v>1470</v>
      </c>
      <c r="J741" s="135">
        <v>6.5</v>
      </c>
      <c r="K741" s="128"/>
      <c r="L741" s="128"/>
      <c r="M741" s="255"/>
      <c r="N741" s="255"/>
    </row>
    <row r="742" spans="1:14" s="55" customFormat="1" ht="3.75" customHeight="1" x14ac:dyDescent="0.15">
      <c r="B742" s="56"/>
      <c r="E742" s="84"/>
      <c r="F742" s="84"/>
      <c r="G742" s="107"/>
      <c r="H742" s="108"/>
      <c r="I742" s="79"/>
      <c r="J742" s="231"/>
      <c r="K742" s="128"/>
      <c r="L742" s="128"/>
      <c r="M742" s="255"/>
      <c r="N742" s="255"/>
    </row>
    <row r="743" spans="1:14" s="55" customFormat="1" ht="11.1" customHeight="1" x14ac:dyDescent="0.2">
      <c r="A743" s="302">
        <v>12.5</v>
      </c>
      <c r="B743" s="80" t="s">
        <v>432</v>
      </c>
      <c r="E743" s="84"/>
      <c r="F743" s="84"/>
      <c r="G743" s="131">
        <v>5.7</v>
      </c>
      <c r="H743" s="132">
        <v>156</v>
      </c>
      <c r="I743" s="132">
        <v>1870</v>
      </c>
      <c r="J743" s="135">
        <v>7.4</v>
      </c>
      <c r="K743" s="128"/>
      <c r="L743" s="128"/>
      <c r="M743" s="255"/>
      <c r="N743" s="255"/>
    </row>
    <row r="744" spans="1:14" ht="11.1" customHeight="1" x14ac:dyDescent="0.2">
      <c r="B744" s="56" t="s">
        <v>826</v>
      </c>
      <c r="C744" s="56" t="s">
        <v>827</v>
      </c>
      <c r="G744" s="131">
        <v>2.9</v>
      </c>
      <c r="H744" s="132">
        <v>81</v>
      </c>
      <c r="I744" s="132">
        <v>350</v>
      </c>
      <c r="J744" s="135">
        <v>10</v>
      </c>
      <c r="K744" s="128"/>
      <c r="L744" s="128"/>
      <c r="M744" s="255"/>
      <c r="N744" s="255"/>
    </row>
    <row r="745" spans="1:14" ht="11.1" customHeight="1" x14ac:dyDescent="0.2">
      <c r="A745" s="79"/>
      <c r="B745" s="79"/>
      <c r="C745" s="56" t="s">
        <v>828</v>
      </c>
      <c r="D745" s="55" t="s">
        <v>829</v>
      </c>
      <c r="G745" s="131">
        <v>0.5</v>
      </c>
      <c r="H745" s="132">
        <v>14</v>
      </c>
      <c r="I745" s="132">
        <v>170</v>
      </c>
      <c r="J745" s="135">
        <v>14.1</v>
      </c>
      <c r="K745" s="128"/>
      <c r="L745" s="128"/>
      <c r="M745" s="255"/>
      <c r="N745" s="255"/>
    </row>
    <row r="746" spans="1:14" s="55" customFormat="1" ht="11.1" customHeight="1" x14ac:dyDescent="0.2">
      <c r="C746" s="56" t="s">
        <v>830</v>
      </c>
      <c r="D746" s="55" t="s">
        <v>831</v>
      </c>
      <c r="E746" s="84"/>
      <c r="F746" s="84"/>
      <c r="G746" s="131">
        <v>1.2</v>
      </c>
      <c r="H746" s="132">
        <v>32</v>
      </c>
      <c r="I746" s="132">
        <v>80</v>
      </c>
      <c r="J746" s="135">
        <v>15.2</v>
      </c>
      <c r="K746" s="128"/>
      <c r="L746" s="128"/>
      <c r="M746" s="255"/>
      <c r="N746" s="255"/>
    </row>
    <row r="747" spans="1:14" s="55" customFormat="1" ht="11.1" customHeight="1" x14ac:dyDescent="0.2">
      <c r="B747" s="56"/>
      <c r="C747" s="56" t="s">
        <v>832</v>
      </c>
      <c r="D747" s="55" t="s">
        <v>833</v>
      </c>
      <c r="E747" s="84"/>
      <c r="F747" s="84"/>
      <c r="G747" s="131">
        <v>0.5</v>
      </c>
      <c r="H747" s="132">
        <v>14</v>
      </c>
      <c r="I747" s="132">
        <v>50</v>
      </c>
      <c r="J747" s="135">
        <v>30</v>
      </c>
      <c r="K747" s="128"/>
      <c r="L747" s="128"/>
      <c r="M747" s="255"/>
      <c r="N747" s="255"/>
    </row>
    <row r="748" spans="1:14" s="55" customFormat="1" ht="11.1" customHeight="1" x14ac:dyDescent="0.2">
      <c r="B748" s="56"/>
      <c r="C748" s="56" t="s">
        <v>834</v>
      </c>
      <c r="D748" s="55" t="s">
        <v>835</v>
      </c>
      <c r="E748" s="84"/>
      <c r="F748" s="84"/>
      <c r="G748" s="131">
        <v>0.5</v>
      </c>
      <c r="H748" s="132">
        <v>13</v>
      </c>
      <c r="I748" s="132">
        <v>80</v>
      </c>
      <c r="J748" s="135">
        <v>16.100000000000001</v>
      </c>
      <c r="K748" s="128"/>
      <c r="L748" s="128"/>
      <c r="M748" s="255"/>
      <c r="N748" s="255"/>
    </row>
    <row r="749" spans="1:14" s="55" customFormat="1" ht="11.1" customHeight="1" x14ac:dyDescent="0.2">
      <c r="B749" s="56"/>
      <c r="C749" s="56" t="s">
        <v>836</v>
      </c>
      <c r="D749" s="55" t="s">
        <v>837</v>
      </c>
      <c r="E749" s="84"/>
      <c r="F749" s="84"/>
      <c r="G749" s="131">
        <v>0.2</v>
      </c>
      <c r="H749" s="132">
        <v>7</v>
      </c>
      <c r="I749" s="132">
        <v>100</v>
      </c>
      <c r="J749" s="135">
        <v>14.1</v>
      </c>
      <c r="K749" s="128"/>
      <c r="L749" s="128"/>
      <c r="M749" s="255"/>
      <c r="N749" s="255"/>
    </row>
    <row r="750" spans="1:14" s="55" customFormat="1" ht="3.75" customHeight="1" x14ac:dyDescent="0.15">
      <c r="B750" s="56"/>
      <c r="E750" s="84"/>
      <c r="F750" s="84"/>
      <c r="G750" s="107"/>
      <c r="H750" s="108"/>
      <c r="I750" s="79"/>
      <c r="J750" s="231"/>
      <c r="K750" s="128"/>
      <c r="L750" s="128"/>
      <c r="M750" s="255"/>
      <c r="N750" s="255"/>
    </row>
    <row r="751" spans="1:14" s="55" customFormat="1" ht="11.1" customHeight="1" x14ac:dyDescent="0.2">
      <c r="B751" s="56" t="s">
        <v>838</v>
      </c>
      <c r="C751" s="56" t="s">
        <v>839</v>
      </c>
      <c r="E751" s="84"/>
      <c r="F751" s="84"/>
      <c r="G751" s="131">
        <v>0.5</v>
      </c>
      <c r="H751" s="132">
        <v>15</v>
      </c>
      <c r="I751" s="132">
        <v>1240</v>
      </c>
      <c r="J751" s="135">
        <v>5.4</v>
      </c>
      <c r="K751" s="128"/>
      <c r="L751" s="128"/>
      <c r="M751" s="255"/>
      <c r="N751" s="255"/>
    </row>
    <row r="752" spans="1:14" s="55" customFormat="1" ht="11.1" customHeight="1" x14ac:dyDescent="0.2">
      <c r="B752" s="56"/>
      <c r="C752" s="55" t="s">
        <v>840</v>
      </c>
      <c r="D752" s="55" t="s">
        <v>841</v>
      </c>
      <c r="E752" s="84"/>
      <c r="F752" s="84"/>
      <c r="G752" s="131">
        <v>0.4</v>
      </c>
      <c r="H752" s="132">
        <v>12</v>
      </c>
      <c r="I752" s="132">
        <v>1090</v>
      </c>
      <c r="J752" s="135">
        <v>5.9</v>
      </c>
      <c r="K752" s="128"/>
      <c r="L752" s="128"/>
      <c r="M752" s="255"/>
      <c r="N752" s="255"/>
    </row>
    <row r="753" spans="1:14" s="55" customFormat="1" ht="11.1" customHeight="1" x14ac:dyDescent="0.2">
      <c r="B753" s="56"/>
      <c r="C753" s="55" t="s">
        <v>842</v>
      </c>
      <c r="D753" s="55" t="s">
        <v>843</v>
      </c>
      <c r="E753" s="84"/>
      <c r="F753" s="84"/>
      <c r="G753" s="138" t="s">
        <v>230</v>
      </c>
      <c r="H753" s="139" t="s">
        <v>230</v>
      </c>
      <c r="I753" s="139" t="s">
        <v>230</v>
      </c>
      <c r="J753" s="135" t="s">
        <v>230</v>
      </c>
      <c r="K753" s="128"/>
      <c r="L753" s="128"/>
      <c r="M753" s="255"/>
      <c r="N753" s="255"/>
    </row>
    <row r="754" spans="1:14" s="55" customFormat="1" ht="11.1" customHeight="1" x14ac:dyDescent="0.2">
      <c r="B754" s="56"/>
      <c r="C754" s="55" t="s">
        <v>844</v>
      </c>
      <c r="D754" s="55" t="s">
        <v>845</v>
      </c>
      <c r="E754" s="84"/>
      <c r="F754" s="84"/>
      <c r="G754" s="131">
        <v>0.1</v>
      </c>
      <c r="H754" s="132">
        <v>2</v>
      </c>
      <c r="I754" s="132">
        <v>250</v>
      </c>
      <c r="J754" s="135">
        <v>10.3</v>
      </c>
      <c r="K754" s="128"/>
      <c r="L754" s="128"/>
      <c r="M754" s="255"/>
      <c r="N754" s="255"/>
    </row>
    <row r="755" spans="1:14" s="55" customFormat="1" ht="11.1" customHeight="1" x14ac:dyDescent="0.2">
      <c r="B755" s="56"/>
      <c r="C755" s="55" t="s">
        <v>846</v>
      </c>
      <c r="D755" s="55" t="s">
        <v>847</v>
      </c>
      <c r="E755" s="84"/>
      <c r="F755" s="84"/>
      <c r="G755" s="138" t="s">
        <v>367</v>
      </c>
      <c r="H755" s="139" t="s">
        <v>367</v>
      </c>
      <c r="I755" s="139" t="s">
        <v>367</v>
      </c>
      <c r="J755" s="135" t="s">
        <v>230</v>
      </c>
      <c r="K755" s="128"/>
      <c r="L755" s="128"/>
      <c r="M755" s="255"/>
      <c r="N755" s="255"/>
    </row>
    <row r="756" spans="1:14" s="55" customFormat="1" ht="3" customHeight="1" x14ac:dyDescent="0.15">
      <c r="B756" s="56"/>
      <c r="C756" s="56"/>
      <c r="E756" s="84"/>
      <c r="F756" s="84"/>
      <c r="G756" s="107"/>
      <c r="H756" s="108"/>
      <c r="I756" s="118"/>
      <c r="J756" s="171"/>
      <c r="K756" s="128"/>
      <c r="L756" s="128"/>
      <c r="M756" s="255"/>
      <c r="N756" s="255"/>
    </row>
    <row r="757" spans="1:14" s="55" customFormat="1" ht="11.1" customHeight="1" x14ac:dyDescent="0.2">
      <c r="B757" s="56" t="s">
        <v>848</v>
      </c>
      <c r="C757" s="56" t="s">
        <v>849</v>
      </c>
      <c r="F757" s="84"/>
      <c r="G757" s="131">
        <v>2.2000000000000002</v>
      </c>
      <c r="H757" s="132">
        <v>61</v>
      </c>
      <c r="I757" s="132">
        <v>640</v>
      </c>
      <c r="J757" s="135">
        <v>11.1</v>
      </c>
      <c r="K757" s="128"/>
      <c r="L757" s="128"/>
      <c r="M757" s="255"/>
      <c r="N757" s="255"/>
    </row>
    <row r="758" spans="1:14" s="55" customFormat="1" ht="11.1" customHeight="1" x14ac:dyDescent="0.2">
      <c r="B758" s="56"/>
      <c r="C758" s="56" t="s">
        <v>850</v>
      </c>
      <c r="D758" s="55" t="s">
        <v>851</v>
      </c>
      <c r="E758" s="84"/>
      <c r="F758" s="84"/>
      <c r="G758" s="131">
        <v>0.3</v>
      </c>
      <c r="H758" s="132">
        <v>9</v>
      </c>
      <c r="I758" s="132">
        <v>30</v>
      </c>
      <c r="J758" s="135">
        <v>25.6</v>
      </c>
      <c r="K758" s="128"/>
      <c r="L758" s="128"/>
      <c r="M758" s="255"/>
      <c r="N758" s="255"/>
    </row>
    <row r="759" spans="1:14" s="55" customFormat="1" ht="11.1" customHeight="1" x14ac:dyDescent="0.2">
      <c r="B759" s="56"/>
      <c r="C759" s="56" t="s">
        <v>852</v>
      </c>
      <c r="D759" s="55" t="s">
        <v>853</v>
      </c>
      <c r="E759" s="84"/>
      <c r="F759" s="84"/>
      <c r="G759" s="131">
        <v>0.6</v>
      </c>
      <c r="H759" s="132">
        <v>16</v>
      </c>
      <c r="I759" s="132">
        <v>30</v>
      </c>
      <c r="J759" s="135">
        <v>23.5</v>
      </c>
      <c r="K759" s="128"/>
      <c r="L759" s="128"/>
      <c r="M759" s="255"/>
      <c r="N759" s="255"/>
    </row>
    <row r="760" spans="1:14" s="55" customFormat="1" ht="11.1" customHeight="1" x14ac:dyDescent="0.2">
      <c r="C760" s="56" t="s">
        <v>854</v>
      </c>
      <c r="D760" s="55" t="s">
        <v>855</v>
      </c>
      <c r="E760" s="84"/>
      <c r="F760" s="84"/>
      <c r="G760" s="131">
        <v>0.6</v>
      </c>
      <c r="H760" s="132">
        <v>16</v>
      </c>
      <c r="I760" s="132">
        <v>20</v>
      </c>
      <c r="J760" s="135">
        <v>26.8</v>
      </c>
      <c r="K760" s="128"/>
      <c r="L760" s="128"/>
      <c r="M760" s="255"/>
      <c r="N760" s="255"/>
    </row>
    <row r="761" spans="1:14" s="55" customFormat="1" ht="11.1" customHeight="1" x14ac:dyDescent="0.2">
      <c r="B761" s="56"/>
      <c r="C761" s="56" t="s">
        <v>856</v>
      </c>
      <c r="D761" s="55" t="s">
        <v>857</v>
      </c>
      <c r="E761" s="84"/>
      <c r="F761" s="84"/>
      <c r="G761" s="131">
        <v>0.6</v>
      </c>
      <c r="H761" s="132">
        <v>17</v>
      </c>
      <c r="I761" s="132">
        <v>520</v>
      </c>
      <c r="J761" s="135">
        <v>13.4</v>
      </c>
      <c r="K761" s="128"/>
      <c r="L761" s="128"/>
      <c r="M761" s="255"/>
      <c r="N761" s="255"/>
    </row>
    <row r="762" spans="1:14" s="55" customFormat="1" ht="11.1" customHeight="1" x14ac:dyDescent="0.2">
      <c r="B762" s="56"/>
      <c r="C762" s="56" t="s">
        <v>858</v>
      </c>
      <c r="D762" s="55" t="s">
        <v>859</v>
      </c>
      <c r="E762" s="84"/>
      <c r="F762" s="84"/>
      <c r="G762" s="131">
        <v>0.1</v>
      </c>
      <c r="H762" s="132">
        <v>3</v>
      </c>
      <c r="I762" s="132">
        <v>60</v>
      </c>
      <c r="J762" s="135">
        <v>49.2</v>
      </c>
      <c r="K762" s="128"/>
      <c r="L762" s="128"/>
      <c r="M762" s="255"/>
      <c r="N762" s="255"/>
    </row>
    <row r="763" spans="1:14" s="55" customFormat="1" ht="3.75" customHeight="1" x14ac:dyDescent="0.15">
      <c r="A763" s="47"/>
      <c r="B763" s="45"/>
      <c r="C763" s="45"/>
      <c r="D763" s="47"/>
      <c r="E763" s="48"/>
      <c r="F763" s="48"/>
      <c r="G763" s="101"/>
      <c r="H763" s="108"/>
      <c r="I763" s="103"/>
      <c r="J763" s="77"/>
      <c r="K763" s="128"/>
      <c r="L763" s="128"/>
      <c r="M763" s="255"/>
      <c r="N763" s="255"/>
    </row>
    <row r="764" spans="1:14" ht="6" customHeight="1" x14ac:dyDescent="0.15">
      <c r="H764" s="310"/>
      <c r="K764" s="128"/>
      <c r="L764" s="128"/>
      <c r="M764" s="255"/>
      <c r="N764" s="255"/>
    </row>
    <row r="765" spans="1:14" s="121" customFormat="1" ht="11.1" customHeight="1" x14ac:dyDescent="0.2">
      <c r="A765" s="119" t="s">
        <v>860</v>
      </c>
      <c r="B765" s="188" t="s">
        <v>19</v>
      </c>
      <c r="D765" s="259"/>
      <c r="E765" s="259"/>
      <c r="F765" s="259"/>
      <c r="G765" s="123">
        <v>514.1</v>
      </c>
      <c r="H765" s="124">
        <v>14128</v>
      </c>
      <c r="I765" s="124">
        <v>5480</v>
      </c>
      <c r="J765" s="125">
        <v>1.1000000000000001</v>
      </c>
      <c r="K765" s="128"/>
      <c r="L765" s="128"/>
      <c r="M765" s="255"/>
      <c r="N765" s="255"/>
    </row>
    <row r="766" spans="1:14" ht="6" customHeight="1" x14ac:dyDescent="0.15">
      <c r="A766" s="71"/>
      <c r="B766" s="71"/>
      <c r="C766" s="72"/>
      <c r="D766" s="73"/>
      <c r="E766" s="73"/>
      <c r="F766" s="73"/>
      <c r="G766" s="101"/>
      <c r="H766" s="311"/>
      <c r="I766" s="103"/>
      <c r="J766" s="77"/>
      <c r="K766" s="128"/>
      <c r="L766" s="128"/>
      <c r="M766" s="255"/>
      <c r="N766" s="255"/>
    </row>
    <row r="767" spans="1:14" ht="6" customHeight="1" x14ac:dyDescent="0.15">
      <c r="H767" s="312"/>
      <c r="K767" s="128"/>
      <c r="L767" s="128"/>
      <c r="M767" s="255"/>
      <c r="N767" s="255"/>
    </row>
    <row r="768" spans="1:14" s="128" customFormat="1" ht="11.1" customHeight="1" x14ac:dyDescent="0.2">
      <c r="A768" s="188">
        <v>13</v>
      </c>
      <c r="B768" s="188" t="s">
        <v>20</v>
      </c>
      <c r="C768" s="121"/>
      <c r="D768" s="259"/>
      <c r="E768" s="259"/>
      <c r="F768" s="259"/>
      <c r="G768" s="123">
        <v>77.900000000000006</v>
      </c>
      <c r="H768" s="124">
        <v>2142</v>
      </c>
      <c r="I768" s="124">
        <v>5270</v>
      </c>
      <c r="J768" s="125">
        <v>2.2999999999999998</v>
      </c>
      <c r="M768" s="255"/>
      <c r="N768" s="255"/>
    </row>
    <row r="769" spans="1:14" ht="6" customHeight="1" x14ac:dyDescent="0.15">
      <c r="G769" s="313"/>
      <c r="H769" s="314"/>
      <c r="I769" s="315"/>
      <c r="K769" s="128"/>
      <c r="L769" s="128"/>
      <c r="M769" s="255"/>
      <c r="N769" s="255"/>
    </row>
    <row r="770" spans="1:14" ht="11.1" customHeight="1" x14ac:dyDescent="0.2">
      <c r="A770" s="302">
        <v>13.1</v>
      </c>
      <c r="B770" s="80" t="s">
        <v>861</v>
      </c>
      <c r="G770" s="131">
        <v>47.2</v>
      </c>
      <c r="H770" s="132">
        <v>1296</v>
      </c>
      <c r="I770" s="132">
        <v>5040</v>
      </c>
      <c r="J770" s="135">
        <v>1.5</v>
      </c>
      <c r="K770" s="128"/>
      <c r="L770" s="128"/>
      <c r="M770" s="255"/>
      <c r="N770" s="255"/>
    </row>
    <row r="771" spans="1:14" s="55" customFormat="1" ht="11.1" customHeight="1" x14ac:dyDescent="0.2">
      <c r="A771" s="272"/>
      <c r="B771" s="56" t="s">
        <v>862</v>
      </c>
      <c r="C771" s="55" t="s">
        <v>863</v>
      </c>
      <c r="D771" s="84"/>
      <c r="E771" s="84"/>
      <c r="F771" s="84"/>
      <c r="G771" s="131">
        <v>20.8</v>
      </c>
      <c r="H771" s="132">
        <v>571</v>
      </c>
      <c r="I771" s="132">
        <v>1660</v>
      </c>
      <c r="J771" s="135">
        <v>2.9</v>
      </c>
      <c r="K771" s="128"/>
      <c r="L771" s="128"/>
      <c r="M771" s="255"/>
      <c r="N771" s="255"/>
    </row>
    <row r="772" spans="1:14" s="55" customFormat="1" ht="11.1" customHeight="1" x14ac:dyDescent="0.2">
      <c r="A772" s="272"/>
      <c r="B772" s="56" t="s">
        <v>864</v>
      </c>
      <c r="C772" s="55" t="s">
        <v>865</v>
      </c>
      <c r="D772" s="84"/>
      <c r="E772" s="84"/>
      <c r="F772" s="84"/>
      <c r="G772" s="131">
        <v>1.1000000000000001</v>
      </c>
      <c r="H772" s="132">
        <v>29</v>
      </c>
      <c r="I772" s="132">
        <v>610</v>
      </c>
      <c r="J772" s="135">
        <v>5.4</v>
      </c>
      <c r="K772" s="128"/>
      <c r="L772" s="128"/>
      <c r="M772" s="255"/>
      <c r="N772" s="255"/>
    </row>
    <row r="773" spans="1:14" s="55" customFormat="1" ht="11.1" customHeight="1" x14ac:dyDescent="0.2">
      <c r="A773" s="272"/>
      <c r="B773" s="56" t="s">
        <v>866</v>
      </c>
      <c r="C773" s="55" t="s">
        <v>867</v>
      </c>
      <c r="D773" s="84"/>
      <c r="E773" s="84"/>
      <c r="F773" s="84"/>
      <c r="G773" s="131">
        <v>24.5</v>
      </c>
      <c r="H773" s="132">
        <v>675</v>
      </c>
      <c r="I773" s="132">
        <v>5030</v>
      </c>
      <c r="J773" s="135">
        <v>0.8</v>
      </c>
      <c r="K773" s="128"/>
      <c r="L773" s="128"/>
      <c r="M773" s="255"/>
      <c r="N773" s="255"/>
    </row>
    <row r="774" spans="1:14" s="55" customFormat="1" ht="11.1" customHeight="1" x14ac:dyDescent="0.2">
      <c r="A774" s="272"/>
      <c r="B774" s="56" t="s">
        <v>868</v>
      </c>
      <c r="C774" s="55" t="s">
        <v>869</v>
      </c>
      <c r="D774" s="84"/>
      <c r="E774" s="84"/>
      <c r="F774" s="84"/>
      <c r="G774" s="131">
        <v>0.8</v>
      </c>
      <c r="H774" s="132">
        <v>21</v>
      </c>
      <c r="I774" s="132">
        <v>30</v>
      </c>
      <c r="J774" s="135">
        <v>32.6</v>
      </c>
      <c r="K774" s="128"/>
      <c r="L774" s="128"/>
      <c r="M774" s="255"/>
      <c r="N774" s="255"/>
    </row>
    <row r="775" spans="1:14" ht="3.75" customHeight="1" x14ac:dyDescent="0.15">
      <c r="A775" s="302"/>
      <c r="K775" s="128"/>
      <c r="L775" s="128"/>
      <c r="M775" s="255"/>
      <c r="N775" s="255"/>
    </row>
    <row r="776" spans="1:14" ht="11.1" customHeight="1" x14ac:dyDescent="0.2">
      <c r="A776" s="302">
        <v>13.2</v>
      </c>
      <c r="B776" s="80" t="s">
        <v>870</v>
      </c>
      <c r="G776" s="131">
        <v>4.2</v>
      </c>
      <c r="H776" s="132">
        <v>115</v>
      </c>
      <c r="I776" s="132">
        <v>3990</v>
      </c>
      <c r="J776" s="135">
        <v>9.6</v>
      </c>
      <c r="K776" s="128"/>
      <c r="L776" s="128"/>
      <c r="M776" s="255"/>
      <c r="N776" s="255"/>
    </row>
    <row r="777" spans="1:14" s="55" customFormat="1" ht="11.1" customHeight="1" x14ac:dyDescent="0.2">
      <c r="A777" s="272"/>
      <c r="B777" s="56" t="s">
        <v>871</v>
      </c>
      <c r="C777" s="55" t="s">
        <v>872</v>
      </c>
      <c r="D777" s="84"/>
      <c r="E777" s="84"/>
      <c r="F777" s="84"/>
      <c r="G777" s="131">
        <v>0.9</v>
      </c>
      <c r="H777" s="132">
        <v>25</v>
      </c>
      <c r="I777" s="132">
        <v>70</v>
      </c>
      <c r="J777" s="135">
        <v>43.7</v>
      </c>
      <c r="K777" s="128"/>
      <c r="L777" s="128"/>
      <c r="M777" s="255"/>
      <c r="N777" s="255"/>
    </row>
    <row r="778" spans="1:14" s="55" customFormat="1" ht="11.1" customHeight="1" x14ac:dyDescent="0.2">
      <c r="A778" s="272"/>
      <c r="B778" s="56" t="s">
        <v>873</v>
      </c>
      <c r="C778" s="55" t="s">
        <v>874</v>
      </c>
      <c r="D778" s="84"/>
      <c r="E778" s="84"/>
      <c r="F778" s="84"/>
      <c r="G778" s="256">
        <v>0.1</v>
      </c>
      <c r="H778" s="203">
        <v>2</v>
      </c>
      <c r="I778" s="132">
        <v>10</v>
      </c>
      <c r="J778" s="135">
        <v>32.1</v>
      </c>
      <c r="K778" s="128"/>
      <c r="L778" s="128"/>
      <c r="M778" s="255"/>
      <c r="N778" s="255"/>
    </row>
    <row r="779" spans="1:14" s="55" customFormat="1" ht="11.1" customHeight="1" x14ac:dyDescent="0.2">
      <c r="A779" s="272"/>
      <c r="B779" s="56" t="s">
        <v>875</v>
      </c>
      <c r="C779" s="55" t="s">
        <v>876</v>
      </c>
      <c r="D779" s="84"/>
      <c r="E779" s="84"/>
      <c r="F779" s="84"/>
      <c r="G779" s="131">
        <v>3.2</v>
      </c>
      <c r="H779" s="132">
        <v>88</v>
      </c>
      <c r="I779" s="132">
        <v>3970</v>
      </c>
      <c r="J779" s="135">
        <v>1.6</v>
      </c>
      <c r="K779" s="128"/>
      <c r="L779" s="128"/>
      <c r="M779" s="255"/>
      <c r="N779" s="255"/>
    </row>
    <row r="780" spans="1:14" ht="3.75" customHeight="1" x14ac:dyDescent="0.15">
      <c r="A780" s="302"/>
      <c r="K780" s="128"/>
      <c r="L780" s="128"/>
      <c r="M780" s="255"/>
      <c r="N780" s="255"/>
    </row>
    <row r="781" spans="1:14" ht="11.1" customHeight="1" x14ac:dyDescent="0.2">
      <c r="A781" s="302">
        <v>13.3</v>
      </c>
      <c r="B781" s="80" t="s">
        <v>877</v>
      </c>
      <c r="G781" s="131">
        <v>12.6</v>
      </c>
      <c r="H781" s="132">
        <v>345</v>
      </c>
      <c r="I781" s="132">
        <v>300</v>
      </c>
      <c r="J781" s="135">
        <v>8.6</v>
      </c>
      <c r="K781" s="128"/>
      <c r="L781" s="128"/>
      <c r="M781" s="255"/>
      <c r="N781" s="255"/>
    </row>
    <row r="782" spans="1:14" s="55" customFormat="1" ht="11.1" customHeight="1" x14ac:dyDescent="0.2">
      <c r="A782" s="272"/>
      <c r="B782" s="56" t="s">
        <v>878</v>
      </c>
      <c r="C782" s="55" t="s">
        <v>879</v>
      </c>
      <c r="D782" s="84"/>
      <c r="E782" s="84"/>
      <c r="F782" s="84"/>
      <c r="G782" s="131">
        <v>12.6</v>
      </c>
      <c r="H782" s="132">
        <v>345</v>
      </c>
      <c r="I782" s="132">
        <v>300</v>
      </c>
      <c r="J782" s="135">
        <v>8.6</v>
      </c>
      <c r="K782" s="128"/>
      <c r="L782" s="128"/>
      <c r="M782" s="255"/>
      <c r="N782" s="255"/>
    </row>
    <row r="783" spans="1:14" s="55" customFormat="1" ht="11.1" customHeight="1" x14ac:dyDescent="0.2">
      <c r="A783" s="272"/>
      <c r="B783" s="56" t="s">
        <v>880</v>
      </c>
      <c r="C783" s="55" t="s">
        <v>881</v>
      </c>
      <c r="D783" s="84"/>
      <c r="E783" s="84"/>
      <c r="F783" s="84"/>
      <c r="G783" s="138" t="s">
        <v>230</v>
      </c>
      <c r="H783" s="139" t="s">
        <v>230</v>
      </c>
      <c r="I783" s="139" t="s">
        <v>230</v>
      </c>
      <c r="J783" s="135" t="s">
        <v>230</v>
      </c>
      <c r="K783" s="128"/>
      <c r="L783" s="128"/>
      <c r="M783" s="255"/>
      <c r="N783" s="255"/>
    </row>
    <row r="784" spans="1:14" ht="3.75" customHeight="1" x14ac:dyDescent="0.15">
      <c r="A784" s="316"/>
      <c r="B784" s="71"/>
      <c r="C784" s="72"/>
      <c r="D784" s="73"/>
      <c r="E784" s="73"/>
      <c r="F784" s="73"/>
      <c r="G784" s="101"/>
      <c r="H784" s="311"/>
      <c r="I784" s="103"/>
      <c r="J784" s="77"/>
      <c r="K784" s="208"/>
      <c r="L784" s="269"/>
    </row>
    <row r="785" spans="1:12" ht="3.75" customHeight="1" x14ac:dyDescent="0.15">
      <c r="A785" s="302"/>
      <c r="K785" s="208"/>
      <c r="L785" s="269"/>
    </row>
    <row r="786" spans="1:12" ht="11.1" customHeight="1" x14ac:dyDescent="0.2">
      <c r="A786" s="157" t="s">
        <v>111</v>
      </c>
      <c r="B786" s="56"/>
      <c r="C786" s="56"/>
      <c r="D786" s="55"/>
      <c r="E786" s="137"/>
      <c r="F786" s="142"/>
      <c r="G786" s="241"/>
      <c r="H786" s="242"/>
      <c r="K786" s="208"/>
      <c r="L786" s="269"/>
    </row>
    <row r="787" spans="1:12" ht="11.1" customHeight="1" x14ac:dyDescent="0.2">
      <c r="A787" s="157" t="s">
        <v>182</v>
      </c>
      <c r="B787" s="56"/>
      <c r="C787" s="56"/>
      <c r="D787" s="55"/>
      <c r="E787" s="137"/>
      <c r="F787" s="142"/>
      <c r="G787" s="241"/>
      <c r="H787" s="242"/>
      <c r="K787" s="208"/>
      <c r="L787" s="269"/>
    </row>
    <row r="788" spans="1:12" ht="11.1" customHeight="1" x14ac:dyDescent="0.2">
      <c r="A788" s="157" t="s">
        <v>112</v>
      </c>
      <c r="B788" s="56"/>
      <c r="C788" s="56"/>
      <c r="D788" s="55"/>
      <c r="E788" s="137"/>
      <c r="F788" s="142"/>
      <c r="G788" s="241"/>
      <c r="H788" s="242"/>
      <c r="K788" s="208"/>
      <c r="L788" s="269"/>
    </row>
    <row r="789" spans="1:12" ht="13.5" customHeight="1" x14ac:dyDescent="0.2">
      <c r="A789" s="80" t="s">
        <v>882</v>
      </c>
      <c r="B789" s="56"/>
      <c r="C789" s="56"/>
      <c r="D789" s="55"/>
      <c r="E789" s="137"/>
      <c r="F789" s="142"/>
      <c r="G789" s="241"/>
      <c r="H789" s="242"/>
      <c r="K789" s="208"/>
      <c r="L789" s="269"/>
    </row>
    <row r="790" spans="1:12" ht="11.1" customHeight="1" x14ac:dyDescent="0.2">
      <c r="A790" s="80" t="s">
        <v>883</v>
      </c>
      <c r="B790" s="56"/>
      <c r="C790" s="56"/>
      <c r="D790" s="55"/>
      <c r="E790" s="137"/>
      <c r="F790" s="142"/>
      <c r="G790" s="241"/>
      <c r="H790" s="242"/>
      <c r="K790" s="208"/>
      <c r="L790" s="269"/>
    </row>
    <row r="791" spans="1:12" ht="13.5" customHeight="1" x14ac:dyDescent="0.2">
      <c r="A791" s="80" t="s">
        <v>884</v>
      </c>
      <c r="B791" s="56"/>
      <c r="C791" s="56"/>
      <c r="D791" s="55"/>
      <c r="E791" s="137"/>
      <c r="F791" s="142"/>
      <c r="G791" s="241"/>
      <c r="H791" s="242"/>
      <c r="K791" s="208"/>
      <c r="L791" s="269"/>
    </row>
    <row r="792" spans="1:12" ht="11.1" customHeight="1" x14ac:dyDescent="0.2">
      <c r="A792" s="80" t="s">
        <v>885</v>
      </c>
      <c r="B792" s="56"/>
      <c r="C792" s="56"/>
      <c r="D792" s="55"/>
      <c r="E792" s="137"/>
      <c r="F792" s="142"/>
      <c r="G792" s="241"/>
      <c r="H792" s="242"/>
      <c r="K792" s="208"/>
      <c r="L792" s="269"/>
    </row>
    <row r="793" spans="1:12" ht="13.5" customHeight="1" x14ac:dyDescent="0.2">
      <c r="A793" s="80" t="s">
        <v>886</v>
      </c>
      <c r="B793" s="56"/>
      <c r="C793" s="56"/>
      <c r="D793" s="55"/>
      <c r="E793" s="137"/>
      <c r="F793" s="142"/>
      <c r="G793" s="241"/>
      <c r="H793" s="242"/>
      <c r="K793" s="208"/>
      <c r="L793" s="269"/>
    </row>
    <row r="794" spans="1:12" ht="11.1" customHeight="1" x14ac:dyDescent="0.15">
      <c r="A794" s="80" t="s">
        <v>887</v>
      </c>
      <c r="K794" s="208"/>
      <c r="L794" s="269"/>
    </row>
    <row r="795" spans="1:12" ht="11.1" customHeight="1" x14ac:dyDescent="0.15">
      <c r="K795" s="208"/>
      <c r="L795" s="269"/>
    </row>
    <row r="796" spans="1:12" ht="11.1" customHeight="1" x14ac:dyDescent="0.15">
      <c r="A796" s="302"/>
      <c r="K796" s="208"/>
      <c r="L796" s="269"/>
    </row>
    <row r="797" spans="1:12" ht="11.1" customHeight="1" x14ac:dyDescent="0.15">
      <c r="A797" s="302"/>
      <c r="K797" s="208"/>
      <c r="L797" s="269"/>
    </row>
    <row r="798" spans="1:12" ht="11.1" customHeight="1" x14ac:dyDescent="0.15">
      <c r="A798" s="302"/>
      <c r="K798" s="208"/>
      <c r="L798" s="269"/>
    </row>
    <row r="799" spans="1:12" ht="11.1" customHeight="1" x14ac:dyDescent="0.15">
      <c r="A799" s="302"/>
      <c r="K799" s="208"/>
      <c r="L799" s="269"/>
    </row>
    <row r="800" spans="1:12" ht="11.1" customHeight="1" x14ac:dyDescent="0.15">
      <c r="A800" s="302"/>
      <c r="K800" s="208"/>
      <c r="L800" s="269"/>
    </row>
    <row r="801" spans="1:12" ht="11.1" customHeight="1" x14ac:dyDescent="0.15">
      <c r="A801" s="302"/>
      <c r="K801" s="208"/>
      <c r="L801" s="269"/>
    </row>
    <row r="802" spans="1:12" ht="11.1" customHeight="1" x14ac:dyDescent="0.15">
      <c r="A802" s="302"/>
      <c r="K802" s="208"/>
      <c r="L802" s="269"/>
    </row>
    <row r="803" spans="1:12" ht="11.1" customHeight="1" x14ac:dyDescent="0.15">
      <c r="A803" s="302"/>
      <c r="K803" s="208"/>
      <c r="L803" s="269"/>
    </row>
    <row r="804" spans="1:12" ht="11.1" customHeight="1" x14ac:dyDescent="0.15">
      <c r="A804" s="302"/>
      <c r="K804" s="208"/>
      <c r="L804" s="269"/>
    </row>
    <row r="805" spans="1:12" ht="11.1" customHeight="1" x14ac:dyDescent="0.15">
      <c r="A805" s="302"/>
      <c r="K805" s="208"/>
      <c r="L805" s="269"/>
    </row>
    <row r="806" spans="1:12" ht="11.1" customHeight="1" x14ac:dyDescent="0.15">
      <c r="A806" s="302"/>
      <c r="K806" s="208"/>
      <c r="L806" s="269"/>
    </row>
    <row r="807" spans="1:12" ht="10.5" customHeight="1" x14ac:dyDescent="0.15">
      <c r="A807" s="302"/>
      <c r="K807" s="208"/>
      <c r="L807" s="269"/>
    </row>
    <row r="808" spans="1:12" ht="15.75" customHeight="1" x14ac:dyDescent="0.15">
      <c r="A808" s="159" t="s">
        <v>114</v>
      </c>
      <c r="J808" s="79"/>
      <c r="K808" s="208"/>
      <c r="L808" s="269"/>
    </row>
    <row r="809" spans="1:12" s="31" customFormat="1" ht="15.75" customHeight="1" x14ac:dyDescent="0.3">
      <c r="A809" s="160" t="s">
        <v>183</v>
      </c>
      <c r="B809" s="161"/>
      <c r="D809" s="32"/>
      <c r="E809" s="32"/>
      <c r="F809" s="33"/>
      <c r="G809" s="34"/>
      <c r="H809" s="35"/>
      <c r="I809" s="36"/>
      <c r="J809" s="246"/>
      <c r="K809" s="208"/>
      <c r="L809" s="269"/>
    </row>
    <row r="810" spans="1:12" s="31" customFormat="1" ht="15.75" customHeight="1" x14ac:dyDescent="0.25">
      <c r="A810" s="41" t="s">
        <v>24</v>
      </c>
      <c r="B810" s="168"/>
      <c r="C810" s="43"/>
      <c r="D810" s="44"/>
      <c r="E810" s="32"/>
      <c r="F810" s="33"/>
      <c r="G810" s="34"/>
      <c r="H810" s="35"/>
      <c r="I810" s="36"/>
      <c r="J810" s="246"/>
      <c r="K810" s="208"/>
      <c r="L810" s="269"/>
    </row>
    <row r="811" spans="1:12" ht="5.25" customHeight="1" x14ac:dyDescent="0.15">
      <c r="A811" s="71"/>
      <c r="B811" s="71"/>
      <c r="C811" s="72"/>
      <c r="D811" s="73"/>
      <c r="E811" s="73"/>
      <c r="F811" s="73"/>
      <c r="G811" s="101"/>
      <c r="H811" s="102"/>
      <c r="I811" s="103"/>
      <c r="J811" s="77"/>
      <c r="K811" s="208"/>
      <c r="L811" s="269"/>
    </row>
    <row r="812" spans="1:12" s="55" customFormat="1" ht="3" customHeight="1" x14ac:dyDescent="0.15">
      <c r="A812" s="81"/>
      <c r="B812" s="81"/>
      <c r="D812" s="84"/>
      <c r="E812" s="84"/>
      <c r="F812" s="84"/>
      <c r="G812" s="249"/>
      <c r="H812" s="250"/>
      <c r="I812" s="251"/>
      <c r="J812" s="252"/>
      <c r="K812" s="208"/>
      <c r="L812" s="269"/>
    </row>
    <row r="813" spans="1:12" s="180" customFormat="1" ht="11.1" customHeight="1" x14ac:dyDescent="0.15">
      <c r="A813" s="172"/>
      <c r="B813" s="172"/>
      <c r="C813" s="173"/>
      <c r="D813" s="174"/>
      <c r="E813" s="174"/>
      <c r="F813" s="59"/>
      <c r="G813" s="60" t="s">
        <v>116</v>
      </c>
      <c r="H813" s="61" t="s">
        <v>25</v>
      </c>
      <c r="I813" s="62" t="s">
        <v>26</v>
      </c>
      <c r="J813" s="63" t="s">
        <v>117</v>
      </c>
      <c r="K813" s="208"/>
      <c r="L813" s="269"/>
    </row>
    <row r="814" spans="1:12" s="180" customFormat="1" ht="11.1" customHeight="1" x14ac:dyDescent="0.15">
      <c r="A814" s="172"/>
      <c r="B814" s="172"/>
      <c r="C814" s="181"/>
      <c r="D814" s="174"/>
      <c r="E814" s="174"/>
      <c r="F814" s="59"/>
      <c r="G814" s="67" t="s">
        <v>29</v>
      </c>
      <c r="H814" s="61" t="s">
        <v>27</v>
      </c>
      <c r="I814" s="62" t="s">
        <v>28</v>
      </c>
      <c r="J814" s="63" t="s">
        <v>118</v>
      </c>
      <c r="K814" s="208"/>
      <c r="L814" s="269"/>
    </row>
    <row r="815" spans="1:12" s="180" customFormat="1" ht="11.1" customHeight="1" x14ac:dyDescent="0.15">
      <c r="A815" s="172"/>
      <c r="B815" s="172"/>
      <c r="C815" s="181"/>
      <c r="D815" s="174"/>
      <c r="E815" s="174"/>
      <c r="F815" s="59"/>
      <c r="G815" s="60" t="s">
        <v>31</v>
      </c>
      <c r="H815" s="61" t="s">
        <v>29</v>
      </c>
      <c r="I815" s="62" t="s">
        <v>30</v>
      </c>
      <c r="J815" s="69" t="s">
        <v>119</v>
      </c>
      <c r="K815" s="208"/>
      <c r="L815" s="269"/>
    </row>
    <row r="816" spans="1:12" s="180" customFormat="1" ht="11.1" customHeight="1" x14ac:dyDescent="0.15">
      <c r="A816" s="172"/>
      <c r="B816" s="172"/>
      <c r="C816" s="181"/>
      <c r="D816" s="174"/>
      <c r="E816" s="174"/>
      <c r="F816" s="59"/>
      <c r="G816" s="67" t="s">
        <v>32</v>
      </c>
      <c r="H816" s="61" t="s">
        <v>33</v>
      </c>
      <c r="I816" s="62" t="s">
        <v>120</v>
      </c>
      <c r="J816" s="70" t="s">
        <v>121</v>
      </c>
      <c r="K816" s="208"/>
      <c r="L816" s="269"/>
    </row>
    <row r="817" spans="1:14" ht="3.75" customHeight="1" x14ac:dyDescent="0.15">
      <c r="A817" s="71"/>
      <c r="B817" s="71"/>
      <c r="C817" s="72"/>
      <c r="D817" s="73"/>
      <c r="E817" s="73"/>
      <c r="F817" s="73"/>
      <c r="G817" s="101"/>
      <c r="H817" s="102"/>
      <c r="I817" s="103"/>
      <c r="J817" s="73"/>
      <c r="K817" s="208"/>
      <c r="L817" s="269"/>
    </row>
    <row r="818" spans="1:14" ht="3" customHeight="1" x14ac:dyDescent="0.15">
      <c r="B818" s="81"/>
      <c r="C818" s="82"/>
      <c r="D818" s="83"/>
      <c r="E818" s="83"/>
      <c r="F818" s="84"/>
      <c r="G818" s="85"/>
      <c r="H818" s="86"/>
      <c r="I818" s="87"/>
      <c r="J818" s="83"/>
      <c r="K818" s="208"/>
      <c r="L818" s="269"/>
    </row>
    <row r="819" spans="1:14" s="93" customFormat="1" ht="11.1" customHeight="1" x14ac:dyDescent="0.15">
      <c r="A819" s="111" t="s">
        <v>123</v>
      </c>
      <c r="B819" s="112"/>
      <c r="C819" s="113"/>
      <c r="F819" s="114" t="s">
        <v>124</v>
      </c>
      <c r="G819" s="115"/>
      <c r="H819" s="116"/>
      <c r="I819" s="117"/>
      <c r="K819" s="208"/>
      <c r="L819" s="270"/>
    </row>
    <row r="820" spans="1:14" s="128" customFormat="1" ht="3" customHeight="1" x14ac:dyDescent="0.15">
      <c r="A820" s="186"/>
      <c r="B820" s="186"/>
      <c r="C820" s="187"/>
      <c r="D820" s="79"/>
      <c r="E820" s="79"/>
      <c r="G820" s="107"/>
      <c r="H820" s="108"/>
      <c r="I820" s="109"/>
      <c r="J820" s="110"/>
      <c r="K820" s="208"/>
      <c r="L820" s="269"/>
    </row>
    <row r="821" spans="1:14" s="55" customFormat="1" ht="3" customHeight="1" x14ac:dyDescent="0.2">
      <c r="B821" s="56"/>
      <c r="C821" s="56"/>
      <c r="D821" s="144"/>
      <c r="E821" s="144"/>
      <c r="F821" s="84"/>
      <c r="G821" s="241"/>
      <c r="H821" s="242"/>
      <c r="I821" s="243"/>
      <c r="J821" s="244"/>
      <c r="K821" s="208"/>
      <c r="L821" s="269"/>
    </row>
    <row r="822" spans="1:14" ht="12.75" customHeight="1" x14ac:dyDescent="0.15">
      <c r="A822" s="188">
        <v>13</v>
      </c>
      <c r="B822" s="188" t="s">
        <v>888</v>
      </c>
      <c r="C822" s="121"/>
      <c r="D822" s="317"/>
      <c r="E822" s="317"/>
      <c r="K822" s="208"/>
      <c r="L822" s="269"/>
    </row>
    <row r="823" spans="1:14" ht="6" customHeight="1" x14ac:dyDescent="0.15">
      <c r="A823" s="186"/>
      <c r="B823" s="186"/>
      <c r="C823" s="128"/>
      <c r="K823" s="208"/>
      <c r="L823" s="269"/>
    </row>
    <row r="824" spans="1:14" ht="11.1" customHeight="1" x14ac:dyDescent="0.2">
      <c r="A824" s="302">
        <v>13.4</v>
      </c>
      <c r="B824" s="80" t="s">
        <v>889</v>
      </c>
      <c r="G824" s="131">
        <v>14</v>
      </c>
      <c r="H824" s="132">
        <v>385</v>
      </c>
      <c r="I824" s="132">
        <v>2550</v>
      </c>
      <c r="J824" s="135">
        <v>7.5</v>
      </c>
      <c r="K824" s="128"/>
      <c r="L824" s="128"/>
      <c r="M824" s="318"/>
      <c r="N824" s="318"/>
    </row>
    <row r="825" spans="1:14" s="55" customFormat="1" ht="11.1" customHeight="1" x14ac:dyDescent="0.2">
      <c r="A825" s="272"/>
      <c r="B825" s="56" t="s">
        <v>890</v>
      </c>
      <c r="C825" s="55" t="s">
        <v>891</v>
      </c>
      <c r="D825" s="84"/>
      <c r="E825" s="84"/>
      <c r="F825" s="84"/>
      <c r="G825" s="131">
        <v>0.3</v>
      </c>
      <c r="H825" s="132">
        <v>7</v>
      </c>
      <c r="I825" s="132">
        <v>90</v>
      </c>
      <c r="J825" s="135">
        <v>47.2</v>
      </c>
      <c r="K825" s="128"/>
      <c r="L825" s="128"/>
      <c r="M825" s="318"/>
      <c r="N825" s="318"/>
    </row>
    <row r="826" spans="1:14" s="55" customFormat="1" ht="11.1" customHeight="1" x14ac:dyDescent="0.2">
      <c r="A826" s="272"/>
      <c r="B826" s="56"/>
      <c r="C826" s="55" t="s">
        <v>892</v>
      </c>
      <c r="D826" s="84" t="s">
        <v>893</v>
      </c>
      <c r="E826" s="84"/>
      <c r="F826" s="84"/>
      <c r="G826" s="131">
        <v>0.1</v>
      </c>
      <c r="H826" s="132">
        <v>4</v>
      </c>
      <c r="I826" s="132">
        <v>80</v>
      </c>
      <c r="J826" s="135">
        <v>18.100000000000001</v>
      </c>
      <c r="K826" s="128"/>
      <c r="L826" s="128"/>
      <c r="M826" s="318"/>
      <c r="N826" s="318"/>
    </row>
    <row r="827" spans="1:14" s="55" customFormat="1" ht="11.1" customHeight="1" x14ac:dyDescent="0.2">
      <c r="A827" s="272"/>
      <c r="B827" s="56"/>
      <c r="C827" s="55" t="s">
        <v>894</v>
      </c>
      <c r="D827" s="84" t="s">
        <v>895</v>
      </c>
      <c r="E827" s="84"/>
      <c r="F827" s="84"/>
      <c r="G827" s="138" t="s">
        <v>230</v>
      </c>
      <c r="H827" s="139" t="s">
        <v>230</v>
      </c>
      <c r="I827" s="139" t="s">
        <v>230</v>
      </c>
      <c r="J827" s="135" t="s">
        <v>230</v>
      </c>
      <c r="K827" s="128"/>
      <c r="L827" s="128"/>
      <c r="M827" s="318"/>
      <c r="N827" s="318"/>
    </row>
    <row r="828" spans="1:14" s="55" customFormat="1" ht="11.1" customHeight="1" x14ac:dyDescent="0.2">
      <c r="A828" s="272"/>
      <c r="B828" s="56" t="s">
        <v>896</v>
      </c>
      <c r="C828" s="55" t="s">
        <v>897</v>
      </c>
      <c r="D828" s="84"/>
      <c r="E828" s="84"/>
      <c r="F828" s="84"/>
      <c r="G828" s="131">
        <v>12.6</v>
      </c>
      <c r="H828" s="132">
        <v>347</v>
      </c>
      <c r="I828" s="132">
        <v>2180</v>
      </c>
      <c r="J828" s="135">
        <v>8.1999999999999993</v>
      </c>
      <c r="K828" s="128"/>
      <c r="L828" s="128"/>
      <c r="M828" s="318"/>
      <c r="N828" s="318"/>
    </row>
    <row r="829" spans="1:14" s="55" customFormat="1" ht="11.1" customHeight="1" x14ac:dyDescent="0.2">
      <c r="A829" s="272"/>
      <c r="B829" s="56"/>
      <c r="C829" s="55" t="s">
        <v>898</v>
      </c>
      <c r="D829" s="84" t="s">
        <v>899</v>
      </c>
      <c r="E829" s="84"/>
      <c r="F829" s="84"/>
      <c r="G829" s="131">
        <v>4.7</v>
      </c>
      <c r="H829" s="132">
        <v>130</v>
      </c>
      <c r="I829" s="132">
        <v>860</v>
      </c>
      <c r="J829" s="135">
        <v>11</v>
      </c>
      <c r="K829" s="128"/>
      <c r="L829" s="128"/>
      <c r="M829" s="318"/>
      <c r="N829" s="318"/>
    </row>
    <row r="830" spans="1:14" s="55" customFormat="1" ht="11.1" customHeight="1" x14ac:dyDescent="0.2">
      <c r="A830" s="272"/>
      <c r="B830" s="56"/>
      <c r="C830" s="55" t="s">
        <v>900</v>
      </c>
      <c r="D830" s="84" t="s">
        <v>901</v>
      </c>
      <c r="E830" s="84"/>
      <c r="F830" s="84"/>
      <c r="G830" s="131">
        <v>3.4</v>
      </c>
      <c r="H830" s="132">
        <v>92</v>
      </c>
      <c r="I830" s="132">
        <v>1440</v>
      </c>
      <c r="J830" s="135">
        <v>11</v>
      </c>
      <c r="K830" s="128"/>
      <c r="L830" s="128"/>
      <c r="M830" s="318"/>
      <c r="N830" s="318"/>
    </row>
    <row r="831" spans="1:14" s="55" customFormat="1" ht="11.1" customHeight="1" x14ac:dyDescent="0.2">
      <c r="A831" s="272"/>
      <c r="B831" s="56"/>
      <c r="C831" s="55" t="s">
        <v>902</v>
      </c>
      <c r="D831" s="84" t="s">
        <v>903</v>
      </c>
      <c r="E831" s="84"/>
      <c r="F831" s="84"/>
      <c r="G831" s="131">
        <v>2.2000000000000002</v>
      </c>
      <c r="H831" s="132">
        <v>60</v>
      </c>
      <c r="I831" s="132">
        <v>250</v>
      </c>
      <c r="J831" s="135">
        <v>32.4</v>
      </c>
      <c r="K831" s="128"/>
      <c r="L831" s="128"/>
      <c r="M831" s="318"/>
      <c r="N831" s="318"/>
    </row>
    <row r="832" spans="1:14" s="55" customFormat="1" ht="11.1" customHeight="1" x14ac:dyDescent="0.2">
      <c r="A832" s="272"/>
      <c r="B832" s="56"/>
      <c r="C832" s="55" t="s">
        <v>904</v>
      </c>
      <c r="D832" s="84" t="s">
        <v>905</v>
      </c>
      <c r="E832" s="84"/>
      <c r="F832" s="84"/>
      <c r="G832" s="131">
        <v>2.2999999999999998</v>
      </c>
      <c r="H832" s="132">
        <v>64</v>
      </c>
      <c r="I832" s="132">
        <v>160</v>
      </c>
      <c r="J832" s="135">
        <v>11.9</v>
      </c>
      <c r="K832" s="128"/>
      <c r="L832" s="128"/>
      <c r="M832" s="318"/>
      <c r="N832" s="318"/>
    </row>
    <row r="833" spans="1:14" s="55" customFormat="1" ht="11.1" customHeight="1" x14ac:dyDescent="0.2">
      <c r="A833" s="272"/>
      <c r="B833" s="56" t="s">
        <v>906</v>
      </c>
      <c r="C833" s="55" t="s">
        <v>907</v>
      </c>
      <c r="D833" s="84"/>
      <c r="E833" s="84"/>
      <c r="F833" s="84"/>
      <c r="G833" s="131">
        <v>1.1000000000000001</v>
      </c>
      <c r="H833" s="132">
        <v>31</v>
      </c>
      <c r="I833" s="132">
        <v>580</v>
      </c>
      <c r="J833" s="135">
        <v>8.3000000000000007</v>
      </c>
      <c r="K833" s="128"/>
      <c r="L833" s="128"/>
      <c r="M833" s="318"/>
      <c r="N833" s="318"/>
    </row>
    <row r="834" spans="1:14" s="55" customFormat="1" ht="11.1" customHeight="1" x14ac:dyDescent="0.2">
      <c r="A834" s="272"/>
      <c r="B834" s="56"/>
      <c r="C834" s="55" t="s">
        <v>908</v>
      </c>
      <c r="D834" s="84" t="s">
        <v>909</v>
      </c>
      <c r="E834" s="84"/>
      <c r="F834" s="84"/>
      <c r="G834" s="138" t="s">
        <v>367</v>
      </c>
      <c r="H834" s="139" t="s">
        <v>367</v>
      </c>
      <c r="I834" s="139" t="s">
        <v>367</v>
      </c>
      <c r="J834" s="135" t="s">
        <v>230</v>
      </c>
      <c r="K834" s="128"/>
      <c r="L834" s="128"/>
      <c r="M834" s="318"/>
      <c r="N834" s="318"/>
    </row>
    <row r="835" spans="1:14" s="55" customFormat="1" ht="11.1" customHeight="1" x14ac:dyDescent="0.2">
      <c r="A835" s="272"/>
      <c r="B835" s="56"/>
      <c r="C835" s="55" t="s">
        <v>910</v>
      </c>
      <c r="D835" s="84" t="s">
        <v>911</v>
      </c>
      <c r="E835" s="84"/>
      <c r="F835" s="84"/>
      <c r="G835" s="131">
        <v>1.1000000000000001</v>
      </c>
      <c r="H835" s="132">
        <v>31</v>
      </c>
      <c r="I835" s="132">
        <v>580</v>
      </c>
      <c r="J835" s="135">
        <v>8.3000000000000007</v>
      </c>
      <c r="K835" s="128"/>
      <c r="L835" s="128"/>
      <c r="M835" s="318"/>
      <c r="N835" s="318"/>
    </row>
    <row r="836" spans="1:14" ht="3" customHeight="1" x14ac:dyDescent="0.15">
      <c r="A836" s="316"/>
      <c r="B836" s="71"/>
      <c r="C836" s="72"/>
      <c r="D836" s="73"/>
      <c r="E836" s="73"/>
      <c r="F836" s="73"/>
      <c r="G836" s="101"/>
      <c r="H836" s="102"/>
      <c r="I836" s="103"/>
      <c r="J836" s="77"/>
      <c r="K836" s="128"/>
      <c r="L836" s="128"/>
      <c r="M836" s="318"/>
      <c r="N836" s="318"/>
    </row>
    <row r="837" spans="1:14" ht="6" customHeight="1" x14ac:dyDescent="0.15">
      <c r="K837" s="128"/>
      <c r="L837" s="128"/>
      <c r="M837" s="318"/>
      <c r="N837" s="318"/>
    </row>
    <row r="838" spans="1:14" s="121" customFormat="1" ht="11.1" customHeight="1" x14ac:dyDescent="0.2">
      <c r="A838" s="188" t="s">
        <v>21</v>
      </c>
      <c r="D838" s="259"/>
      <c r="E838" s="259"/>
      <c r="F838" s="259"/>
      <c r="G838" s="123">
        <v>592</v>
      </c>
      <c r="H838" s="124">
        <v>16269</v>
      </c>
      <c r="I838" s="124">
        <v>5480</v>
      </c>
      <c r="J838" s="125">
        <v>1.1000000000000001</v>
      </c>
      <c r="K838" s="128"/>
      <c r="L838" s="128"/>
      <c r="M838" s="318"/>
      <c r="N838" s="318"/>
    </row>
    <row r="839" spans="1:14" ht="6" customHeight="1" x14ac:dyDescent="0.15">
      <c r="A839" s="71"/>
      <c r="B839" s="71"/>
      <c r="C839" s="72"/>
      <c r="D839" s="73"/>
      <c r="E839" s="73"/>
      <c r="F839" s="73"/>
      <c r="G839" s="101"/>
      <c r="H839" s="311"/>
      <c r="I839" s="103"/>
      <c r="J839" s="77"/>
      <c r="K839" s="128"/>
      <c r="L839" s="128"/>
      <c r="M839" s="318"/>
      <c r="N839" s="318"/>
    </row>
    <row r="840" spans="1:14" ht="3" customHeight="1" x14ac:dyDescent="0.15">
      <c r="H840" s="312"/>
      <c r="K840" s="128"/>
      <c r="L840" s="128"/>
      <c r="M840" s="318"/>
      <c r="N840" s="318"/>
    </row>
    <row r="841" spans="1:14" s="128" customFormat="1" ht="12.75" customHeight="1" x14ac:dyDescent="0.15">
      <c r="A841" s="188">
        <v>14</v>
      </c>
      <c r="B841" s="188" t="s">
        <v>912</v>
      </c>
      <c r="C841" s="121"/>
      <c r="D841" s="259"/>
      <c r="E841" s="259"/>
      <c r="F841" s="319"/>
      <c r="G841" s="107"/>
      <c r="H841" s="312"/>
      <c r="I841" s="109"/>
      <c r="J841" s="171"/>
      <c r="M841" s="318"/>
      <c r="N841" s="318"/>
    </row>
    <row r="842" spans="1:14" ht="6" customHeight="1" x14ac:dyDescent="0.15">
      <c r="H842" s="312"/>
      <c r="K842" s="128"/>
      <c r="L842" s="128"/>
      <c r="M842" s="318"/>
      <c r="N842" s="318"/>
    </row>
    <row r="843" spans="1:14" ht="11.1" customHeight="1" x14ac:dyDescent="0.2">
      <c r="A843" s="302">
        <v>14.1</v>
      </c>
      <c r="B843" s="80" t="s">
        <v>913</v>
      </c>
      <c r="G843" s="131">
        <v>28.6</v>
      </c>
      <c r="H843" s="132">
        <v>787</v>
      </c>
      <c r="I843" s="132">
        <v>3180</v>
      </c>
      <c r="J843" s="135">
        <v>3</v>
      </c>
      <c r="K843" s="128"/>
      <c r="L843" s="128"/>
      <c r="M843" s="318"/>
      <c r="N843" s="318"/>
    </row>
    <row r="844" spans="1:14" s="55" customFormat="1" ht="11.1" customHeight="1" x14ac:dyDescent="0.2">
      <c r="B844" s="56" t="s">
        <v>914</v>
      </c>
      <c r="C844" s="55" t="s">
        <v>915</v>
      </c>
      <c r="D844" s="84"/>
      <c r="E844" s="84"/>
      <c r="F844" s="84"/>
      <c r="G844" s="131">
        <v>2.9</v>
      </c>
      <c r="H844" s="132">
        <v>79</v>
      </c>
      <c r="I844" s="132">
        <v>1580</v>
      </c>
      <c r="J844" s="135">
        <v>4.5999999999999996</v>
      </c>
      <c r="K844" s="128"/>
      <c r="L844" s="128"/>
      <c r="M844" s="318"/>
      <c r="N844" s="318"/>
    </row>
    <row r="845" spans="1:14" s="55" customFormat="1" ht="11.1" customHeight="1" x14ac:dyDescent="0.2">
      <c r="A845" s="272"/>
      <c r="B845" s="56" t="s">
        <v>916</v>
      </c>
      <c r="C845" s="55" t="s">
        <v>917</v>
      </c>
      <c r="D845" s="84"/>
      <c r="E845" s="84"/>
      <c r="F845" s="84"/>
      <c r="G845" s="131">
        <v>20.3</v>
      </c>
      <c r="H845" s="132">
        <v>558</v>
      </c>
      <c r="I845" s="132">
        <v>2480</v>
      </c>
      <c r="J845" s="135">
        <v>2.8</v>
      </c>
      <c r="K845" s="128"/>
      <c r="L845" s="128"/>
      <c r="M845" s="318"/>
      <c r="N845" s="318"/>
    </row>
    <row r="846" spans="1:14" s="55" customFormat="1" ht="11.1" customHeight="1" x14ac:dyDescent="0.2">
      <c r="A846" s="272"/>
      <c r="B846" s="56" t="s">
        <v>918</v>
      </c>
      <c r="C846" s="55" t="s">
        <v>919</v>
      </c>
      <c r="D846" s="84"/>
      <c r="E846" s="84"/>
      <c r="F846" s="84"/>
      <c r="G846" s="131">
        <v>5.5</v>
      </c>
      <c r="H846" s="132">
        <v>150</v>
      </c>
      <c r="I846" s="132">
        <v>380</v>
      </c>
      <c r="J846" s="135">
        <v>13.1</v>
      </c>
      <c r="K846" s="128"/>
      <c r="L846" s="128"/>
      <c r="M846" s="318"/>
      <c r="N846" s="318"/>
    </row>
    <row r="847" spans="1:14" ht="3" customHeight="1" x14ac:dyDescent="0.2">
      <c r="A847" s="302"/>
      <c r="G847" s="131"/>
      <c r="H847" s="132"/>
      <c r="I847" s="132"/>
      <c r="J847" s="135"/>
      <c r="K847" s="128"/>
      <c r="L847" s="128"/>
      <c r="M847" s="318"/>
      <c r="N847" s="318"/>
    </row>
    <row r="848" spans="1:14" ht="11.1" customHeight="1" x14ac:dyDescent="0.2">
      <c r="A848" s="302">
        <v>14.2</v>
      </c>
      <c r="B848" s="80" t="s">
        <v>920</v>
      </c>
      <c r="G848" s="131">
        <v>2.2999999999999998</v>
      </c>
      <c r="H848" s="132">
        <v>65</v>
      </c>
      <c r="I848" s="132">
        <v>1660</v>
      </c>
      <c r="J848" s="135">
        <v>6.8</v>
      </c>
      <c r="K848" s="128"/>
      <c r="L848" s="128"/>
      <c r="M848" s="318"/>
      <c r="N848" s="318"/>
    </row>
    <row r="849" spans="1:14" ht="3" customHeight="1" x14ac:dyDescent="0.2">
      <c r="A849" s="302"/>
      <c r="G849" s="131"/>
      <c r="H849" s="132"/>
      <c r="I849" s="132"/>
      <c r="J849" s="135"/>
      <c r="K849" s="128"/>
      <c r="L849" s="128"/>
      <c r="M849" s="318"/>
      <c r="N849" s="318"/>
    </row>
    <row r="850" spans="1:14" ht="11.1" customHeight="1" x14ac:dyDescent="0.2">
      <c r="A850" s="302">
        <v>14.3</v>
      </c>
      <c r="B850" s="80" t="s">
        <v>921</v>
      </c>
      <c r="G850" s="131">
        <v>103.5</v>
      </c>
      <c r="H850" s="132">
        <v>2846</v>
      </c>
      <c r="I850" s="132">
        <v>4090</v>
      </c>
      <c r="J850" s="135">
        <v>4.2</v>
      </c>
      <c r="K850" s="128"/>
      <c r="L850" s="128"/>
      <c r="M850" s="318"/>
      <c r="N850" s="318"/>
    </row>
    <row r="851" spans="1:14" s="55" customFormat="1" ht="11.1" customHeight="1" x14ac:dyDescent="0.2">
      <c r="A851" s="272"/>
      <c r="B851" s="56" t="s">
        <v>922</v>
      </c>
      <c r="C851" s="55" t="s">
        <v>923</v>
      </c>
      <c r="D851" s="84"/>
      <c r="E851" s="84"/>
      <c r="F851" s="84"/>
      <c r="G851" s="131">
        <v>73.900000000000006</v>
      </c>
      <c r="H851" s="132">
        <v>2032</v>
      </c>
      <c r="I851" s="132">
        <v>2760</v>
      </c>
      <c r="J851" s="135">
        <v>3.2</v>
      </c>
      <c r="K851" s="128"/>
      <c r="L851" s="128"/>
      <c r="M851" s="318"/>
      <c r="N851" s="318"/>
    </row>
    <row r="852" spans="1:14" s="55" customFormat="1" ht="11.1" customHeight="1" x14ac:dyDescent="0.2">
      <c r="A852" s="272"/>
      <c r="B852" s="56" t="s">
        <v>924</v>
      </c>
      <c r="C852" s="55" t="s">
        <v>925</v>
      </c>
      <c r="D852" s="84"/>
      <c r="E852" s="84"/>
      <c r="F852" s="84"/>
      <c r="G852" s="131">
        <v>2.6</v>
      </c>
      <c r="H852" s="132">
        <v>72</v>
      </c>
      <c r="I852" s="132">
        <v>180</v>
      </c>
      <c r="J852" s="135">
        <v>14</v>
      </c>
      <c r="K852" s="128"/>
      <c r="L852" s="128"/>
      <c r="M852" s="318"/>
      <c r="N852" s="318"/>
    </row>
    <row r="853" spans="1:14" s="55" customFormat="1" ht="11.1" customHeight="1" x14ac:dyDescent="0.2">
      <c r="A853" s="272"/>
      <c r="B853" s="56" t="s">
        <v>926</v>
      </c>
      <c r="C853" s="55" t="s">
        <v>927</v>
      </c>
      <c r="D853" s="84"/>
      <c r="E853" s="84"/>
      <c r="F853" s="84"/>
      <c r="G853" s="131">
        <v>3.4</v>
      </c>
      <c r="H853" s="132">
        <v>93</v>
      </c>
      <c r="I853" s="132">
        <v>160</v>
      </c>
      <c r="J853" s="135">
        <v>14.9</v>
      </c>
      <c r="K853" s="128"/>
      <c r="L853" s="128"/>
      <c r="M853" s="318"/>
      <c r="N853" s="318"/>
    </row>
    <row r="854" spans="1:14" s="55" customFormat="1" ht="11.1" customHeight="1" x14ac:dyDescent="0.15">
      <c r="A854" s="272"/>
      <c r="B854" s="56" t="s">
        <v>928</v>
      </c>
      <c r="C854" s="55" t="s">
        <v>929</v>
      </c>
      <c r="D854" s="84"/>
      <c r="E854" s="84"/>
      <c r="F854" s="84"/>
      <c r="G854" s="107"/>
      <c r="H854" s="108"/>
      <c r="I854" s="79"/>
      <c r="J854" s="171"/>
      <c r="K854" s="128"/>
      <c r="L854" s="128"/>
      <c r="M854" s="318"/>
      <c r="N854" s="318"/>
    </row>
    <row r="855" spans="1:14" s="55" customFormat="1" ht="11.1" customHeight="1" x14ac:dyDescent="0.2">
      <c r="A855" s="272"/>
      <c r="B855" s="56"/>
      <c r="C855" s="55" t="s">
        <v>930</v>
      </c>
      <c r="D855" s="84"/>
      <c r="E855" s="84"/>
      <c r="F855" s="84"/>
      <c r="G855" s="131">
        <v>21.5</v>
      </c>
      <c r="H855" s="132">
        <v>591</v>
      </c>
      <c r="I855" s="132">
        <v>1680</v>
      </c>
      <c r="J855" s="135">
        <v>15.4</v>
      </c>
      <c r="K855" s="128"/>
      <c r="L855" s="128"/>
      <c r="M855" s="318"/>
      <c r="N855" s="318"/>
    </row>
    <row r="856" spans="1:14" s="55" customFormat="1" ht="11.1" customHeight="1" x14ac:dyDescent="0.2">
      <c r="A856" s="272"/>
      <c r="B856" s="56" t="s">
        <v>931</v>
      </c>
      <c r="C856" s="55" t="s">
        <v>932</v>
      </c>
      <c r="D856" s="84"/>
      <c r="E856" s="84"/>
      <c r="F856" s="84"/>
      <c r="G856" s="131">
        <v>3.6</v>
      </c>
      <c r="H856" s="132">
        <v>98</v>
      </c>
      <c r="I856" s="132">
        <v>570</v>
      </c>
      <c r="J856" s="135">
        <v>16.7</v>
      </c>
      <c r="K856" s="128"/>
      <c r="L856" s="128"/>
      <c r="M856" s="318"/>
      <c r="N856" s="318"/>
    </row>
    <row r="857" spans="1:14" s="55" customFormat="1" ht="11.1" customHeight="1" x14ac:dyDescent="0.2">
      <c r="A857" s="272"/>
      <c r="B857" s="56" t="s">
        <v>933</v>
      </c>
      <c r="C857" s="55" t="s">
        <v>934</v>
      </c>
      <c r="D857" s="84"/>
      <c r="E857" s="84"/>
      <c r="F857" s="84"/>
      <c r="G857" s="131">
        <v>0.2</v>
      </c>
      <c r="H857" s="132">
        <v>5</v>
      </c>
      <c r="I857" s="132">
        <v>30</v>
      </c>
      <c r="J857" s="135">
        <v>34.1</v>
      </c>
      <c r="K857" s="128"/>
      <c r="L857" s="128"/>
      <c r="M857" s="318"/>
      <c r="N857" s="318"/>
    </row>
    <row r="858" spans="1:14" s="55" customFormat="1" ht="11.1" customHeight="1" x14ac:dyDescent="0.2">
      <c r="A858" s="272"/>
      <c r="B858" s="56" t="s">
        <v>935</v>
      </c>
      <c r="C858" s="55" t="s">
        <v>936</v>
      </c>
      <c r="D858" s="84"/>
      <c r="E858" s="84"/>
      <c r="F858" s="84"/>
      <c r="G858" s="131">
        <v>1.3</v>
      </c>
      <c r="H858" s="132">
        <v>36</v>
      </c>
      <c r="I858" s="132">
        <v>260</v>
      </c>
      <c r="J858" s="135">
        <v>30.3</v>
      </c>
      <c r="K858" s="128"/>
      <c r="L858" s="128"/>
      <c r="M858" s="318"/>
      <c r="N858" s="318"/>
    </row>
    <row r="859" spans="1:14" ht="3" customHeight="1" x14ac:dyDescent="0.15">
      <c r="A859" s="302"/>
      <c r="K859" s="128"/>
      <c r="L859" s="128"/>
      <c r="M859" s="318"/>
      <c r="N859" s="318"/>
    </row>
    <row r="860" spans="1:14" ht="11.1" customHeight="1" x14ac:dyDescent="0.2">
      <c r="A860" s="302">
        <v>14.4</v>
      </c>
      <c r="B860" s="80" t="s">
        <v>937</v>
      </c>
      <c r="G860" s="131">
        <v>35.4</v>
      </c>
      <c r="H860" s="132">
        <v>973</v>
      </c>
      <c r="I860" s="132">
        <v>2890</v>
      </c>
      <c r="J860" s="135">
        <v>1.7</v>
      </c>
      <c r="K860" s="128"/>
      <c r="L860" s="128"/>
      <c r="M860" s="318"/>
      <c r="N860" s="318"/>
    </row>
    <row r="861" spans="1:14" s="55" customFormat="1" ht="11.1" customHeight="1" x14ac:dyDescent="0.2">
      <c r="A861" s="272"/>
      <c r="B861" s="56" t="s">
        <v>938</v>
      </c>
      <c r="C861" s="55" t="s">
        <v>939</v>
      </c>
      <c r="D861" s="84"/>
      <c r="E861" s="84"/>
      <c r="F861" s="84"/>
      <c r="G861" s="131">
        <v>35.299999999999997</v>
      </c>
      <c r="H861" s="132">
        <v>970</v>
      </c>
      <c r="I861" s="132">
        <v>2870</v>
      </c>
      <c r="J861" s="135">
        <v>1.7</v>
      </c>
      <c r="K861" s="128"/>
      <c r="L861" s="128"/>
      <c r="M861" s="318"/>
      <c r="N861" s="318"/>
    </row>
    <row r="862" spans="1:14" s="55" customFormat="1" ht="11.1" customHeight="1" x14ac:dyDescent="0.2">
      <c r="A862" s="272"/>
      <c r="B862" s="56" t="s">
        <v>940</v>
      </c>
      <c r="C862" s="55" t="s">
        <v>941</v>
      </c>
      <c r="D862" s="84"/>
      <c r="E862" s="84"/>
      <c r="F862" s="84"/>
      <c r="G862" s="131">
        <v>0.1</v>
      </c>
      <c r="H862" s="132">
        <v>3</v>
      </c>
      <c r="I862" s="132">
        <v>40</v>
      </c>
      <c r="J862" s="135">
        <v>18.5</v>
      </c>
      <c r="K862" s="128"/>
      <c r="L862" s="128"/>
      <c r="M862" s="318"/>
      <c r="N862" s="318"/>
    </row>
    <row r="863" spans="1:14" ht="3.75" customHeight="1" x14ac:dyDescent="0.15">
      <c r="A863" s="302"/>
      <c r="K863" s="128"/>
      <c r="L863" s="128"/>
      <c r="M863" s="318"/>
      <c r="N863" s="318"/>
    </row>
    <row r="864" spans="1:14" ht="11.1" customHeight="1" x14ac:dyDescent="0.2">
      <c r="A864" s="302">
        <v>14.5</v>
      </c>
      <c r="B864" s="80" t="s">
        <v>942</v>
      </c>
      <c r="G864" s="131">
        <v>70.599999999999994</v>
      </c>
      <c r="H864" s="132">
        <v>1942</v>
      </c>
      <c r="I864" s="132">
        <v>2160</v>
      </c>
      <c r="J864" s="135">
        <v>9.6</v>
      </c>
      <c r="K864" s="128"/>
      <c r="L864" s="128"/>
      <c r="M864" s="318"/>
      <c r="N864" s="318"/>
    </row>
    <row r="865" spans="1:14" s="55" customFormat="1" ht="11.1" customHeight="1" x14ac:dyDescent="0.2">
      <c r="A865" s="272"/>
      <c r="B865" s="56" t="s">
        <v>943</v>
      </c>
      <c r="C865" s="55" t="s">
        <v>944</v>
      </c>
      <c r="D865" s="84"/>
      <c r="E865" s="84"/>
      <c r="F865" s="84"/>
      <c r="G865" s="256">
        <v>0.1</v>
      </c>
      <c r="H865" s="203">
        <v>2</v>
      </c>
      <c r="I865" s="132">
        <v>10</v>
      </c>
      <c r="J865" s="135">
        <v>41</v>
      </c>
      <c r="K865" s="128"/>
      <c r="L865" s="128"/>
      <c r="M865" s="318"/>
      <c r="N865" s="318"/>
    </row>
    <row r="866" spans="1:14" s="55" customFormat="1" ht="11.1" customHeight="1" x14ac:dyDescent="0.2">
      <c r="A866" s="249"/>
      <c r="B866" s="56" t="s">
        <v>945</v>
      </c>
      <c r="C866" s="55" t="s">
        <v>946</v>
      </c>
      <c r="D866" s="84"/>
      <c r="E866" s="84"/>
      <c r="F866" s="84"/>
      <c r="G866" s="131">
        <v>27.6</v>
      </c>
      <c r="H866" s="132">
        <v>758</v>
      </c>
      <c r="I866" s="132">
        <v>1520</v>
      </c>
      <c r="J866" s="135">
        <v>3.5</v>
      </c>
      <c r="K866" s="128"/>
      <c r="L866" s="128"/>
      <c r="M866" s="318"/>
      <c r="N866" s="318"/>
    </row>
    <row r="867" spans="1:14" s="55" customFormat="1" ht="11.1" customHeight="1" x14ac:dyDescent="0.2">
      <c r="A867" s="272"/>
      <c r="B867" s="56" t="s">
        <v>947</v>
      </c>
      <c r="C867" s="55" t="s">
        <v>948</v>
      </c>
      <c r="D867" s="84"/>
      <c r="E867" s="84"/>
      <c r="F867" s="84"/>
      <c r="G867" s="131">
        <v>1.6</v>
      </c>
      <c r="H867" s="132">
        <v>44</v>
      </c>
      <c r="I867" s="132">
        <v>150</v>
      </c>
      <c r="J867" s="135">
        <v>11.7</v>
      </c>
      <c r="K867" s="128"/>
      <c r="L867" s="128"/>
      <c r="M867" s="318"/>
      <c r="N867" s="318"/>
    </row>
    <row r="868" spans="1:14" s="55" customFormat="1" ht="11.1" customHeight="1" x14ac:dyDescent="0.2">
      <c r="A868" s="272"/>
      <c r="B868" s="56" t="s">
        <v>949</v>
      </c>
      <c r="C868" s="55" t="s">
        <v>950</v>
      </c>
      <c r="D868" s="84"/>
      <c r="E868" s="84"/>
      <c r="F868" s="84"/>
      <c r="G868" s="131">
        <v>1.3</v>
      </c>
      <c r="H868" s="132">
        <v>35</v>
      </c>
      <c r="I868" s="132">
        <v>90</v>
      </c>
      <c r="J868" s="135">
        <v>25.4</v>
      </c>
      <c r="K868" s="128"/>
      <c r="L868" s="128"/>
      <c r="M868" s="318"/>
      <c r="N868" s="318"/>
    </row>
    <row r="869" spans="1:14" s="55" customFormat="1" ht="11.1" customHeight="1" x14ac:dyDescent="0.2">
      <c r="A869" s="272"/>
      <c r="B869" s="56" t="s">
        <v>951</v>
      </c>
      <c r="C869" s="55" t="s">
        <v>952</v>
      </c>
      <c r="D869" s="84"/>
      <c r="E869" s="84"/>
      <c r="F869" s="84"/>
      <c r="G869" s="131">
        <v>22.5</v>
      </c>
      <c r="H869" s="132">
        <v>619</v>
      </c>
      <c r="I869" s="132">
        <v>760</v>
      </c>
      <c r="J869" s="135">
        <v>8.1999999999999993</v>
      </c>
      <c r="K869" s="128"/>
      <c r="L869" s="128"/>
      <c r="M869" s="318"/>
      <c r="N869" s="318"/>
    </row>
    <row r="870" spans="1:14" s="55" customFormat="1" ht="11.1" customHeight="1" x14ac:dyDescent="0.2">
      <c r="A870" s="272"/>
      <c r="B870" s="56" t="s">
        <v>953</v>
      </c>
      <c r="C870" s="55" t="s">
        <v>954</v>
      </c>
      <c r="D870" s="84"/>
      <c r="E870" s="84"/>
      <c r="F870" s="84"/>
      <c r="G870" s="131">
        <v>0.7</v>
      </c>
      <c r="H870" s="132">
        <v>20</v>
      </c>
      <c r="I870" s="132">
        <v>100</v>
      </c>
      <c r="J870" s="135">
        <v>34.9</v>
      </c>
      <c r="K870" s="128"/>
      <c r="L870" s="128"/>
      <c r="M870" s="318"/>
      <c r="N870" s="318"/>
    </row>
    <row r="871" spans="1:14" s="55" customFormat="1" ht="11.1" customHeight="1" x14ac:dyDescent="0.2">
      <c r="A871" s="272"/>
      <c r="B871" s="56" t="s">
        <v>955</v>
      </c>
      <c r="C871" s="55" t="s">
        <v>956</v>
      </c>
      <c r="D871" s="84"/>
      <c r="E871" s="84"/>
      <c r="F871" s="84"/>
      <c r="G871" s="131">
        <v>0.3</v>
      </c>
      <c r="H871" s="132">
        <v>8</v>
      </c>
      <c r="I871" s="132">
        <v>30</v>
      </c>
      <c r="J871" s="135">
        <v>32.700000000000003</v>
      </c>
      <c r="K871" s="128"/>
      <c r="L871" s="128"/>
      <c r="M871" s="318"/>
      <c r="N871" s="318"/>
    </row>
    <row r="872" spans="1:14" s="55" customFormat="1" ht="11.1" customHeight="1" x14ac:dyDescent="0.2">
      <c r="A872" s="272"/>
      <c r="B872" s="56" t="s">
        <v>957</v>
      </c>
      <c r="C872" s="55" t="s">
        <v>958</v>
      </c>
      <c r="D872" s="84"/>
      <c r="E872" s="84"/>
      <c r="F872" s="84"/>
      <c r="G872" s="131">
        <v>16.5</v>
      </c>
      <c r="H872" s="132">
        <v>454</v>
      </c>
      <c r="I872" s="132">
        <v>120</v>
      </c>
      <c r="J872" s="135">
        <v>37.799999999999997</v>
      </c>
      <c r="K872" s="128"/>
      <c r="L872" s="128"/>
      <c r="M872" s="318"/>
      <c r="N872" s="318"/>
    </row>
    <row r="873" spans="1:14" ht="3.75" customHeight="1" x14ac:dyDescent="0.15">
      <c r="A873" s="302"/>
      <c r="K873" s="128"/>
      <c r="L873" s="128"/>
      <c r="M873" s="318"/>
      <c r="N873" s="318"/>
    </row>
    <row r="874" spans="1:14" ht="11.1" customHeight="1" x14ac:dyDescent="0.2">
      <c r="A874" s="302">
        <v>14.6</v>
      </c>
      <c r="B874" s="80" t="s">
        <v>959</v>
      </c>
      <c r="G874" s="131">
        <v>8.3000000000000007</v>
      </c>
      <c r="H874" s="132">
        <v>228</v>
      </c>
      <c r="I874" s="132">
        <v>650</v>
      </c>
      <c r="J874" s="135">
        <v>11.9</v>
      </c>
      <c r="K874" s="128"/>
      <c r="L874" s="128"/>
      <c r="M874" s="318"/>
      <c r="N874" s="318"/>
    </row>
    <row r="875" spans="1:14" s="55" customFormat="1" ht="11.1" customHeight="1" x14ac:dyDescent="0.2">
      <c r="A875" s="272"/>
      <c r="B875" s="56" t="s">
        <v>960</v>
      </c>
      <c r="C875" s="55" t="s">
        <v>961</v>
      </c>
      <c r="D875" s="84"/>
      <c r="E875" s="84"/>
      <c r="F875" s="84"/>
      <c r="G875" s="131">
        <v>7.7</v>
      </c>
      <c r="H875" s="132">
        <v>212</v>
      </c>
      <c r="I875" s="132">
        <v>480</v>
      </c>
      <c r="J875" s="135">
        <v>12.7</v>
      </c>
      <c r="K875" s="128"/>
      <c r="L875" s="128"/>
      <c r="M875" s="318"/>
      <c r="N875" s="318"/>
    </row>
    <row r="876" spans="1:14" s="55" customFormat="1" ht="11.1" customHeight="1" x14ac:dyDescent="0.2">
      <c r="A876" s="272"/>
      <c r="B876" s="56" t="s">
        <v>962</v>
      </c>
      <c r="C876" s="55" t="s">
        <v>963</v>
      </c>
      <c r="D876" s="84"/>
      <c r="E876" s="84"/>
      <c r="F876" s="84"/>
      <c r="G876" s="131">
        <v>0.5</v>
      </c>
      <c r="H876" s="132">
        <v>12</v>
      </c>
      <c r="I876" s="132">
        <v>50</v>
      </c>
      <c r="J876" s="135">
        <v>22.8</v>
      </c>
      <c r="K876" s="128"/>
      <c r="L876" s="128"/>
      <c r="M876" s="318"/>
      <c r="N876" s="318"/>
    </row>
    <row r="877" spans="1:14" s="55" customFormat="1" ht="11.1" customHeight="1" x14ac:dyDescent="0.2">
      <c r="A877" s="56"/>
      <c r="B877" s="56" t="s">
        <v>964</v>
      </c>
      <c r="C877" s="55" t="s">
        <v>965</v>
      </c>
      <c r="D877" s="84"/>
      <c r="E877" s="84"/>
      <c r="F877" s="84"/>
      <c r="G877" s="131">
        <v>0.1</v>
      </c>
      <c r="H877" s="132">
        <v>4</v>
      </c>
      <c r="I877" s="132">
        <v>160</v>
      </c>
      <c r="J877" s="135">
        <v>12.4</v>
      </c>
      <c r="K877" s="128"/>
      <c r="L877" s="128"/>
      <c r="M877" s="318"/>
      <c r="N877" s="318"/>
    </row>
    <row r="878" spans="1:14" ht="3.75" customHeight="1" x14ac:dyDescent="0.15">
      <c r="K878" s="128"/>
      <c r="L878" s="128"/>
      <c r="M878" s="318"/>
      <c r="N878" s="318"/>
    </row>
    <row r="879" spans="1:14" s="229" customFormat="1" ht="11.1" customHeight="1" x14ac:dyDescent="0.2">
      <c r="A879" s="302">
        <v>14.7</v>
      </c>
      <c r="B879" s="302" t="s">
        <v>966</v>
      </c>
      <c r="G879" s="131">
        <v>2.4</v>
      </c>
      <c r="H879" s="132">
        <v>67</v>
      </c>
      <c r="I879" s="132">
        <v>280</v>
      </c>
      <c r="J879" s="135">
        <v>8.1</v>
      </c>
      <c r="K879" s="128"/>
      <c r="L879" s="128"/>
      <c r="M879" s="318"/>
      <c r="N879" s="318"/>
    </row>
    <row r="880" spans="1:14" s="229" customFormat="1" ht="11.1" customHeight="1" x14ac:dyDescent="0.2">
      <c r="A880" s="302">
        <v>14.8</v>
      </c>
      <c r="B880" s="302" t="s">
        <v>967</v>
      </c>
      <c r="G880" s="131">
        <v>1.3</v>
      </c>
      <c r="H880" s="132">
        <v>35</v>
      </c>
      <c r="I880" s="132">
        <v>480</v>
      </c>
      <c r="J880" s="135">
        <v>9.9</v>
      </c>
      <c r="K880" s="128"/>
      <c r="L880" s="128"/>
      <c r="M880" s="318"/>
      <c r="N880" s="318"/>
    </row>
    <row r="881" spans="1:12" ht="3.75" customHeight="1" x14ac:dyDescent="0.2">
      <c r="A881" s="71"/>
      <c r="B881" s="71"/>
      <c r="C881" s="72"/>
      <c r="D881" s="73"/>
      <c r="E881" s="73"/>
      <c r="F881" s="73"/>
      <c r="G881" s="101"/>
      <c r="H881" s="102"/>
      <c r="I881" s="72"/>
      <c r="J881" s="77"/>
      <c r="L881" s="269"/>
    </row>
    <row r="882" spans="1:12" ht="6" customHeight="1" x14ac:dyDescent="0.2">
      <c r="L882" s="269"/>
    </row>
    <row r="883" spans="1:12" ht="11.1" customHeight="1" x14ac:dyDescent="0.2">
      <c r="A883" s="157" t="s">
        <v>111</v>
      </c>
      <c r="L883" s="65"/>
    </row>
    <row r="884" spans="1:12" ht="11.1" customHeight="1" x14ac:dyDescent="0.2">
      <c r="A884" s="157" t="s">
        <v>182</v>
      </c>
      <c r="L884" s="65"/>
    </row>
    <row r="885" spans="1:12" ht="11.1" customHeight="1" x14ac:dyDescent="0.2">
      <c r="A885" s="157" t="s">
        <v>112</v>
      </c>
      <c r="L885" s="65"/>
    </row>
    <row r="886" spans="1:12" ht="11.1" customHeight="1" x14ac:dyDescent="0.2">
      <c r="A886" s="245" t="s">
        <v>968</v>
      </c>
      <c r="L886" s="65"/>
    </row>
    <row r="887" spans="1:12" ht="11.1" customHeight="1" x14ac:dyDescent="0.2">
      <c r="L887" s="65"/>
    </row>
    <row r="888" spans="1:12" ht="11.1" customHeight="1" x14ac:dyDescent="0.2">
      <c r="A888" s="320" t="s">
        <v>113</v>
      </c>
    </row>
    <row r="895" spans="1:12" ht="11.1" customHeight="1" x14ac:dyDescent="0.2">
      <c r="A895" s="245"/>
    </row>
    <row r="903" ht="10.5" customHeight="1" x14ac:dyDescent="0.2"/>
    <row r="904" ht="10.5" customHeight="1" x14ac:dyDescent="0.2"/>
    <row r="905" ht="10.5" customHeight="1" x14ac:dyDescent="0.2"/>
    <row r="906" ht="10.5" customHeight="1" x14ac:dyDescent="0.2"/>
    <row r="907" ht="10.5" customHeight="1" x14ac:dyDescent="0.2"/>
    <row r="908" ht="10.5" customHeight="1" x14ac:dyDescent="0.2"/>
    <row r="909" ht="10.5" customHeight="1" x14ac:dyDescent="0.2"/>
    <row r="910" ht="10.5" customHeight="1" x14ac:dyDescent="0.2"/>
    <row r="911" ht="10.5" customHeight="1" x14ac:dyDescent="0.2"/>
    <row r="912" ht="10.5" customHeight="1" x14ac:dyDescent="0.2"/>
    <row r="913" ht="10.5" customHeight="1" x14ac:dyDescent="0.2"/>
    <row r="914" ht="10.5" customHeight="1" x14ac:dyDescent="0.2"/>
    <row r="915" ht="10.5" customHeight="1" x14ac:dyDescent="0.2"/>
    <row r="916" ht="10.5" customHeight="1" x14ac:dyDescent="0.2"/>
    <row r="917" ht="10.5" customHeight="1" x14ac:dyDescent="0.2"/>
    <row r="918" ht="10.5" customHeight="1" x14ac:dyDescent="0.2"/>
    <row r="919" ht="10.5" customHeight="1" x14ac:dyDescent="0.2"/>
    <row r="920" ht="10.5" customHeight="1" x14ac:dyDescent="0.2"/>
    <row r="921" ht="10.5" customHeight="1" x14ac:dyDescent="0.2"/>
    <row r="922" ht="10.5" customHeight="1" x14ac:dyDescent="0.2"/>
    <row r="923" ht="10.5" customHeight="1" x14ac:dyDescent="0.2"/>
    <row r="924" ht="10.5" customHeight="1" x14ac:dyDescent="0.2"/>
    <row r="925" ht="10.5" customHeight="1" x14ac:dyDescent="0.2"/>
    <row r="926" ht="10.5" customHeight="1" x14ac:dyDescent="0.2"/>
    <row r="927" ht="10.5" customHeight="1" x14ac:dyDescent="0.2"/>
    <row r="928" ht="10.5" customHeight="1" x14ac:dyDescent="0.2"/>
    <row r="929" ht="10.5" customHeight="1" x14ac:dyDescent="0.2"/>
    <row r="930" ht="10.5" customHeight="1" x14ac:dyDescent="0.2"/>
    <row r="931" ht="10.5" customHeight="1" x14ac:dyDescent="0.2"/>
    <row r="932" ht="10.5" customHeight="1" x14ac:dyDescent="0.2"/>
    <row r="933" ht="10.5" customHeight="1" x14ac:dyDescent="0.2"/>
    <row r="934" ht="10.5" customHeight="1" x14ac:dyDescent="0.2"/>
    <row r="935" ht="10.5" customHeight="1" x14ac:dyDescent="0.2"/>
    <row r="936" ht="10.5" customHeight="1" x14ac:dyDescent="0.2"/>
    <row r="937" ht="10.5" customHeight="1" x14ac:dyDescent="0.2"/>
    <row r="938" ht="10.5" customHeight="1" x14ac:dyDescent="0.2"/>
    <row r="939" ht="10.5" customHeight="1" x14ac:dyDescent="0.2"/>
    <row r="940" ht="10.5" customHeight="1" x14ac:dyDescent="0.2"/>
    <row r="941" ht="10.5" customHeight="1" x14ac:dyDescent="0.2"/>
    <row r="942" ht="10.5" customHeight="1" x14ac:dyDescent="0.2"/>
    <row r="943" ht="10.5" customHeight="1" x14ac:dyDescent="0.2"/>
    <row r="944" ht="10.5" customHeight="1" x14ac:dyDescent="0.2"/>
    <row r="945" ht="10.5" customHeight="1" x14ac:dyDescent="0.2"/>
    <row r="946" ht="10.5" customHeight="1" x14ac:dyDescent="0.2"/>
    <row r="947" ht="10.5" customHeight="1" x14ac:dyDescent="0.2"/>
    <row r="948" ht="10.5" customHeight="1" x14ac:dyDescent="0.2"/>
    <row r="949" ht="10.5" customHeight="1" x14ac:dyDescent="0.2"/>
    <row r="950" ht="10.5" customHeight="1" x14ac:dyDescent="0.2"/>
    <row r="951" ht="10.5" customHeight="1" x14ac:dyDescent="0.2"/>
    <row r="952" ht="10.5" customHeight="1" x14ac:dyDescent="0.2"/>
  </sheetData>
  <mergeCells count="2">
    <mergeCell ref="D329:F329"/>
    <mergeCell ref="D334:F334"/>
  </mergeCells>
  <hyperlinks>
    <hyperlink ref="J1" location="Contents!A1" display="Back to Contents" xr:uid="{7AFD5100-46A9-413D-B4ED-BF712D1144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DBC0-F315-4C5B-BB17-B642580D217C}">
  <dimension ref="A1:N940"/>
  <sheetViews>
    <sheetView topLeftCell="A311" workbookViewId="0">
      <selection sqref="A1:XFD1048576"/>
    </sheetView>
  </sheetViews>
  <sheetFormatPr defaultColWidth="8.77734375" defaultRowHeight="12" x14ac:dyDescent="0.2"/>
  <cols>
    <col min="1" max="1" width="3.77734375" style="80" customWidth="1"/>
    <col min="2" max="2" width="4.21875" style="80" customWidth="1"/>
    <col min="3" max="3" width="4.77734375" style="79" customWidth="1"/>
    <col min="4" max="4" width="4.5546875" style="219" customWidth="1"/>
    <col min="5" max="5" width="28.33203125" style="219" customWidth="1"/>
    <col min="6" max="6" width="4.5546875" style="219" customWidth="1"/>
    <col min="7" max="7" width="10.77734375" style="107" customWidth="1"/>
    <col min="8" max="8" width="9.77734375" style="108" customWidth="1"/>
    <col min="9" max="9" width="9.77734375" style="109" customWidth="1"/>
    <col min="10" max="10" width="9.77734375" style="171" customWidth="1"/>
    <col min="11" max="11" width="9.77734375" style="53" customWidth="1"/>
    <col min="12" max="12" width="10.21875" style="126" customWidth="1"/>
    <col min="13" max="256" width="8.77734375" style="79"/>
    <col min="257" max="257" width="3.77734375" style="79" customWidth="1"/>
    <col min="258" max="258" width="4.21875" style="79" customWidth="1"/>
    <col min="259" max="259" width="4.77734375" style="79" customWidth="1"/>
    <col min="260" max="260" width="4.5546875" style="79" customWidth="1"/>
    <col min="261" max="261" width="28.33203125" style="79" customWidth="1"/>
    <col min="262" max="262" width="4.5546875" style="79" customWidth="1"/>
    <col min="263" max="263" width="10.77734375" style="79" customWidth="1"/>
    <col min="264" max="267" width="9.77734375" style="79" customWidth="1"/>
    <col min="268" max="268" width="10.21875" style="79" customWidth="1"/>
    <col min="269" max="512" width="8.77734375" style="79"/>
    <col min="513" max="513" width="3.77734375" style="79" customWidth="1"/>
    <col min="514" max="514" width="4.21875" style="79" customWidth="1"/>
    <col min="515" max="515" width="4.77734375" style="79" customWidth="1"/>
    <col min="516" max="516" width="4.5546875" style="79" customWidth="1"/>
    <col min="517" max="517" width="28.33203125" style="79" customWidth="1"/>
    <col min="518" max="518" width="4.5546875" style="79" customWidth="1"/>
    <col min="519" max="519" width="10.77734375" style="79" customWidth="1"/>
    <col min="520" max="523" width="9.77734375" style="79" customWidth="1"/>
    <col min="524" max="524" width="10.21875" style="79" customWidth="1"/>
    <col min="525" max="768" width="8.77734375" style="79"/>
    <col min="769" max="769" width="3.77734375" style="79" customWidth="1"/>
    <col min="770" max="770" width="4.21875" style="79" customWidth="1"/>
    <col min="771" max="771" width="4.77734375" style="79" customWidth="1"/>
    <col min="772" max="772" width="4.5546875" style="79" customWidth="1"/>
    <col min="773" max="773" width="28.33203125" style="79" customWidth="1"/>
    <col min="774" max="774" width="4.5546875" style="79" customWidth="1"/>
    <col min="775" max="775" width="10.77734375" style="79" customWidth="1"/>
    <col min="776" max="779" width="9.77734375" style="79" customWidth="1"/>
    <col min="780" max="780" width="10.21875" style="79" customWidth="1"/>
    <col min="781" max="1024" width="8.77734375" style="79"/>
    <col min="1025" max="1025" width="3.77734375" style="79" customWidth="1"/>
    <col min="1026" max="1026" width="4.21875" style="79" customWidth="1"/>
    <col min="1027" max="1027" width="4.77734375" style="79" customWidth="1"/>
    <col min="1028" max="1028" width="4.5546875" style="79" customWidth="1"/>
    <col min="1029" max="1029" width="28.33203125" style="79" customWidth="1"/>
    <col min="1030" max="1030" width="4.5546875" style="79" customWidth="1"/>
    <col min="1031" max="1031" width="10.77734375" style="79" customWidth="1"/>
    <col min="1032" max="1035" width="9.77734375" style="79" customWidth="1"/>
    <col min="1036" max="1036" width="10.21875" style="79" customWidth="1"/>
    <col min="1037" max="1280" width="8.77734375" style="79"/>
    <col min="1281" max="1281" width="3.77734375" style="79" customWidth="1"/>
    <col min="1282" max="1282" width="4.21875" style="79" customWidth="1"/>
    <col min="1283" max="1283" width="4.77734375" style="79" customWidth="1"/>
    <col min="1284" max="1284" width="4.5546875" style="79" customWidth="1"/>
    <col min="1285" max="1285" width="28.33203125" style="79" customWidth="1"/>
    <col min="1286" max="1286" width="4.5546875" style="79" customWidth="1"/>
    <col min="1287" max="1287" width="10.77734375" style="79" customWidth="1"/>
    <col min="1288" max="1291" width="9.77734375" style="79" customWidth="1"/>
    <col min="1292" max="1292" width="10.21875" style="79" customWidth="1"/>
    <col min="1293" max="1536" width="8.77734375" style="79"/>
    <col min="1537" max="1537" width="3.77734375" style="79" customWidth="1"/>
    <col min="1538" max="1538" width="4.21875" style="79" customWidth="1"/>
    <col min="1539" max="1539" width="4.77734375" style="79" customWidth="1"/>
    <col min="1540" max="1540" width="4.5546875" style="79" customWidth="1"/>
    <col min="1541" max="1541" width="28.33203125" style="79" customWidth="1"/>
    <col min="1542" max="1542" width="4.5546875" style="79" customWidth="1"/>
    <col min="1543" max="1543" width="10.77734375" style="79" customWidth="1"/>
    <col min="1544" max="1547" width="9.77734375" style="79" customWidth="1"/>
    <col min="1548" max="1548" width="10.21875" style="79" customWidth="1"/>
    <col min="1549" max="1792" width="8.77734375" style="79"/>
    <col min="1793" max="1793" width="3.77734375" style="79" customWidth="1"/>
    <col min="1794" max="1794" width="4.21875" style="79" customWidth="1"/>
    <col min="1795" max="1795" width="4.77734375" style="79" customWidth="1"/>
    <col min="1796" max="1796" width="4.5546875" style="79" customWidth="1"/>
    <col min="1797" max="1797" width="28.33203125" style="79" customWidth="1"/>
    <col min="1798" max="1798" width="4.5546875" style="79" customWidth="1"/>
    <col min="1799" max="1799" width="10.77734375" style="79" customWidth="1"/>
    <col min="1800" max="1803" width="9.77734375" style="79" customWidth="1"/>
    <col min="1804" max="1804" width="10.21875" style="79" customWidth="1"/>
    <col min="1805" max="2048" width="8.77734375" style="79"/>
    <col min="2049" max="2049" width="3.77734375" style="79" customWidth="1"/>
    <col min="2050" max="2050" width="4.21875" style="79" customWidth="1"/>
    <col min="2051" max="2051" width="4.77734375" style="79" customWidth="1"/>
    <col min="2052" max="2052" width="4.5546875" style="79" customWidth="1"/>
    <col min="2053" max="2053" width="28.33203125" style="79" customWidth="1"/>
    <col min="2054" max="2054" width="4.5546875" style="79" customWidth="1"/>
    <col min="2055" max="2055" width="10.77734375" style="79" customWidth="1"/>
    <col min="2056" max="2059" width="9.77734375" style="79" customWidth="1"/>
    <col min="2060" max="2060" width="10.21875" style="79" customWidth="1"/>
    <col min="2061" max="2304" width="8.77734375" style="79"/>
    <col min="2305" max="2305" width="3.77734375" style="79" customWidth="1"/>
    <col min="2306" max="2306" width="4.21875" style="79" customWidth="1"/>
    <col min="2307" max="2307" width="4.77734375" style="79" customWidth="1"/>
    <col min="2308" max="2308" width="4.5546875" style="79" customWidth="1"/>
    <col min="2309" max="2309" width="28.33203125" style="79" customWidth="1"/>
    <col min="2310" max="2310" width="4.5546875" style="79" customWidth="1"/>
    <col min="2311" max="2311" width="10.77734375" style="79" customWidth="1"/>
    <col min="2312" max="2315" width="9.77734375" style="79" customWidth="1"/>
    <col min="2316" max="2316" width="10.21875" style="79" customWidth="1"/>
    <col min="2317" max="2560" width="8.77734375" style="79"/>
    <col min="2561" max="2561" width="3.77734375" style="79" customWidth="1"/>
    <col min="2562" max="2562" width="4.21875" style="79" customWidth="1"/>
    <col min="2563" max="2563" width="4.77734375" style="79" customWidth="1"/>
    <col min="2564" max="2564" width="4.5546875" style="79" customWidth="1"/>
    <col min="2565" max="2565" width="28.33203125" style="79" customWidth="1"/>
    <col min="2566" max="2566" width="4.5546875" style="79" customWidth="1"/>
    <col min="2567" max="2567" width="10.77734375" style="79" customWidth="1"/>
    <col min="2568" max="2571" width="9.77734375" style="79" customWidth="1"/>
    <col min="2572" max="2572" width="10.21875" style="79" customWidth="1"/>
    <col min="2573" max="2816" width="8.77734375" style="79"/>
    <col min="2817" max="2817" width="3.77734375" style="79" customWidth="1"/>
    <col min="2818" max="2818" width="4.21875" style="79" customWidth="1"/>
    <col min="2819" max="2819" width="4.77734375" style="79" customWidth="1"/>
    <col min="2820" max="2820" width="4.5546875" style="79" customWidth="1"/>
    <col min="2821" max="2821" width="28.33203125" style="79" customWidth="1"/>
    <col min="2822" max="2822" width="4.5546875" style="79" customWidth="1"/>
    <col min="2823" max="2823" width="10.77734375" style="79" customWidth="1"/>
    <col min="2824" max="2827" width="9.77734375" style="79" customWidth="1"/>
    <col min="2828" max="2828" width="10.21875" style="79" customWidth="1"/>
    <col min="2829" max="3072" width="8.77734375" style="79"/>
    <col min="3073" max="3073" width="3.77734375" style="79" customWidth="1"/>
    <col min="3074" max="3074" width="4.21875" style="79" customWidth="1"/>
    <col min="3075" max="3075" width="4.77734375" style="79" customWidth="1"/>
    <col min="3076" max="3076" width="4.5546875" style="79" customWidth="1"/>
    <col min="3077" max="3077" width="28.33203125" style="79" customWidth="1"/>
    <col min="3078" max="3078" width="4.5546875" style="79" customWidth="1"/>
    <col min="3079" max="3079" width="10.77734375" style="79" customWidth="1"/>
    <col min="3080" max="3083" width="9.77734375" style="79" customWidth="1"/>
    <col min="3084" max="3084" width="10.21875" style="79" customWidth="1"/>
    <col min="3085" max="3328" width="8.77734375" style="79"/>
    <col min="3329" max="3329" width="3.77734375" style="79" customWidth="1"/>
    <col min="3330" max="3330" width="4.21875" style="79" customWidth="1"/>
    <col min="3331" max="3331" width="4.77734375" style="79" customWidth="1"/>
    <col min="3332" max="3332" width="4.5546875" style="79" customWidth="1"/>
    <col min="3333" max="3333" width="28.33203125" style="79" customWidth="1"/>
    <col min="3334" max="3334" width="4.5546875" style="79" customWidth="1"/>
    <col min="3335" max="3335" width="10.77734375" style="79" customWidth="1"/>
    <col min="3336" max="3339" width="9.77734375" style="79" customWidth="1"/>
    <col min="3340" max="3340" width="10.21875" style="79" customWidth="1"/>
    <col min="3341" max="3584" width="8.77734375" style="79"/>
    <col min="3585" max="3585" width="3.77734375" style="79" customWidth="1"/>
    <col min="3586" max="3586" width="4.21875" style="79" customWidth="1"/>
    <col min="3587" max="3587" width="4.77734375" style="79" customWidth="1"/>
    <col min="3588" max="3588" width="4.5546875" style="79" customWidth="1"/>
    <col min="3589" max="3589" width="28.33203125" style="79" customWidth="1"/>
    <col min="3590" max="3590" width="4.5546875" style="79" customWidth="1"/>
    <col min="3591" max="3591" width="10.77734375" style="79" customWidth="1"/>
    <col min="3592" max="3595" width="9.77734375" style="79" customWidth="1"/>
    <col min="3596" max="3596" width="10.21875" style="79" customWidth="1"/>
    <col min="3597" max="3840" width="8.77734375" style="79"/>
    <col min="3841" max="3841" width="3.77734375" style="79" customWidth="1"/>
    <col min="3842" max="3842" width="4.21875" style="79" customWidth="1"/>
    <col min="3843" max="3843" width="4.77734375" style="79" customWidth="1"/>
    <col min="3844" max="3844" width="4.5546875" style="79" customWidth="1"/>
    <col min="3845" max="3845" width="28.33203125" style="79" customWidth="1"/>
    <col min="3846" max="3846" width="4.5546875" style="79" customWidth="1"/>
    <col min="3847" max="3847" width="10.77734375" style="79" customWidth="1"/>
    <col min="3848" max="3851" width="9.77734375" style="79" customWidth="1"/>
    <col min="3852" max="3852" width="10.21875" style="79" customWidth="1"/>
    <col min="3853" max="4096" width="8.77734375" style="79"/>
    <col min="4097" max="4097" width="3.77734375" style="79" customWidth="1"/>
    <col min="4098" max="4098" width="4.21875" style="79" customWidth="1"/>
    <col min="4099" max="4099" width="4.77734375" style="79" customWidth="1"/>
    <col min="4100" max="4100" width="4.5546875" style="79" customWidth="1"/>
    <col min="4101" max="4101" width="28.33203125" style="79" customWidth="1"/>
    <col min="4102" max="4102" width="4.5546875" style="79" customWidth="1"/>
    <col min="4103" max="4103" width="10.77734375" style="79" customWidth="1"/>
    <col min="4104" max="4107" width="9.77734375" style="79" customWidth="1"/>
    <col min="4108" max="4108" width="10.21875" style="79" customWidth="1"/>
    <col min="4109" max="4352" width="8.77734375" style="79"/>
    <col min="4353" max="4353" width="3.77734375" style="79" customWidth="1"/>
    <col min="4354" max="4354" width="4.21875" style="79" customWidth="1"/>
    <col min="4355" max="4355" width="4.77734375" style="79" customWidth="1"/>
    <col min="4356" max="4356" width="4.5546875" style="79" customWidth="1"/>
    <col min="4357" max="4357" width="28.33203125" style="79" customWidth="1"/>
    <col min="4358" max="4358" width="4.5546875" style="79" customWidth="1"/>
    <col min="4359" max="4359" width="10.77734375" style="79" customWidth="1"/>
    <col min="4360" max="4363" width="9.77734375" style="79" customWidth="1"/>
    <col min="4364" max="4364" width="10.21875" style="79" customWidth="1"/>
    <col min="4365" max="4608" width="8.77734375" style="79"/>
    <col min="4609" max="4609" width="3.77734375" style="79" customWidth="1"/>
    <col min="4610" max="4610" width="4.21875" style="79" customWidth="1"/>
    <col min="4611" max="4611" width="4.77734375" style="79" customWidth="1"/>
    <col min="4612" max="4612" width="4.5546875" style="79" customWidth="1"/>
    <col min="4613" max="4613" width="28.33203125" style="79" customWidth="1"/>
    <col min="4614" max="4614" width="4.5546875" style="79" customWidth="1"/>
    <col min="4615" max="4615" width="10.77734375" style="79" customWidth="1"/>
    <col min="4616" max="4619" width="9.77734375" style="79" customWidth="1"/>
    <col min="4620" max="4620" width="10.21875" style="79" customWidth="1"/>
    <col min="4621" max="4864" width="8.77734375" style="79"/>
    <col min="4865" max="4865" width="3.77734375" style="79" customWidth="1"/>
    <col min="4866" max="4866" width="4.21875" style="79" customWidth="1"/>
    <col min="4867" max="4867" width="4.77734375" style="79" customWidth="1"/>
    <col min="4868" max="4868" width="4.5546875" style="79" customWidth="1"/>
    <col min="4869" max="4869" width="28.33203125" style="79" customWidth="1"/>
    <col min="4870" max="4870" width="4.5546875" style="79" customWidth="1"/>
    <col min="4871" max="4871" width="10.77734375" style="79" customWidth="1"/>
    <col min="4872" max="4875" width="9.77734375" style="79" customWidth="1"/>
    <col min="4876" max="4876" width="10.21875" style="79" customWidth="1"/>
    <col min="4877" max="5120" width="8.77734375" style="79"/>
    <col min="5121" max="5121" width="3.77734375" style="79" customWidth="1"/>
    <col min="5122" max="5122" width="4.21875" style="79" customWidth="1"/>
    <col min="5123" max="5123" width="4.77734375" style="79" customWidth="1"/>
    <col min="5124" max="5124" width="4.5546875" style="79" customWidth="1"/>
    <col min="5125" max="5125" width="28.33203125" style="79" customWidth="1"/>
    <col min="5126" max="5126" width="4.5546875" style="79" customWidth="1"/>
    <col min="5127" max="5127" width="10.77734375" style="79" customWidth="1"/>
    <col min="5128" max="5131" width="9.77734375" style="79" customWidth="1"/>
    <col min="5132" max="5132" width="10.21875" style="79" customWidth="1"/>
    <col min="5133" max="5376" width="8.77734375" style="79"/>
    <col min="5377" max="5377" width="3.77734375" style="79" customWidth="1"/>
    <col min="5378" max="5378" width="4.21875" style="79" customWidth="1"/>
    <col min="5379" max="5379" width="4.77734375" style="79" customWidth="1"/>
    <col min="5380" max="5380" width="4.5546875" style="79" customWidth="1"/>
    <col min="5381" max="5381" width="28.33203125" style="79" customWidth="1"/>
    <col min="5382" max="5382" width="4.5546875" style="79" customWidth="1"/>
    <col min="5383" max="5383" width="10.77734375" style="79" customWidth="1"/>
    <col min="5384" max="5387" width="9.77734375" style="79" customWidth="1"/>
    <col min="5388" max="5388" width="10.21875" style="79" customWidth="1"/>
    <col min="5389" max="5632" width="8.77734375" style="79"/>
    <col min="5633" max="5633" width="3.77734375" style="79" customWidth="1"/>
    <col min="5634" max="5634" width="4.21875" style="79" customWidth="1"/>
    <col min="5635" max="5635" width="4.77734375" style="79" customWidth="1"/>
    <col min="5636" max="5636" width="4.5546875" style="79" customWidth="1"/>
    <col min="5637" max="5637" width="28.33203125" style="79" customWidth="1"/>
    <col min="5638" max="5638" width="4.5546875" style="79" customWidth="1"/>
    <col min="5639" max="5639" width="10.77734375" style="79" customWidth="1"/>
    <col min="5640" max="5643" width="9.77734375" style="79" customWidth="1"/>
    <col min="5644" max="5644" width="10.21875" style="79" customWidth="1"/>
    <col min="5645" max="5888" width="8.77734375" style="79"/>
    <col min="5889" max="5889" width="3.77734375" style="79" customWidth="1"/>
    <col min="5890" max="5890" width="4.21875" style="79" customWidth="1"/>
    <col min="5891" max="5891" width="4.77734375" style="79" customWidth="1"/>
    <col min="5892" max="5892" width="4.5546875" style="79" customWidth="1"/>
    <col min="5893" max="5893" width="28.33203125" style="79" customWidth="1"/>
    <col min="5894" max="5894" width="4.5546875" style="79" customWidth="1"/>
    <col min="5895" max="5895" width="10.77734375" style="79" customWidth="1"/>
    <col min="5896" max="5899" width="9.77734375" style="79" customWidth="1"/>
    <col min="5900" max="5900" width="10.21875" style="79" customWidth="1"/>
    <col min="5901" max="6144" width="8.77734375" style="79"/>
    <col min="6145" max="6145" width="3.77734375" style="79" customWidth="1"/>
    <col min="6146" max="6146" width="4.21875" style="79" customWidth="1"/>
    <col min="6147" max="6147" width="4.77734375" style="79" customWidth="1"/>
    <col min="6148" max="6148" width="4.5546875" style="79" customWidth="1"/>
    <col min="6149" max="6149" width="28.33203125" style="79" customWidth="1"/>
    <col min="6150" max="6150" width="4.5546875" style="79" customWidth="1"/>
    <col min="6151" max="6151" width="10.77734375" style="79" customWidth="1"/>
    <col min="6152" max="6155" width="9.77734375" style="79" customWidth="1"/>
    <col min="6156" max="6156" width="10.21875" style="79" customWidth="1"/>
    <col min="6157" max="6400" width="8.77734375" style="79"/>
    <col min="6401" max="6401" width="3.77734375" style="79" customWidth="1"/>
    <col min="6402" max="6402" width="4.21875" style="79" customWidth="1"/>
    <col min="6403" max="6403" width="4.77734375" style="79" customWidth="1"/>
    <col min="6404" max="6404" width="4.5546875" style="79" customWidth="1"/>
    <col min="6405" max="6405" width="28.33203125" style="79" customWidth="1"/>
    <col min="6406" max="6406" width="4.5546875" style="79" customWidth="1"/>
    <col min="6407" max="6407" width="10.77734375" style="79" customWidth="1"/>
    <col min="6408" max="6411" width="9.77734375" style="79" customWidth="1"/>
    <col min="6412" max="6412" width="10.21875" style="79" customWidth="1"/>
    <col min="6413" max="6656" width="8.77734375" style="79"/>
    <col min="6657" max="6657" width="3.77734375" style="79" customWidth="1"/>
    <col min="6658" max="6658" width="4.21875" style="79" customWidth="1"/>
    <col min="6659" max="6659" width="4.77734375" style="79" customWidth="1"/>
    <col min="6660" max="6660" width="4.5546875" style="79" customWidth="1"/>
    <col min="6661" max="6661" width="28.33203125" style="79" customWidth="1"/>
    <col min="6662" max="6662" width="4.5546875" style="79" customWidth="1"/>
    <col min="6663" max="6663" width="10.77734375" style="79" customWidth="1"/>
    <col min="6664" max="6667" width="9.77734375" style="79" customWidth="1"/>
    <col min="6668" max="6668" width="10.21875" style="79" customWidth="1"/>
    <col min="6669" max="6912" width="8.77734375" style="79"/>
    <col min="6913" max="6913" width="3.77734375" style="79" customWidth="1"/>
    <col min="6914" max="6914" width="4.21875" style="79" customWidth="1"/>
    <col min="6915" max="6915" width="4.77734375" style="79" customWidth="1"/>
    <col min="6916" max="6916" width="4.5546875" style="79" customWidth="1"/>
    <col min="6917" max="6917" width="28.33203125" style="79" customWidth="1"/>
    <col min="6918" max="6918" width="4.5546875" style="79" customWidth="1"/>
    <col min="6919" max="6919" width="10.77734375" style="79" customWidth="1"/>
    <col min="6920" max="6923" width="9.77734375" style="79" customWidth="1"/>
    <col min="6924" max="6924" width="10.21875" style="79" customWidth="1"/>
    <col min="6925" max="7168" width="8.77734375" style="79"/>
    <col min="7169" max="7169" width="3.77734375" style="79" customWidth="1"/>
    <col min="7170" max="7170" width="4.21875" style="79" customWidth="1"/>
    <col min="7171" max="7171" width="4.77734375" style="79" customWidth="1"/>
    <col min="7172" max="7172" width="4.5546875" style="79" customWidth="1"/>
    <col min="7173" max="7173" width="28.33203125" style="79" customWidth="1"/>
    <col min="7174" max="7174" width="4.5546875" style="79" customWidth="1"/>
    <col min="7175" max="7175" width="10.77734375" style="79" customWidth="1"/>
    <col min="7176" max="7179" width="9.77734375" style="79" customWidth="1"/>
    <col min="7180" max="7180" width="10.21875" style="79" customWidth="1"/>
    <col min="7181" max="7424" width="8.77734375" style="79"/>
    <col min="7425" max="7425" width="3.77734375" style="79" customWidth="1"/>
    <col min="7426" max="7426" width="4.21875" style="79" customWidth="1"/>
    <col min="7427" max="7427" width="4.77734375" style="79" customWidth="1"/>
    <col min="7428" max="7428" width="4.5546875" style="79" customWidth="1"/>
    <col min="7429" max="7429" width="28.33203125" style="79" customWidth="1"/>
    <col min="7430" max="7430" width="4.5546875" style="79" customWidth="1"/>
    <col min="7431" max="7431" width="10.77734375" style="79" customWidth="1"/>
    <col min="7432" max="7435" width="9.77734375" style="79" customWidth="1"/>
    <col min="7436" max="7436" width="10.21875" style="79" customWidth="1"/>
    <col min="7437" max="7680" width="8.77734375" style="79"/>
    <col min="7681" max="7681" width="3.77734375" style="79" customWidth="1"/>
    <col min="7682" max="7682" width="4.21875" style="79" customWidth="1"/>
    <col min="7683" max="7683" width="4.77734375" style="79" customWidth="1"/>
    <col min="7684" max="7684" width="4.5546875" style="79" customWidth="1"/>
    <col min="7685" max="7685" width="28.33203125" style="79" customWidth="1"/>
    <col min="7686" max="7686" width="4.5546875" style="79" customWidth="1"/>
    <col min="7687" max="7687" width="10.77734375" style="79" customWidth="1"/>
    <col min="7688" max="7691" width="9.77734375" style="79" customWidth="1"/>
    <col min="7692" max="7692" width="10.21875" style="79" customWidth="1"/>
    <col min="7693" max="7936" width="8.77734375" style="79"/>
    <col min="7937" max="7937" width="3.77734375" style="79" customWidth="1"/>
    <col min="7938" max="7938" width="4.21875" style="79" customWidth="1"/>
    <col min="7939" max="7939" width="4.77734375" style="79" customWidth="1"/>
    <col min="7940" max="7940" width="4.5546875" style="79" customWidth="1"/>
    <col min="7941" max="7941" width="28.33203125" style="79" customWidth="1"/>
    <col min="7942" max="7942" width="4.5546875" style="79" customWidth="1"/>
    <col min="7943" max="7943" width="10.77734375" style="79" customWidth="1"/>
    <col min="7944" max="7947" width="9.77734375" style="79" customWidth="1"/>
    <col min="7948" max="7948" width="10.21875" style="79" customWidth="1"/>
    <col min="7949" max="8192" width="8.77734375" style="79"/>
    <col min="8193" max="8193" width="3.77734375" style="79" customWidth="1"/>
    <col min="8194" max="8194" width="4.21875" style="79" customWidth="1"/>
    <col min="8195" max="8195" width="4.77734375" style="79" customWidth="1"/>
    <col min="8196" max="8196" width="4.5546875" style="79" customWidth="1"/>
    <col min="8197" max="8197" width="28.33203125" style="79" customWidth="1"/>
    <col min="8198" max="8198" width="4.5546875" style="79" customWidth="1"/>
    <col min="8199" max="8199" width="10.77734375" style="79" customWidth="1"/>
    <col min="8200" max="8203" width="9.77734375" style="79" customWidth="1"/>
    <col min="8204" max="8204" width="10.21875" style="79" customWidth="1"/>
    <col min="8205" max="8448" width="8.77734375" style="79"/>
    <col min="8449" max="8449" width="3.77734375" style="79" customWidth="1"/>
    <col min="8450" max="8450" width="4.21875" style="79" customWidth="1"/>
    <col min="8451" max="8451" width="4.77734375" style="79" customWidth="1"/>
    <col min="8452" max="8452" width="4.5546875" style="79" customWidth="1"/>
    <col min="8453" max="8453" width="28.33203125" style="79" customWidth="1"/>
    <col min="8454" max="8454" width="4.5546875" style="79" customWidth="1"/>
    <col min="8455" max="8455" width="10.77734375" style="79" customWidth="1"/>
    <col min="8456" max="8459" width="9.77734375" style="79" customWidth="1"/>
    <col min="8460" max="8460" width="10.21875" style="79" customWidth="1"/>
    <col min="8461" max="8704" width="8.77734375" style="79"/>
    <col min="8705" max="8705" width="3.77734375" style="79" customWidth="1"/>
    <col min="8706" max="8706" width="4.21875" style="79" customWidth="1"/>
    <col min="8707" max="8707" width="4.77734375" style="79" customWidth="1"/>
    <col min="8708" max="8708" width="4.5546875" style="79" customWidth="1"/>
    <col min="8709" max="8709" width="28.33203125" style="79" customWidth="1"/>
    <col min="8710" max="8710" width="4.5546875" style="79" customWidth="1"/>
    <col min="8711" max="8711" width="10.77734375" style="79" customWidth="1"/>
    <col min="8712" max="8715" width="9.77734375" style="79" customWidth="1"/>
    <col min="8716" max="8716" width="10.21875" style="79" customWidth="1"/>
    <col min="8717" max="8960" width="8.77734375" style="79"/>
    <col min="8961" max="8961" width="3.77734375" style="79" customWidth="1"/>
    <col min="8962" max="8962" width="4.21875" style="79" customWidth="1"/>
    <col min="8963" max="8963" width="4.77734375" style="79" customWidth="1"/>
    <col min="8964" max="8964" width="4.5546875" style="79" customWidth="1"/>
    <col min="8965" max="8965" width="28.33203125" style="79" customWidth="1"/>
    <col min="8966" max="8966" width="4.5546875" style="79" customWidth="1"/>
    <col min="8967" max="8967" width="10.77734375" style="79" customWidth="1"/>
    <col min="8968" max="8971" width="9.77734375" style="79" customWidth="1"/>
    <col min="8972" max="8972" width="10.21875" style="79" customWidth="1"/>
    <col min="8973" max="9216" width="8.77734375" style="79"/>
    <col min="9217" max="9217" width="3.77734375" style="79" customWidth="1"/>
    <col min="9218" max="9218" width="4.21875" style="79" customWidth="1"/>
    <col min="9219" max="9219" width="4.77734375" style="79" customWidth="1"/>
    <col min="9220" max="9220" width="4.5546875" style="79" customWidth="1"/>
    <col min="9221" max="9221" width="28.33203125" style="79" customWidth="1"/>
    <col min="9222" max="9222" width="4.5546875" style="79" customWidth="1"/>
    <col min="9223" max="9223" width="10.77734375" style="79" customWidth="1"/>
    <col min="9224" max="9227" width="9.77734375" style="79" customWidth="1"/>
    <col min="9228" max="9228" width="10.21875" style="79" customWidth="1"/>
    <col min="9229" max="9472" width="8.77734375" style="79"/>
    <col min="9473" max="9473" width="3.77734375" style="79" customWidth="1"/>
    <col min="9474" max="9474" width="4.21875" style="79" customWidth="1"/>
    <col min="9475" max="9475" width="4.77734375" style="79" customWidth="1"/>
    <col min="9476" max="9476" width="4.5546875" style="79" customWidth="1"/>
    <col min="9477" max="9477" width="28.33203125" style="79" customWidth="1"/>
    <col min="9478" max="9478" width="4.5546875" style="79" customWidth="1"/>
    <col min="9479" max="9479" width="10.77734375" style="79" customWidth="1"/>
    <col min="9480" max="9483" width="9.77734375" style="79" customWidth="1"/>
    <col min="9484" max="9484" width="10.21875" style="79" customWidth="1"/>
    <col min="9485" max="9728" width="8.77734375" style="79"/>
    <col min="9729" max="9729" width="3.77734375" style="79" customWidth="1"/>
    <col min="9730" max="9730" width="4.21875" style="79" customWidth="1"/>
    <col min="9731" max="9731" width="4.77734375" style="79" customWidth="1"/>
    <col min="9732" max="9732" width="4.5546875" style="79" customWidth="1"/>
    <col min="9733" max="9733" width="28.33203125" style="79" customWidth="1"/>
    <col min="9734" max="9734" width="4.5546875" style="79" customWidth="1"/>
    <col min="9735" max="9735" width="10.77734375" style="79" customWidth="1"/>
    <col min="9736" max="9739" width="9.77734375" style="79" customWidth="1"/>
    <col min="9740" max="9740" width="10.21875" style="79" customWidth="1"/>
    <col min="9741" max="9984" width="8.77734375" style="79"/>
    <col min="9985" max="9985" width="3.77734375" style="79" customWidth="1"/>
    <col min="9986" max="9986" width="4.21875" style="79" customWidth="1"/>
    <col min="9987" max="9987" width="4.77734375" style="79" customWidth="1"/>
    <col min="9988" max="9988" width="4.5546875" style="79" customWidth="1"/>
    <col min="9989" max="9989" width="28.33203125" style="79" customWidth="1"/>
    <col min="9990" max="9990" width="4.5546875" style="79" customWidth="1"/>
    <col min="9991" max="9991" width="10.77734375" style="79" customWidth="1"/>
    <col min="9992" max="9995" width="9.77734375" style="79" customWidth="1"/>
    <col min="9996" max="9996" width="10.21875" style="79" customWidth="1"/>
    <col min="9997" max="10240" width="8.77734375" style="79"/>
    <col min="10241" max="10241" width="3.77734375" style="79" customWidth="1"/>
    <col min="10242" max="10242" width="4.21875" style="79" customWidth="1"/>
    <col min="10243" max="10243" width="4.77734375" style="79" customWidth="1"/>
    <col min="10244" max="10244" width="4.5546875" style="79" customWidth="1"/>
    <col min="10245" max="10245" width="28.33203125" style="79" customWidth="1"/>
    <col min="10246" max="10246" width="4.5546875" style="79" customWidth="1"/>
    <col min="10247" max="10247" width="10.77734375" style="79" customWidth="1"/>
    <col min="10248" max="10251" width="9.77734375" style="79" customWidth="1"/>
    <col min="10252" max="10252" width="10.21875" style="79" customWidth="1"/>
    <col min="10253" max="10496" width="8.77734375" style="79"/>
    <col min="10497" max="10497" width="3.77734375" style="79" customWidth="1"/>
    <col min="10498" max="10498" width="4.21875" style="79" customWidth="1"/>
    <col min="10499" max="10499" width="4.77734375" style="79" customWidth="1"/>
    <col min="10500" max="10500" width="4.5546875" style="79" customWidth="1"/>
    <col min="10501" max="10501" width="28.33203125" style="79" customWidth="1"/>
    <col min="10502" max="10502" width="4.5546875" style="79" customWidth="1"/>
    <col min="10503" max="10503" width="10.77734375" style="79" customWidth="1"/>
    <col min="10504" max="10507" width="9.77734375" style="79" customWidth="1"/>
    <col min="10508" max="10508" width="10.21875" style="79" customWidth="1"/>
    <col min="10509" max="10752" width="8.77734375" style="79"/>
    <col min="10753" max="10753" width="3.77734375" style="79" customWidth="1"/>
    <col min="10754" max="10754" width="4.21875" style="79" customWidth="1"/>
    <col min="10755" max="10755" width="4.77734375" style="79" customWidth="1"/>
    <col min="10756" max="10756" width="4.5546875" style="79" customWidth="1"/>
    <col min="10757" max="10757" width="28.33203125" style="79" customWidth="1"/>
    <col min="10758" max="10758" width="4.5546875" style="79" customWidth="1"/>
    <col min="10759" max="10759" width="10.77734375" style="79" customWidth="1"/>
    <col min="10760" max="10763" width="9.77734375" style="79" customWidth="1"/>
    <col min="10764" max="10764" width="10.21875" style="79" customWidth="1"/>
    <col min="10765" max="11008" width="8.77734375" style="79"/>
    <col min="11009" max="11009" width="3.77734375" style="79" customWidth="1"/>
    <col min="11010" max="11010" width="4.21875" style="79" customWidth="1"/>
    <col min="11011" max="11011" width="4.77734375" style="79" customWidth="1"/>
    <col min="11012" max="11012" width="4.5546875" style="79" customWidth="1"/>
    <col min="11013" max="11013" width="28.33203125" style="79" customWidth="1"/>
    <col min="11014" max="11014" width="4.5546875" style="79" customWidth="1"/>
    <col min="11015" max="11015" width="10.77734375" style="79" customWidth="1"/>
    <col min="11016" max="11019" width="9.77734375" style="79" customWidth="1"/>
    <col min="11020" max="11020" width="10.21875" style="79" customWidth="1"/>
    <col min="11021" max="11264" width="8.77734375" style="79"/>
    <col min="11265" max="11265" width="3.77734375" style="79" customWidth="1"/>
    <col min="11266" max="11266" width="4.21875" style="79" customWidth="1"/>
    <col min="11267" max="11267" width="4.77734375" style="79" customWidth="1"/>
    <col min="11268" max="11268" width="4.5546875" style="79" customWidth="1"/>
    <col min="11269" max="11269" width="28.33203125" style="79" customWidth="1"/>
    <col min="11270" max="11270" width="4.5546875" style="79" customWidth="1"/>
    <col min="11271" max="11271" width="10.77734375" style="79" customWidth="1"/>
    <col min="11272" max="11275" width="9.77734375" style="79" customWidth="1"/>
    <col min="11276" max="11276" width="10.21875" style="79" customWidth="1"/>
    <col min="11277" max="11520" width="8.77734375" style="79"/>
    <col min="11521" max="11521" width="3.77734375" style="79" customWidth="1"/>
    <col min="11522" max="11522" width="4.21875" style="79" customWidth="1"/>
    <col min="11523" max="11523" width="4.77734375" style="79" customWidth="1"/>
    <col min="11524" max="11524" width="4.5546875" style="79" customWidth="1"/>
    <col min="11525" max="11525" width="28.33203125" style="79" customWidth="1"/>
    <col min="11526" max="11526" width="4.5546875" style="79" customWidth="1"/>
    <col min="11527" max="11527" width="10.77734375" style="79" customWidth="1"/>
    <col min="11528" max="11531" width="9.77734375" style="79" customWidth="1"/>
    <col min="11532" max="11532" width="10.21875" style="79" customWidth="1"/>
    <col min="11533" max="11776" width="8.77734375" style="79"/>
    <col min="11777" max="11777" width="3.77734375" style="79" customWidth="1"/>
    <col min="11778" max="11778" width="4.21875" style="79" customWidth="1"/>
    <col min="11779" max="11779" width="4.77734375" style="79" customWidth="1"/>
    <col min="11780" max="11780" width="4.5546875" style="79" customWidth="1"/>
    <col min="11781" max="11781" width="28.33203125" style="79" customWidth="1"/>
    <col min="11782" max="11782" width="4.5546875" style="79" customWidth="1"/>
    <col min="11783" max="11783" width="10.77734375" style="79" customWidth="1"/>
    <col min="11784" max="11787" width="9.77734375" style="79" customWidth="1"/>
    <col min="11788" max="11788" width="10.21875" style="79" customWidth="1"/>
    <col min="11789" max="12032" width="8.77734375" style="79"/>
    <col min="12033" max="12033" width="3.77734375" style="79" customWidth="1"/>
    <col min="12034" max="12034" width="4.21875" style="79" customWidth="1"/>
    <col min="12035" max="12035" width="4.77734375" style="79" customWidth="1"/>
    <col min="12036" max="12036" width="4.5546875" style="79" customWidth="1"/>
    <col min="12037" max="12037" width="28.33203125" style="79" customWidth="1"/>
    <col min="12038" max="12038" width="4.5546875" style="79" customWidth="1"/>
    <col min="12039" max="12039" width="10.77734375" style="79" customWidth="1"/>
    <col min="12040" max="12043" width="9.77734375" style="79" customWidth="1"/>
    <col min="12044" max="12044" width="10.21875" style="79" customWidth="1"/>
    <col min="12045" max="12288" width="8.77734375" style="79"/>
    <col min="12289" max="12289" width="3.77734375" style="79" customWidth="1"/>
    <col min="12290" max="12290" width="4.21875" style="79" customWidth="1"/>
    <col min="12291" max="12291" width="4.77734375" style="79" customWidth="1"/>
    <col min="12292" max="12292" width="4.5546875" style="79" customWidth="1"/>
    <col min="12293" max="12293" width="28.33203125" style="79" customWidth="1"/>
    <col min="12294" max="12294" width="4.5546875" style="79" customWidth="1"/>
    <col min="12295" max="12295" width="10.77734375" style="79" customWidth="1"/>
    <col min="12296" max="12299" width="9.77734375" style="79" customWidth="1"/>
    <col min="12300" max="12300" width="10.21875" style="79" customWidth="1"/>
    <col min="12301" max="12544" width="8.77734375" style="79"/>
    <col min="12545" max="12545" width="3.77734375" style="79" customWidth="1"/>
    <col min="12546" max="12546" width="4.21875" style="79" customWidth="1"/>
    <col min="12547" max="12547" width="4.77734375" style="79" customWidth="1"/>
    <col min="12548" max="12548" width="4.5546875" style="79" customWidth="1"/>
    <col min="12549" max="12549" width="28.33203125" style="79" customWidth="1"/>
    <col min="12550" max="12550" width="4.5546875" style="79" customWidth="1"/>
    <col min="12551" max="12551" width="10.77734375" style="79" customWidth="1"/>
    <col min="12552" max="12555" width="9.77734375" style="79" customWidth="1"/>
    <col min="12556" max="12556" width="10.21875" style="79" customWidth="1"/>
    <col min="12557" max="12800" width="8.77734375" style="79"/>
    <col min="12801" max="12801" width="3.77734375" style="79" customWidth="1"/>
    <col min="12802" max="12802" width="4.21875" style="79" customWidth="1"/>
    <col min="12803" max="12803" width="4.77734375" style="79" customWidth="1"/>
    <col min="12804" max="12804" width="4.5546875" style="79" customWidth="1"/>
    <col min="12805" max="12805" width="28.33203125" style="79" customWidth="1"/>
    <col min="12806" max="12806" width="4.5546875" style="79" customWidth="1"/>
    <col min="12807" max="12807" width="10.77734375" style="79" customWidth="1"/>
    <col min="12808" max="12811" width="9.77734375" style="79" customWidth="1"/>
    <col min="12812" max="12812" width="10.21875" style="79" customWidth="1"/>
    <col min="12813" max="13056" width="8.77734375" style="79"/>
    <col min="13057" max="13057" width="3.77734375" style="79" customWidth="1"/>
    <col min="13058" max="13058" width="4.21875" style="79" customWidth="1"/>
    <col min="13059" max="13059" width="4.77734375" style="79" customWidth="1"/>
    <col min="13060" max="13060" width="4.5546875" style="79" customWidth="1"/>
    <col min="13061" max="13061" width="28.33203125" style="79" customWidth="1"/>
    <col min="13062" max="13062" width="4.5546875" style="79" customWidth="1"/>
    <col min="13063" max="13063" width="10.77734375" style="79" customWidth="1"/>
    <col min="13064" max="13067" width="9.77734375" style="79" customWidth="1"/>
    <col min="13068" max="13068" width="10.21875" style="79" customWidth="1"/>
    <col min="13069" max="13312" width="8.77734375" style="79"/>
    <col min="13313" max="13313" width="3.77734375" style="79" customWidth="1"/>
    <col min="13314" max="13314" width="4.21875" style="79" customWidth="1"/>
    <col min="13315" max="13315" width="4.77734375" style="79" customWidth="1"/>
    <col min="13316" max="13316" width="4.5546875" style="79" customWidth="1"/>
    <col min="13317" max="13317" width="28.33203125" style="79" customWidth="1"/>
    <col min="13318" max="13318" width="4.5546875" style="79" customWidth="1"/>
    <col min="13319" max="13319" width="10.77734375" style="79" customWidth="1"/>
    <col min="13320" max="13323" width="9.77734375" style="79" customWidth="1"/>
    <col min="13324" max="13324" width="10.21875" style="79" customWidth="1"/>
    <col min="13325" max="13568" width="8.77734375" style="79"/>
    <col min="13569" max="13569" width="3.77734375" style="79" customWidth="1"/>
    <col min="13570" max="13570" width="4.21875" style="79" customWidth="1"/>
    <col min="13571" max="13571" width="4.77734375" style="79" customWidth="1"/>
    <col min="13572" max="13572" width="4.5546875" style="79" customWidth="1"/>
    <col min="13573" max="13573" width="28.33203125" style="79" customWidth="1"/>
    <col min="13574" max="13574" width="4.5546875" style="79" customWidth="1"/>
    <col min="13575" max="13575" width="10.77734375" style="79" customWidth="1"/>
    <col min="13576" max="13579" width="9.77734375" style="79" customWidth="1"/>
    <col min="13580" max="13580" width="10.21875" style="79" customWidth="1"/>
    <col min="13581" max="13824" width="8.77734375" style="79"/>
    <col min="13825" max="13825" width="3.77734375" style="79" customWidth="1"/>
    <col min="13826" max="13826" width="4.21875" style="79" customWidth="1"/>
    <col min="13827" max="13827" width="4.77734375" style="79" customWidth="1"/>
    <col min="13828" max="13828" width="4.5546875" style="79" customWidth="1"/>
    <col min="13829" max="13829" width="28.33203125" style="79" customWidth="1"/>
    <col min="13830" max="13830" width="4.5546875" style="79" customWidth="1"/>
    <col min="13831" max="13831" width="10.77734375" style="79" customWidth="1"/>
    <col min="13832" max="13835" width="9.77734375" style="79" customWidth="1"/>
    <col min="13836" max="13836" width="10.21875" style="79" customWidth="1"/>
    <col min="13837" max="14080" width="8.77734375" style="79"/>
    <col min="14081" max="14081" width="3.77734375" style="79" customWidth="1"/>
    <col min="14082" max="14082" width="4.21875" style="79" customWidth="1"/>
    <col min="14083" max="14083" width="4.77734375" style="79" customWidth="1"/>
    <col min="14084" max="14084" width="4.5546875" style="79" customWidth="1"/>
    <col min="14085" max="14085" width="28.33203125" style="79" customWidth="1"/>
    <col min="14086" max="14086" width="4.5546875" style="79" customWidth="1"/>
    <col min="14087" max="14087" width="10.77734375" style="79" customWidth="1"/>
    <col min="14088" max="14091" width="9.77734375" style="79" customWidth="1"/>
    <col min="14092" max="14092" width="10.21875" style="79" customWidth="1"/>
    <col min="14093" max="14336" width="8.77734375" style="79"/>
    <col min="14337" max="14337" width="3.77734375" style="79" customWidth="1"/>
    <col min="14338" max="14338" width="4.21875" style="79" customWidth="1"/>
    <col min="14339" max="14339" width="4.77734375" style="79" customWidth="1"/>
    <col min="14340" max="14340" width="4.5546875" style="79" customWidth="1"/>
    <col min="14341" max="14341" width="28.33203125" style="79" customWidth="1"/>
    <col min="14342" max="14342" width="4.5546875" style="79" customWidth="1"/>
    <col min="14343" max="14343" width="10.77734375" style="79" customWidth="1"/>
    <col min="14344" max="14347" width="9.77734375" style="79" customWidth="1"/>
    <col min="14348" max="14348" width="10.21875" style="79" customWidth="1"/>
    <col min="14349" max="14592" width="8.77734375" style="79"/>
    <col min="14593" max="14593" width="3.77734375" style="79" customWidth="1"/>
    <col min="14594" max="14594" width="4.21875" style="79" customWidth="1"/>
    <col min="14595" max="14595" width="4.77734375" style="79" customWidth="1"/>
    <col min="14596" max="14596" width="4.5546875" style="79" customWidth="1"/>
    <col min="14597" max="14597" width="28.33203125" style="79" customWidth="1"/>
    <col min="14598" max="14598" width="4.5546875" style="79" customWidth="1"/>
    <col min="14599" max="14599" width="10.77734375" style="79" customWidth="1"/>
    <col min="14600" max="14603" width="9.77734375" style="79" customWidth="1"/>
    <col min="14604" max="14604" width="10.21875" style="79" customWidth="1"/>
    <col min="14605" max="14848" width="8.77734375" style="79"/>
    <col min="14849" max="14849" width="3.77734375" style="79" customWidth="1"/>
    <col min="14850" max="14850" width="4.21875" style="79" customWidth="1"/>
    <col min="14851" max="14851" width="4.77734375" style="79" customWidth="1"/>
    <col min="14852" max="14852" width="4.5546875" style="79" customWidth="1"/>
    <col min="14853" max="14853" width="28.33203125" style="79" customWidth="1"/>
    <col min="14854" max="14854" width="4.5546875" style="79" customWidth="1"/>
    <col min="14855" max="14855" width="10.77734375" style="79" customWidth="1"/>
    <col min="14856" max="14859" width="9.77734375" style="79" customWidth="1"/>
    <col min="14860" max="14860" width="10.21875" style="79" customWidth="1"/>
    <col min="14861" max="15104" width="8.77734375" style="79"/>
    <col min="15105" max="15105" width="3.77734375" style="79" customWidth="1"/>
    <col min="15106" max="15106" width="4.21875" style="79" customWidth="1"/>
    <col min="15107" max="15107" width="4.77734375" style="79" customWidth="1"/>
    <col min="15108" max="15108" width="4.5546875" style="79" customWidth="1"/>
    <col min="15109" max="15109" width="28.33203125" style="79" customWidth="1"/>
    <col min="15110" max="15110" width="4.5546875" style="79" customWidth="1"/>
    <col min="15111" max="15111" width="10.77734375" style="79" customWidth="1"/>
    <col min="15112" max="15115" width="9.77734375" style="79" customWidth="1"/>
    <col min="15116" max="15116" width="10.21875" style="79" customWidth="1"/>
    <col min="15117" max="15360" width="8.77734375" style="79"/>
    <col min="15361" max="15361" width="3.77734375" style="79" customWidth="1"/>
    <col min="15362" max="15362" width="4.21875" style="79" customWidth="1"/>
    <col min="15363" max="15363" width="4.77734375" style="79" customWidth="1"/>
    <col min="15364" max="15364" width="4.5546875" style="79" customWidth="1"/>
    <col min="15365" max="15365" width="28.33203125" style="79" customWidth="1"/>
    <col min="15366" max="15366" width="4.5546875" style="79" customWidth="1"/>
    <col min="15367" max="15367" width="10.77734375" style="79" customWidth="1"/>
    <col min="15368" max="15371" width="9.77734375" style="79" customWidth="1"/>
    <col min="15372" max="15372" width="10.21875" style="79" customWidth="1"/>
    <col min="15373" max="15616" width="8.77734375" style="79"/>
    <col min="15617" max="15617" width="3.77734375" style="79" customWidth="1"/>
    <col min="15618" max="15618" width="4.21875" style="79" customWidth="1"/>
    <col min="15619" max="15619" width="4.77734375" style="79" customWidth="1"/>
    <col min="15620" max="15620" width="4.5546875" style="79" customWidth="1"/>
    <col min="15621" max="15621" width="28.33203125" style="79" customWidth="1"/>
    <col min="15622" max="15622" width="4.5546875" style="79" customWidth="1"/>
    <col min="15623" max="15623" width="10.77734375" style="79" customWidth="1"/>
    <col min="15624" max="15627" width="9.77734375" style="79" customWidth="1"/>
    <col min="15628" max="15628" width="10.21875" style="79" customWidth="1"/>
    <col min="15629" max="15872" width="8.77734375" style="79"/>
    <col min="15873" max="15873" width="3.77734375" style="79" customWidth="1"/>
    <col min="15874" max="15874" width="4.21875" style="79" customWidth="1"/>
    <col min="15875" max="15875" width="4.77734375" style="79" customWidth="1"/>
    <col min="15876" max="15876" width="4.5546875" style="79" customWidth="1"/>
    <col min="15877" max="15877" width="28.33203125" style="79" customWidth="1"/>
    <col min="15878" max="15878" width="4.5546875" style="79" customWidth="1"/>
    <col min="15879" max="15879" width="10.77734375" style="79" customWidth="1"/>
    <col min="15880" max="15883" width="9.77734375" style="79" customWidth="1"/>
    <col min="15884" max="15884" width="10.21875" style="79" customWidth="1"/>
    <col min="15885" max="16128" width="8.77734375" style="79"/>
    <col min="16129" max="16129" width="3.77734375" style="79" customWidth="1"/>
    <col min="16130" max="16130" width="4.21875" style="79" customWidth="1"/>
    <col min="16131" max="16131" width="4.77734375" style="79" customWidth="1"/>
    <col min="16132" max="16132" width="4.5546875" style="79" customWidth="1"/>
    <col min="16133" max="16133" width="28.33203125" style="79" customWidth="1"/>
    <col min="16134" max="16134" width="4.5546875" style="79" customWidth="1"/>
    <col min="16135" max="16135" width="10.77734375" style="79" customWidth="1"/>
    <col min="16136" max="16139" width="9.77734375" style="79" customWidth="1"/>
    <col min="16140" max="16140" width="10.21875" style="79" customWidth="1"/>
    <col min="16141" max="16384" width="8.77734375" style="79"/>
  </cols>
  <sheetData>
    <row r="1" spans="1:12" s="31" customFormat="1" ht="15.75" customHeight="1" x14ac:dyDescent="0.3">
      <c r="A1" s="29" t="s">
        <v>114</v>
      </c>
      <c r="B1" s="30"/>
      <c r="D1" s="32"/>
      <c r="E1" s="32"/>
      <c r="F1" s="33"/>
      <c r="G1" s="34"/>
      <c r="H1" s="35"/>
      <c r="I1" s="36"/>
      <c r="J1" s="321" t="s">
        <v>23</v>
      </c>
      <c r="K1" s="37"/>
      <c r="L1" s="38"/>
    </row>
    <row r="2" spans="1:12" s="31" customFormat="1" ht="20.25" customHeight="1" x14ac:dyDescent="0.3">
      <c r="A2" s="39" t="s">
        <v>115</v>
      </c>
      <c r="B2" s="30"/>
      <c r="D2" s="32"/>
      <c r="E2" s="32"/>
      <c r="F2" s="33"/>
      <c r="G2" s="34"/>
      <c r="H2" s="35"/>
      <c r="I2" s="36"/>
      <c r="J2" s="40"/>
      <c r="K2" s="37"/>
      <c r="L2" s="38"/>
    </row>
    <row r="3" spans="1:12" s="31" customFormat="1" ht="15.75" customHeight="1" x14ac:dyDescent="0.25">
      <c r="A3" s="41" t="s">
        <v>969</v>
      </c>
      <c r="B3" s="42"/>
      <c r="C3" s="43"/>
      <c r="D3" s="44"/>
      <c r="E3" s="32"/>
      <c r="F3" s="33"/>
      <c r="G3" s="34"/>
      <c r="H3" s="35"/>
      <c r="I3" s="36"/>
      <c r="J3" s="40"/>
      <c r="K3" s="37"/>
      <c r="L3" s="38"/>
    </row>
    <row r="4" spans="1:12" s="55" customFormat="1" ht="4.05" customHeight="1" x14ac:dyDescent="0.2">
      <c r="A4" s="45"/>
      <c r="B4" s="46"/>
      <c r="C4" s="47"/>
      <c r="D4" s="48"/>
      <c r="E4" s="48"/>
      <c r="F4" s="48"/>
      <c r="G4" s="49"/>
      <c r="H4" s="50"/>
      <c r="I4" s="51"/>
      <c r="J4" s="52"/>
      <c r="K4" s="53"/>
      <c r="L4" s="54"/>
    </row>
    <row r="5" spans="1:12" s="55" customFormat="1" ht="4.05" customHeight="1" x14ac:dyDescent="0.2">
      <c r="A5" s="56"/>
      <c r="B5" s="81"/>
      <c r="D5" s="84"/>
      <c r="E5" s="84"/>
      <c r="F5" s="84"/>
      <c r="G5" s="249"/>
      <c r="H5" s="250"/>
      <c r="I5" s="251"/>
      <c r="J5" s="252"/>
      <c r="K5" s="53"/>
      <c r="L5" s="54"/>
    </row>
    <row r="6" spans="1:12" s="55" customFormat="1" ht="11.1" customHeight="1" x14ac:dyDescent="0.15">
      <c r="A6" s="56"/>
      <c r="B6" s="56"/>
      <c r="C6" s="57"/>
      <c r="D6" s="58"/>
      <c r="E6" s="58"/>
      <c r="F6" s="59"/>
      <c r="G6" s="60" t="s">
        <v>116</v>
      </c>
      <c r="H6" s="61" t="s">
        <v>25</v>
      </c>
      <c r="I6" s="62" t="s">
        <v>26</v>
      </c>
      <c r="J6" s="63" t="s">
        <v>117</v>
      </c>
      <c r="K6" s="64"/>
      <c r="L6" s="65"/>
    </row>
    <row r="7" spans="1:12" s="55" customFormat="1" ht="11.1" customHeight="1" x14ac:dyDescent="0.15">
      <c r="A7" s="56"/>
      <c r="B7" s="56"/>
      <c r="C7" s="66"/>
      <c r="D7" s="58"/>
      <c r="E7" s="58"/>
      <c r="F7" s="59"/>
      <c r="G7" s="67" t="s">
        <v>29</v>
      </c>
      <c r="H7" s="61" t="s">
        <v>27</v>
      </c>
      <c r="I7" s="62" t="s">
        <v>28</v>
      </c>
      <c r="J7" s="63" t="s">
        <v>118</v>
      </c>
      <c r="K7" s="64"/>
      <c r="L7" s="65"/>
    </row>
    <row r="8" spans="1:12" s="55" customFormat="1" ht="11.1" customHeight="1" x14ac:dyDescent="0.15">
      <c r="A8" s="56"/>
      <c r="B8" s="56"/>
      <c r="C8" s="66"/>
      <c r="D8" s="68"/>
      <c r="E8" s="68"/>
      <c r="F8" s="59"/>
      <c r="G8" s="60" t="s">
        <v>31</v>
      </c>
      <c r="H8" s="61" t="s">
        <v>29</v>
      </c>
      <c r="I8" s="62" t="s">
        <v>30</v>
      </c>
      <c r="J8" s="69" t="s">
        <v>119</v>
      </c>
      <c r="K8" s="64"/>
      <c r="L8" s="65"/>
    </row>
    <row r="9" spans="1:12" s="55" customFormat="1" ht="11.1" customHeight="1" x14ac:dyDescent="0.15">
      <c r="A9" s="56"/>
      <c r="B9" s="56"/>
      <c r="C9" s="66"/>
      <c r="D9" s="58"/>
      <c r="E9" s="58"/>
      <c r="F9" s="59"/>
      <c r="G9" s="67" t="s">
        <v>32</v>
      </c>
      <c r="H9" s="61" t="s">
        <v>33</v>
      </c>
      <c r="I9" s="62" t="s">
        <v>120</v>
      </c>
      <c r="J9" s="70" t="s">
        <v>121</v>
      </c>
      <c r="K9" s="64"/>
      <c r="L9" s="65"/>
    </row>
    <row r="10" spans="1:12" ht="4.05" customHeight="1" x14ac:dyDescent="0.2">
      <c r="A10" s="71"/>
      <c r="B10" s="71"/>
      <c r="C10" s="72"/>
      <c r="D10" s="73"/>
      <c r="E10" s="73"/>
      <c r="F10" s="73"/>
      <c r="G10" s="74"/>
      <c r="H10" s="75"/>
      <c r="I10" s="76"/>
      <c r="J10" s="77"/>
      <c r="K10" s="78"/>
      <c r="L10" s="54"/>
    </row>
    <row r="11" spans="1:12" ht="4.05" customHeight="1" x14ac:dyDescent="0.2">
      <c r="B11" s="81"/>
      <c r="C11" s="82"/>
      <c r="D11" s="83"/>
      <c r="E11" s="83"/>
      <c r="F11" s="84"/>
      <c r="G11" s="85"/>
      <c r="H11" s="86"/>
      <c r="I11" s="87"/>
      <c r="J11" s="88"/>
      <c r="K11" s="78"/>
      <c r="L11" s="54"/>
    </row>
    <row r="12" spans="1:12" s="99" customFormat="1" ht="11.1" customHeight="1" x14ac:dyDescent="0.25">
      <c r="A12" s="89" t="s">
        <v>122</v>
      </c>
      <c r="B12" s="90"/>
      <c r="C12" s="91"/>
      <c r="D12" s="92"/>
      <c r="E12" s="92"/>
      <c r="F12" s="93"/>
      <c r="G12" s="94"/>
      <c r="H12" s="95"/>
      <c r="I12" s="96">
        <v>5440</v>
      </c>
      <c r="J12" s="97"/>
      <c r="K12" s="78"/>
      <c r="L12" s="98"/>
    </row>
    <row r="13" spans="1:12" s="105" customFormat="1" ht="4.05" customHeight="1" x14ac:dyDescent="0.25">
      <c r="A13" s="100"/>
      <c r="B13" s="46"/>
      <c r="C13" s="100"/>
      <c r="D13" s="72"/>
      <c r="E13" s="72"/>
      <c r="F13" s="72"/>
      <c r="G13" s="101"/>
      <c r="H13" s="102"/>
      <c r="I13" s="103"/>
      <c r="J13" s="104"/>
      <c r="K13" s="78"/>
      <c r="L13" s="54"/>
    </row>
    <row r="14" spans="1:12" s="105" customFormat="1" ht="4.05" customHeight="1" x14ac:dyDescent="0.25">
      <c r="A14" s="106"/>
      <c r="B14" s="81"/>
      <c r="C14" s="106"/>
      <c r="D14" s="79"/>
      <c r="E14" s="79"/>
      <c r="F14" s="79"/>
      <c r="G14" s="107"/>
      <c r="H14" s="108"/>
      <c r="I14" s="109"/>
      <c r="J14" s="110"/>
      <c r="K14" s="78"/>
      <c r="L14" s="54"/>
    </row>
    <row r="15" spans="1:12" s="93" customFormat="1" ht="11.1" customHeight="1" x14ac:dyDescent="0.2">
      <c r="A15" s="111" t="s">
        <v>123</v>
      </c>
      <c r="B15" s="112"/>
      <c r="C15" s="113"/>
      <c r="F15" s="114" t="s">
        <v>124</v>
      </c>
      <c r="G15" s="115"/>
      <c r="H15" s="116"/>
      <c r="I15" s="117"/>
      <c r="J15" s="97"/>
      <c r="K15" s="78"/>
      <c r="L15" s="98"/>
    </row>
    <row r="16" spans="1:12" s="118" customFormat="1" ht="4.05" customHeight="1" x14ac:dyDescent="0.2">
      <c r="A16" s="80"/>
      <c r="B16" s="80"/>
      <c r="C16" s="79"/>
      <c r="D16" s="79"/>
      <c r="E16" s="79"/>
      <c r="F16" s="79"/>
      <c r="G16" s="107"/>
      <c r="H16" s="108"/>
      <c r="I16" s="109"/>
      <c r="J16" s="110"/>
      <c r="K16" s="78"/>
      <c r="L16" s="54"/>
    </row>
    <row r="17" spans="1:13" s="128" customFormat="1" ht="12.75" customHeight="1" x14ac:dyDescent="0.25">
      <c r="A17" s="119" t="s">
        <v>34</v>
      </c>
      <c r="B17" s="120" t="s">
        <v>7</v>
      </c>
      <c r="C17" s="121"/>
      <c r="D17" s="122"/>
      <c r="E17" s="122"/>
      <c r="F17" s="121"/>
      <c r="G17" s="123">
        <v>63.7</v>
      </c>
      <c r="H17" s="124">
        <v>1772</v>
      </c>
      <c r="I17" s="124">
        <v>5400</v>
      </c>
      <c r="J17" s="125">
        <v>1</v>
      </c>
      <c r="K17" s="78"/>
      <c r="L17" s="126"/>
      <c r="M17" s="127"/>
    </row>
    <row r="18" spans="1:13" ht="6" customHeight="1" x14ac:dyDescent="0.2">
      <c r="A18" s="129"/>
      <c r="B18" s="81"/>
      <c r="D18" s="130"/>
      <c r="E18" s="130"/>
      <c r="F18" s="79"/>
      <c r="G18" s="131"/>
      <c r="H18" s="132"/>
      <c r="I18" s="133"/>
      <c r="J18" s="134"/>
      <c r="K18" s="78"/>
      <c r="L18" s="127"/>
      <c r="M18" s="127"/>
    </row>
    <row r="19" spans="1:13" ht="11.1" customHeight="1" x14ac:dyDescent="0.2">
      <c r="A19" s="80">
        <v>1.1000000000000001</v>
      </c>
      <c r="B19" s="129" t="s">
        <v>35</v>
      </c>
      <c r="D19" s="130"/>
      <c r="E19" s="130"/>
      <c r="F19" s="79"/>
      <c r="G19" s="131">
        <v>58.4</v>
      </c>
      <c r="H19" s="132">
        <v>1624</v>
      </c>
      <c r="I19" s="132">
        <v>5400</v>
      </c>
      <c r="J19" s="135">
        <v>1</v>
      </c>
      <c r="K19" s="78"/>
      <c r="M19" s="127"/>
    </row>
    <row r="20" spans="1:13" s="56" customFormat="1" ht="11.1" customHeight="1" x14ac:dyDescent="0.2">
      <c r="B20" s="136" t="s">
        <v>36</v>
      </c>
      <c r="C20" s="56" t="s">
        <v>37</v>
      </c>
      <c r="D20" s="137"/>
      <c r="G20" s="131">
        <v>5.8</v>
      </c>
      <c r="H20" s="132">
        <v>163</v>
      </c>
      <c r="I20" s="132">
        <v>5280</v>
      </c>
      <c r="J20" s="135">
        <v>1.3</v>
      </c>
      <c r="K20" s="78"/>
      <c r="L20" s="126"/>
      <c r="M20" s="127"/>
    </row>
    <row r="21" spans="1:13" s="56" customFormat="1" ht="11.1" customHeight="1" x14ac:dyDescent="0.2">
      <c r="C21" s="56" t="s">
        <v>125</v>
      </c>
      <c r="D21" s="56" t="s">
        <v>126</v>
      </c>
      <c r="G21" s="131">
        <v>0.5</v>
      </c>
      <c r="H21" s="132">
        <v>15</v>
      </c>
      <c r="I21" s="132">
        <v>1740</v>
      </c>
      <c r="J21" s="135">
        <v>5.2</v>
      </c>
      <c r="K21" s="78"/>
      <c r="L21" s="126"/>
      <c r="M21" s="127"/>
    </row>
    <row r="22" spans="1:13" s="56" customFormat="1" ht="11.1" customHeight="1" x14ac:dyDescent="0.2">
      <c r="C22" s="56" t="s">
        <v>127</v>
      </c>
      <c r="D22" s="56" t="s">
        <v>128</v>
      </c>
      <c r="G22" s="131">
        <v>2.7</v>
      </c>
      <c r="H22" s="132">
        <v>74</v>
      </c>
      <c r="I22" s="132">
        <v>5070</v>
      </c>
      <c r="J22" s="135">
        <v>1.5</v>
      </c>
      <c r="K22" s="78"/>
      <c r="L22" s="126"/>
      <c r="M22" s="127"/>
    </row>
    <row r="23" spans="1:13" s="56" customFormat="1" ht="11.1" customHeight="1" x14ac:dyDescent="0.2">
      <c r="C23" s="56" t="s">
        <v>129</v>
      </c>
      <c r="D23" s="56" t="s">
        <v>130</v>
      </c>
      <c r="G23" s="131">
        <v>2.6</v>
      </c>
      <c r="H23" s="132">
        <v>73</v>
      </c>
      <c r="I23" s="132">
        <v>4470</v>
      </c>
      <c r="J23" s="135">
        <v>1.5</v>
      </c>
      <c r="K23" s="78"/>
      <c r="L23" s="126"/>
      <c r="M23" s="127"/>
    </row>
    <row r="24" spans="1:13" s="56" customFormat="1" ht="3" customHeight="1" x14ac:dyDescent="0.2">
      <c r="G24" s="131"/>
      <c r="H24" s="132"/>
      <c r="I24" s="132"/>
      <c r="J24" s="135"/>
      <c r="K24" s="78"/>
      <c r="L24" s="126"/>
      <c r="M24" s="127"/>
    </row>
    <row r="25" spans="1:13" s="56" customFormat="1" ht="11.1" customHeight="1" x14ac:dyDescent="0.2">
      <c r="B25" s="56" t="s">
        <v>38</v>
      </c>
      <c r="C25" s="56" t="s">
        <v>39</v>
      </c>
      <c r="G25" s="131">
        <v>0.5</v>
      </c>
      <c r="H25" s="132">
        <v>13</v>
      </c>
      <c r="I25" s="132">
        <v>2360</v>
      </c>
      <c r="J25" s="135">
        <v>2.9</v>
      </c>
      <c r="K25" s="78"/>
      <c r="L25" s="126"/>
      <c r="M25" s="127"/>
    </row>
    <row r="26" spans="1:13" s="56" customFormat="1" ht="3" customHeight="1" x14ac:dyDescent="0.2">
      <c r="G26" s="131"/>
      <c r="H26" s="132"/>
      <c r="I26" s="132"/>
      <c r="J26" s="135"/>
      <c r="K26" s="78"/>
      <c r="L26" s="126"/>
      <c r="M26" s="127"/>
    </row>
    <row r="27" spans="1:13" s="55" customFormat="1" ht="11.1" customHeight="1" x14ac:dyDescent="0.2">
      <c r="A27" s="56"/>
      <c r="B27" s="56" t="s">
        <v>40</v>
      </c>
      <c r="C27" s="136" t="s">
        <v>41</v>
      </c>
      <c r="E27" s="137"/>
      <c r="G27" s="131">
        <v>4.0999999999999996</v>
      </c>
      <c r="H27" s="132">
        <v>114</v>
      </c>
      <c r="I27" s="132">
        <v>4900</v>
      </c>
      <c r="J27" s="135">
        <v>1.6</v>
      </c>
      <c r="K27" s="78"/>
      <c r="L27" s="126"/>
      <c r="M27" s="127"/>
    </row>
    <row r="28" spans="1:13" s="55" customFormat="1" ht="11.1" customHeight="1" x14ac:dyDescent="0.2">
      <c r="A28" s="56"/>
      <c r="B28" s="56"/>
      <c r="C28" s="136" t="s">
        <v>131</v>
      </c>
      <c r="D28" s="55" t="s">
        <v>132</v>
      </c>
      <c r="E28" s="137"/>
      <c r="G28" s="131">
        <v>2.5</v>
      </c>
      <c r="H28" s="132">
        <v>69</v>
      </c>
      <c r="I28" s="132">
        <v>4600</v>
      </c>
      <c r="J28" s="135">
        <v>1.6</v>
      </c>
      <c r="K28" s="78"/>
      <c r="L28" s="126"/>
      <c r="M28" s="127"/>
    </row>
    <row r="29" spans="1:13" s="55" customFormat="1" ht="11.1" customHeight="1" x14ac:dyDescent="0.2">
      <c r="A29" s="56"/>
      <c r="B29" s="56"/>
      <c r="C29" s="136" t="s">
        <v>133</v>
      </c>
      <c r="D29" s="55" t="s">
        <v>134</v>
      </c>
      <c r="E29" s="137"/>
      <c r="G29" s="131">
        <v>1.6</v>
      </c>
      <c r="H29" s="132">
        <v>45</v>
      </c>
      <c r="I29" s="132">
        <v>3520</v>
      </c>
      <c r="J29" s="135">
        <v>2.6</v>
      </c>
      <c r="K29" s="78"/>
      <c r="L29" s="126"/>
      <c r="M29" s="127"/>
    </row>
    <row r="30" spans="1:13" s="56" customFormat="1" ht="3" customHeight="1" x14ac:dyDescent="0.2">
      <c r="G30" s="131"/>
      <c r="H30" s="132"/>
      <c r="I30" s="132"/>
      <c r="J30" s="135"/>
      <c r="K30" s="78"/>
      <c r="L30" s="126"/>
      <c r="M30" s="127"/>
    </row>
    <row r="31" spans="1:13" s="55" customFormat="1" ht="11.1" customHeight="1" x14ac:dyDescent="0.2">
      <c r="A31" s="56"/>
      <c r="B31" s="56" t="s">
        <v>42</v>
      </c>
      <c r="C31" s="136" t="s">
        <v>43</v>
      </c>
      <c r="E31" s="137"/>
      <c r="G31" s="131">
        <v>1</v>
      </c>
      <c r="H31" s="132">
        <v>27</v>
      </c>
      <c r="I31" s="132">
        <v>2290</v>
      </c>
      <c r="J31" s="135">
        <v>2.6</v>
      </c>
      <c r="K31" s="78"/>
      <c r="L31" s="126"/>
      <c r="M31" s="127"/>
    </row>
    <row r="32" spans="1:13" s="84" customFormat="1" ht="11.1" customHeight="1" x14ac:dyDescent="0.2">
      <c r="B32" s="56" t="s">
        <v>44</v>
      </c>
      <c r="C32" s="136" t="s">
        <v>45</v>
      </c>
      <c r="D32" s="55"/>
      <c r="E32" s="137"/>
      <c r="F32" s="55"/>
      <c r="G32" s="131">
        <v>1.9</v>
      </c>
      <c r="H32" s="132">
        <v>52</v>
      </c>
      <c r="I32" s="132">
        <v>2450</v>
      </c>
      <c r="J32" s="135">
        <v>2.7</v>
      </c>
      <c r="K32" s="78"/>
      <c r="L32" s="126"/>
      <c r="M32" s="127"/>
    </row>
    <row r="33" spans="1:13" s="84" customFormat="1" ht="11.1" customHeight="1" x14ac:dyDescent="0.2">
      <c r="B33" s="56" t="s">
        <v>46</v>
      </c>
      <c r="C33" s="136" t="s">
        <v>47</v>
      </c>
      <c r="D33" s="55"/>
      <c r="E33" s="137"/>
      <c r="F33" s="55"/>
      <c r="G33" s="131">
        <v>0.5</v>
      </c>
      <c r="H33" s="132">
        <v>15</v>
      </c>
      <c r="I33" s="132">
        <v>1080</v>
      </c>
      <c r="J33" s="135">
        <v>4.3</v>
      </c>
      <c r="K33" s="78"/>
      <c r="L33" s="126"/>
      <c r="M33" s="127"/>
    </row>
    <row r="34" spans="1:13" s="84" customFormat="1" ht="11.1" customHeight="1" x14ac:dyDescent="0.2">
      <c r="B34" s="56" t="s">
        <v>48</v>
      </c>
      <c r="C34" s="136" t="s">
        <v>49</v>
      </c>
      <c r="D34" s="55"/>
      <c r="E34" s="137"/>
      <c r="F34" s="55"/>
      <c r="G34" s="131">
        <v>0.7</v>
      </c>
      <c r="H34" s="132">
        <v>19</v>
      </c>
      <c r="I34" s="132">
        <v>650</v>
      </c>
      <c r="J34" s="135">
        <v>7.7</v>
      </c>
      <c r="K34" s="78"/>
      <c r="L34" s="126"/>
      <c r="M34" s="127"/>
    </row>
    <row r="35" spans="1:13" s="141" customFormat="1" ht="11.1" customHeight="1" x14ac:dyDescent="0.2">
      <c r="B35" s="56" t="s">
        <v>50</v>
      </c>
      <c r="C35" s="136" t="s">
        <v>51</v>
      </c>
      <c r="D35" s="55"/>
      <c r="E35" s="137"/>
      <c r="F35" s="55"/>
      <c r="G35" s="131">
        <v>2.4</v>
      </c>
      <c r="H35" s="132">
        <v>68</v>
      </c>
      <c r="I35" s="132">
        <v>3010</v>
      </c>
      <c r="J35" s="135">
        <v>2.6</v>
      </c>
      <c r="K35" s="78"/>
      <c r="L35" s="126"/>
      <c r="M35" s="127"/>
    </row>
    <row r="36" spans="1:13" s="55" customFormat="1" ht="11.1" customHeight="1" x14ac:dyDescent="0.2">
      <c r="B36" s="56" t="s">
        <v>52</v>
      </c>
      <c r="C36" s="56" t="s">
        <v>53</v>
      </c>
      <c r="D36" s="142"/>
      <c r="E36" s="137"/>
      <c r="F36" s="143"/>
      <c r="G36" s="131">
        <v>0.8</v>
      </c>
      <c r="H36" s="132">
        <v>23</v>
      </c>
      <c r="I36" s="132">
        <v>2300</v>
      </c>
      <c r="J36" s="135">
        <v>2.7</v>
      </c>
      <c r="K36" s="78"/>
      <c r="L36" s="126"/>
      <c r="M36" s="127"/>
    </row>
    <row r="37" spans="1:13" s="56" customFormat="1" ht="3" customHeight="1" x14ac:dyDescent="0.2">
      <c r="G37" s="131"/>
      <c r="H37" s="132"/>
      <c r="I37" s="132"/>
      <c r="J37" s="135"/>
      <c r="K37" s="78"/>
      <c r="L37" s="126"/>
      <c r="M37" s="127"/>
    </row>
    <row r="38" spans="1:13" s="55" customFormat="1" ht="11.1" customHeight="1" x14ac:dyDescent="0.2">
      <c r="B38" s="56" t="s">
        <v>54</v>
      </c>
      <c r="C38" s="56" t="s">
        <v>55</v>
      </c>
      <c r="D38" s="142"/>
      <c r="E38" s="137"/>
      <c r="F38" s="143"/>
      <c r="G38" s="131">
        <v>6.6</v>
      </c>
      <c r="H38" s="132">
        <v>184</v>
      </c>
      <c r="I38" s="132">
        <v>4770</v>
      </c>
      <c r="J38" s="135">
        <v>1.6</v>
      </c>
      <c r="K38" s="78"/>
      <c r="L38" s="126"/>
      <c r="M38" s="127"/>
    </row>
    <row r="39" spans="1:13" s="55" customFormat="1" ht="11.1" customHeight="1" x14ac:dyDescent="0.2">
      <c r="B39" s="56"/>
      <c r="C39" s="56" t="s">
        <v>135</v>
      </c>
      <c r="D39" s="144" t="s">
        <v>136</v>
      </c>
      <c r="E39" s="137"/>
      <c r="F39" s="143"/>
      <c r="G39" s="131">
        <v>0.9</v>
      </c>
      <c r="H39" s="132">
        <v>25</v>
      </c>
      <c r="I39" s="132">
        <v>2400</v>
      </c>
      <c r="J39" s="135">
        <v>2.7</v>
      </c>
      <c r="K39" s="78"/>
      <c r="L39" s="126"/>
      <c r="M39" s="127"/>
    </row>
    <row r="40" spans="1:13" s="55" customFormat="1" ht="11.1" customHeight="1" x14ac:dyDescent="0.2">
      <c r="B40" s="56"/>
      <c r="C40" s="56" t="s">
        <v>137</v>
      </c>
      <c r="D40" s="144" t="s">
        <v>138</v>
      </c>
      <c r="E40" s="137"/>
      <c r="F40" s="143"/>
      <c r="G40" s="131">
        <v>0.1</v>
      </c>
      <c r="H40" s="132">
        <v>3</v>
      </c>
      <c r="I40" s="132">
        <v>610</v>
      </c>
      <c r="J40" s="135">
        <v>7.4</v>
      </c>
      <c r="K40" s="78"/>
      <c r="L40" s="126"/>
      <c r="M40" s="127"/>
    </row>
    <row r="41" spans="1:13" s="55" customFormat="1" ht="11.1" customHeight="1" x14ac:dyDescent="0.2">
      <c r="B41" s="56"/>
      <c r="C41" s="56" t="s">
        <v>139</v>
      </c>
      <c r="D41" s="144" t="s">
        <v>140</v>
      </c>
      <c r="E41" s="137"/>
      <c r="F41" s="143"/>
      <c r="G41" s="131">
        <v>5.6</v>
      </c>
      <c r="H41" s="132">
        <v>156</v>
      </c>
      <c r="I41" s="132">
        <v>4600</v>
      </c>
      <c r="J41" s="135">
        <v>1.7</v>
      </c>
      <c r="K41" s="78"/>
      <c r="L41" s="126"/>
      <c r="M41" s="127"/>
    </row>
    <row r="42" spans="1:13" s="55" customFormat="1" ht="11.1" customHeight="1" x14ac:dyDescent="0.2">
      <c r="B42" s="56"/>
      <c r="C42" s="56" t="s">
        <v>141</v>
      </c>
      <c r="D42" s="144" t="s">
        <v>142</v>
      </c>
      <c r="E42" s="137"/>
      <c r="F42" s="143"/>
      <c r="G42" s="202">
        <v>0</v>
      </c>
      <c r="H42" s="273">
        <v>0</v>
      </c>
      <c r="I42" s="132">
        <v>20</v>
      </c>
      <c r="J42" s="135">
        <v>32.6</v>
      </c>
      <c r="K42" s="78"/>
      <c r="L42" s="126"/>
      <c r="M42" s="127"/>
    </row>
    <row r="43" spans="1:13" s="55" customFormat="1" ht="3" customHeight="1" x14ac:dyDescent="0.2">
      <c r="A43" s="56"/>
      <c r="B43" s="56"/>
      <c r="C43" s="144"/>
      <c r="D43" s="137"/>
      <c r="E43" s="137"/>
      <c r="F43" s="143"/>
      <c r="G43" s="138"/>
      <c r="H43" s="139"/>
      <c r="I43" s="140"/>
      <c r="J43" s="135"/>
      <c r="K43" s="78"/>
      <c r="L43" s="127"/>
      <c r="M43" s="127"/>
    </row>
    <row r="44" spans="1:13" s="55" customFormat="1" ht="11.1" customHeight="1" x14ac:dyDescent="0.2">
      <c r="B44" s="56" t="s">
        <v>56</v>
      </c>
      <c r="C44" s="136" t="s">
        <v>57</v>
      </c>
      <c r="E44" s="137"/>
      <c r="G44" s="131">
        <v>3.2</v>
      </c>
      <c r="H44" s="132">
        <v>88</v>
      </c>
      <c r="I44" s="132">
        <v>3530</v>
      </c>
      <c r="J44" s="135">
        <v>2.4</v>
      </c>
      <c r="K44" s="78"/>
      <c r="L44" s="126"/>
      <c r="M44" s="127"/>
    </row>
    <row r="45" spans="1:13" s="55" customFormat="1" ht="11.1" customHeight="1" x14ac:dyDescent="0.2">
      <c r="B45" s="56"/>
      <c r="C45" s="136" t="s">
        <v>143</v>
      </c>
      <c r="D45" s="55" t="s">
        <v>144</v>
      </c>
      <c r="E45" s="137"/>
      <c r="F45" s="143"/>
      <c r="G45" s="131">
        <v>1</v>
      </c>
      <c r="H45" s="132">
        <v>28</v>
      </c>
      <c r="I45" s="132">
        <v>1310</v>
      </c>
      <c r="J45" s="135">
        <v>5.3</v>
      </c>
      <c r="K45" s="78"/>
      <c r="L45" s="126"/>
      <c r="M45" s="127"/>
    </row>
    <row r="46" spans="1:13" s="55" customFormat="1" ht="11.1" customHeight="1" x14ac:dyDescent="0.2">
      <c r="B46" s="56"/>
      <c r="C46" s="136" t="s">
        <v>145</v>
      </c>
      <c r="D46" s="55" t="s">
        <v>146</v>
      </c>
      <c r="E46" s="137"/>
      <c r="F46" s="143"/>
      <c r="G46" s="131">
        <v>0.7</v>
      </c>
      <c r="H46" s="132">
        <v>19</v>
      </c>
      <c r="I46" s="132">
        <v>1200</v>
      </c>
      <c r="J46" s="135">
        <v>4</v>
      </c>
      <c r="K46" s="78"/>
      <c r="L46" s="126"/>
      <c r="M46" s="127"/>
    </row>
    <row r="47" spans="1:13" s="141" customFormat="1" ht="11.1" customHeight="1" x14ac:dyDescent="0.2">
      <c r="B47" s="56"/>
      <c r="C47" s="136" t="s">
        <v>147</v>
      </c>
      <c r="D47" s="55" t="s">
        <v>148</v>
      </c>
      <c r="E47" s="137"/>
      <c r="F47" s="143"/>
      <c r="G47" s="131">
        <v>1.5</v>
      </c>
      <c r="H47" s="132">
        <v>41</v>
      </c>
      <c r="I47" s="132">
        <v>2810</v>
      </c>
      <c r="J47" s="135">
        <v>2.4</v>
      </c>
      <c r="K47" s="78"/>
      <c r="L47" s="126"/>
      <c r="M47" s="127"/>
    </row>
    <row r="48" spans="1:13" s="55" customFormat="1" ht="3" customHeight="1" x14ac:dyDescent="0.2">
      <c r="B48" s="56"/>
      <c r="C48" s="136"/>
      <c r="E48" s="137"/>
      <c r="F48" s="143"/>
      <c r="G48" s="138"/>
      <c r="H48" s="139"/>
      <c r="I48" s="140"/>
      <c r="J48" s="146"/>
      <c r="K48" s="78"/>
      <c r="L48" s="127"/>
      <c r="M48" s="127"/>
    </row>
    <row r="49" spans="2:13" s="55" customFormat="1" ht="11.1" customHeight="1" x14ac:dyDescent="0.2">
      <c r="B49" s="56" t="s">
        <v>58</v>
      </c>
      <c r="C49" s="136" t="s">
        <v>59</v>
      </c>
      <c r="E49" s="137"/>
      <c r="G49" s="131">
        <v>2.1</v>
      </c>
      <c r="H49" s="132">
        <v>59</v>
      </c>
      <c r="I49" s="132">
        <v>4840</v>
      </c>
      <c r="J49" s="135">
        <v>1.7</v>
      </c>
      <c r="K49" s="78"/>
      <c r="L49" s="126"/>
      <c r="M49" s="127"/>
    </row>
    <row r="50" spans="2:13" s="55" customFormat="1" ht="11.1" customHeight="1" x14ac:dyDescent="0.2">
      <c r="B50" s="56"/>
      <c r="C50" s="56" t="s">
        <v>149</v>
      </c>
      <c r="D50" s="147" t="s">
        <v>150</v>
      </c>
      <c r="E50" s="137"/>
      <c r="F50" s="143"/>
      <c r="G50" s="131">
        <v>0.4</v>
      </c>
      <c r="H50" s="132">
        <v>12</v>
      </c>
      <c r="I50" s="132">
        <v>1450</v>
      </c>
      <c r="J50" s="135">
        <v>3.8</v>
      </c>
      <c r="K50" s="78"/>
      <c r="L50" s="126"/>
      <c r="M50" s="127"/>
    </row>
    <row r="51" spans="2:13" s="55" customFormat="1" ht="11.1" customHeight="1" x14ac:dyDescent="0.2">
      <c r="B51" s="56"/>
      <c r="C51" s="56" t="s">
        <v>151</v>
      </c>
      <c r="D51" s="142" t="s">
        <v>152</v>
      </c>
      <c r="E51" s="137"/>
      <c r="F51" s="143"/>
      <c r="G51" s="131">
        <v>1.5</v>
      </c>
      <c r="H51" s="132">
        <v>41</v>
      </c>
      <c r="I51" s="132">
        <v>4050</v>
      </c>
      <c r="J51" s="135">
        <v>1.7</v>
      </c>
      <c r="K51" s="78"/>
      <c r="L51" s="126"/>
      <c r="M51" s="127"/>
    </row>
    <row r="52" spans="2:13" s="55" customFormat="1" ht="11.1" customHeight="1" x14ac:dyDescent="0.2">
      <c r="B52" s="56"/>
      <c r="C52" s="56" t="s">
        <v>153</v>
      </c>
      <c r="D52" s="144" t="s">
        <v>154</v>
      </c>
      <c r="E52" s="137"/>
      <c r="F52" s="143"/>
      <c r="G52" s="131">
        <v>0.2</v>
      </c>
      <c r="H52" s="132">
        <v>6</v>
      </c>
      <c r="I52" s="132">
        <v>310</v>
      </c>
      <c r="J52" s="135">
        <v>9.3000000000000007</v>
      </c>
      <c r="K52" s="78"/>
      <c r="L52" s="126"/>
      <c r="M52" s="127"/>
    </row>
    <row r="53" spans="2:13" s="56" customFormat="1" ht="3" customHeight="1" x14ac:dyDescent="0.2">
      <c r="G53" s="131"/>
      <c r="H53" s="132"/>
      <c r="I53" s="132"/>
      <c r="J53" s="135"/>
      <c r="K53" s="78"/>
      <c r="L53" s="126"/>
      <c r="M53" s="127"/>
    </row>
    <row r="54" spans="2:13" s="149" customFormat="1" ht="11.1" customHeight="1" x14ac:dyDescent="0.2">
      <c r="B54" s="56" t="s">
        <v>60</v>
      </c>
      <c r="C54" s="56" t="s">
        <v>61</v>
      </c>
      <c r="D54" s="148"/>
      <c r="E54" s="55"/>
      <c r="F54" s="55"/>
      <c r="G54" s="131">
        <v>2.2000000000000002</v>
      </c>
      <c r="H54" s="132">
        <v>61</v>
      </c>
      <c r="I54" s="132">
        <v>4070</v>
      </c>
      <c r="J54" s="135">
        <v>1.7</v>
      </c>
      <c r="K54" s="78"/>
      <c r="L54" s="126"/>
      <c r="M54" s="127"/>
    </row>
    <row r="55" spans="2:13" s="55" customFormat="1" ht="11.1" customHeight="1" x14ac:dyDescent="0.2">
      <c r="B55" s="56" t="s">
        <v>62</v>
      </c>
      <c r="C55" s="136" t="s">
        <v>63</v>
      </c>
      <c r="E55" s="143"/>
      <c r="F55" s="142"/>
      <c r="G55" s="131">
        <v>0.8</v>
      </c>
      <c r="H55" s="132">
        <v>21</v>
      </c>
      <c r="I55" s="132">
        <v>3300</v>
      </c>
      <c r="J55" s="135">
        <v>2</v>
      </c>
      <c r="K55" s="78"/>
      <c r="L55" s="126"/>
      <c r="M55" s="127"/>
    </row>
    <row r="56" spans="2:13" s="56" customFormat="1" ht="3" customHeight="1" x14ac:dyDescent="0.2">
      <c r="G56" s="131"/>
      <c r="H56" s="132"/>
      <c r="I56" s="132"/>
      <c r="J56" s="135"/>
      <c r="K56" s="78"/>
      <c r="L56" s="126"/>
      <c r="M56" s="127"/>
    </row>
    <row r="57" spans="2:13" s="149" customFormat="1" ht="11.1" customHeight="1" x14ac:dyDescent="0.2">
      <c r="B57" s="56" t="s">
        <v>64</v>
      </c>
      <c r="C57" s="136" t="s">
        <v>65</v>
      </c>
      <c r="D57" s="55"/>
      <c r="E57" s="137"/>
      <c r="F57" s="142"/>
      <c r="G57" s="131">
        <v>2.2999999999999998</v>
      </c>
      <c r="H57" s="132">
        <v>65</v>
      </c>
      <c r="I57" s="132">
        <v>4320</v>
      </c>
      <c r="J57" s="135">
        <v>1.7</v>
      </c>
      <c r="K57" s="78"/>
      <c r="L57" s="126"/>
      <c r="M57" s="127"/>
    </row>
    <row r="58" spans="2:13" s="55" customFormat="1" ht="11.1" customHeight="1" x14ac:dyDescent="0.2">
      <c r="B58" s="56"/>
      <c r="C58" s="136" t="s">
        <v>155</v>
      </c>
      <c r="D58" s="55" t="s">
        <v>65</v>
      </c>
      <c r="E58" s="137"/>
      <c r="G58" s="131">
        <v>1.1000000000000001</v>
      </c>
      <c r="H58" s="132">
        <v>32</v>
      </c>
      <c r="I58" s="132">
        <v>3250</v>
      </c>
      <c r="J58" s="135">
        <v>2.5</v>
      </c>
      <c r="K58" s="78"/>
      <c r="L58" s="126"/>
      <c r="M58" s="127"/>
    </row>
    <row r="59" spans="2:13" s="55" customFormat="1" ht="11.1" customHeight="1" x14ac:dyDescent="0.2">
      <c r="B59" s="56"/>
      <c r="C59" s="136" t="s">
        <v>156</v>
      </c>
      <c r="D59" s="55" t="s">
        <v>157</v>
      </c>
      <c r="E59" s="137"/>
      <c r="G59" s="131">
        <v>1.2</v>
      </c>
      <c r="H59" s="132">
        <v>34</v>
      </c>
      <c r="I59" s="132">
        <v>3230</v>
      </c>
      <c r="J59" s="135">
        <v>2.1</v>
      </c>
      <c r="K59" s="78"/>
      <c r="L59" s="126"/>
      <c r="M59" s="127"/>
    </row>
    <row r="60" spans="2:13" s="55" customFormat="1" ht="3" customHeight="1" x14ac:dyDescent="0.2">
      <c r="B60" s="56"/>
      <c r="C60" s="136"/>
      <c r="E60" s="137"/>
      <c r="G60" s="138"/>
      <c r="H60" s="139"/>
      <c r="I60" s="140"/>
      <c r="J60" s="135"/>
      <c r="K60" s="78"/>
      <c r="L60" s="127"/>
      <c r="M60" s="127"/>
    </row>
    <row r="61" spans="2:13" s="55" customFormat="1" ht="11.1" customHeight="1" x14ac:dyDescent="0.2">
      <c r="B61" s="56" t="s">
        <v>66</v>
      </c>
      <c r="C61" s="136" t="s">
        <v>67</v>
      </c>
      <c r="E61" s="137"/>
      <c r="G61" s="131">
        <v>0.5</v>
      </c>
      <c r="H61" s="132">
        <v>13</v>
      </c>
      <c r="I61" s="132">
        <v>1590</v>
      </c>
      <c r="J61" s="135">
        <v>3.2</v>
      </c>
      <c r="K61" s="78"/>
      <c r="L61" s="126"/>
      <c r="M61" s="127"/>
    </row>
    <row r="62" spans="2:13" s="55" customFormat="1" ht="11.1" customHeight="1" x14ac:dyDescent="0.2">
      <c r="B62" s="56" t="s">
        <v>68</v>
      </c>
      <c r="C62" s="136" t="s">
        <v>69</v>
      </c>
      <c r="E62" s="137"/>
      <c r="G62" s="131">
        <v>0.6</v>
      </c>
      <c r="H62" s="132">
        <v>17</v>
      </c>
      <c r="I62" s="132">
        <v>2410</v>
      </c>
      <c r="J62" s="135">
        <v>2.2999999999999998</v>
      </c>
      <c r="K62" s="78"/>
      <c r="L62" s="126"/>
      <c r="M62" s="127"/>
    </row>
    <row r="63" spans="2:13" s="56" customFormat="1" ht="3" customHeight="1" x14ac:dyDescent="0.2">
      <c r="G63" s="131"/>
      <c r="H63" s="132"/>
      <c r="I63" s="132"/>
      <c r="J63" s="135"/>
      <c r="K63" s="78"/>
      <c r="L63" s="126"/>
      <c r="M63" s="127"/>
    </row>
    <row r="64" spans="2:13" s="55" customFormat="1" ht="11.1" customHeight="1" x14ac:dyDescent="0.2">
      <c r="B64" s="56" t="s">
        <v>70</v>
      </c>
      <c r="C64" s="136" t="s">
        <v>71</v>
      </c>
      <c r="E64" s="137"/>
      <c r="G64" s="131">
        <v>0.4</v>
      </c>
      <c r="H64" s="132">
        <v>10</v>
      </c>
      <c r="I64" s="132">
        <v>1240</v>
      </c>
      <c r="J64" s="135">
        <v>5.2</v>
      </c>
      <c r="K64" s="78"/>
      <c r="L64" s="126"/>
      <c r="M64" s="127"/>
    </row>
    <row r="65" spans="2:13" s="55" customFormat="1" ht="11.1" customHeight="1" x14ac:dyDescent="0.2">
      <c r="B65" s="56"/>
      <c r="C65" s="136" t="s">
        <v>158</v>
      </c>
      <c r="D65" s="55" t="s">
        <v>159</v>
      </c>
      <c r="E65" s="137"/>
      <c r="G65" s="131">
        <v>0.2</v>
      </c>
      <c r="H65" s="132">
        <v>5</v>
      </c>
      <c r="I65" s="132">
        <v>450</v>
      </c>
      <c r="J65" s="135">
        <v>8.6999999999999993</v>
      </c>
      <c r="K65" s="78"/>
      <c r="L65" s="126"/>
      <c r="M65" s="127"/>
    </row>
    <row r="66" spans="2:13" s="55" customFormat="1" ht="11.1" customHeight="1" x14ac:dyDescent="0.2">
      <c r="B66" s="56"/>
      <c r="C66" s="136" t="s">
        <v>160</v>
      </c>
      <c r="D66" s="55" t="s">
        <v>161</v>
      </c>
      <c r="E66" s="137"/>
      <c r="G66" s="131">
        <v>0.2</v>
      </c>
      <c r="H66" s="132">
        <v>6</v>
      </c>
      <c r="I66" s="132">
        <v>890</v>
      </c>
      <c r="J66" s="135">
        <v>5.3</v>
      </c>
      <c r="K66" s="78"/>
      <c r="L66" s="126"/>
      <c r="M66" s="127"/>
    </row>
    <row r="67" spans="2:13" s="55" customFormat="1" ht="3" customHeight="1" x14ac:dyDescent="0.2">
      <c r="B67" s="56"/>
      <c r="C67" s="136"/>
      <c r="E67" s="137"/>
      <c r="G67" s="138"/>
      <c r="H67" s="139"/>
      <c r="I67" s="140"/>
      <c r="J67" s="135"/>
      <c r="K67" s="78"/>
      <c r="L67" s="127"/>
      <c r="M67" s="127"/>
    </row>
    <row r="68" spans="2:13" s="55" customFormat="1" ht="11.1" customHeight="1" x14ac:dyDescent="0.2">
      <c r="B68" s="56" t="s">
        <v>72</v>
      </c>
      <c r="C68" s="56" t="s">
        <v>73</v>
      </c>
      <c r="E68" s="137"/>
      <c r="G68" s="131">
        <v>4</v>
      </c>
      <c r="H68" s="132">
        <v>111</v>
      </c>
      <c r="I68" s="132">
        <v>4670</v>
      </c>
      <c r="J68" s="135">
        <v>1.6</v>
      </c>
      <c r="K68" s="78"/>
      <c r="L68" s="126"/>
      <c r="M68" s="127"/>
    </row>
    <row r="69" spans="2:13" s="55" customFormat="1" ht="11.1" customHeight="1" x14ac:dyDescent="0.2">
      <c r="B69" s="56"/>
      <c r="C69" s="56" t="s">
        <v>162</v>
      </c>
      <c r="D69" s="142" t="s">
        <v>163</v>
      </c>
      <c r="E69" s="137"/>
      <c r="F69" s="143"/>
      <c r="G69" s="131">
        <v>0.6</v>
      </c>
      <c r="H69" s="132">
        <v>17</v>
      </c>
      <c r="I69" s="132">
        <v>2610</v>
      </c>
      <c r="J69" s="135">
        <v>2.4</v>
      </c>
      <c r="K69" s="78"/>
      <c r="L69" s="126"/>
      <c r="M69" s="127"/>
    </row>
    <row r="70" spans="2:13" s="55" customFormat="1" ht="11.1" customHeight="1" x14ac:dyDescent="0.2">
      <c r="B70" s="56"/>
      <c r="C70" s="56" t="s">
        <v>164</v>
      </c>
      <c r="D70" s="144" t="s">
        <v>165</v>
      </c>
      <c r="E70" s="137"/>
      <c r="F70" s="143"/>
      <c r="G70" s="131">
        <v>0.5</v>
      </c>
      <c r="H70" s="132">
        <v>15</v>
      </c>
      <c r="I70" s="132">
        <v>3410</v>
      </c>
      <c r="J70" s="135">
        <v>1.8</v>
      </c>
      <c r="K70" s="78"/>
      <c r="L70" s="126"/>
      <c r="M70" s="127"/>
    </row>
    <row r="71" spans="2:13" s="55" customFormat="1" ht="11.1" customHeight="1" x14ac:dyDescent="0.2">
      <c r="B71" s="56"/>
      <c r="C71" s="56" t="s">
        <v>166</v>
      </c>
      <c r="D71" s="55" t="s">
        <v>167</v>
      </c>
      <c r="E71" s="137"/>
      <c r="F71" s="144"/>
      <c r="G71" s="131">
        <v>0.6</v>
      </c>
      <c r="H71" s="132">
        <v>16</v>
      </c>
      <c r="I71" s="132">
        <v>2350</v>
      </c>
      <c r="J71" s="135">
        <v>2.5</v>
      </c>
      <c r="K71" s="78"/>
      <c r="L71" s="126"/>
      <c r="M71" s="127"/>
    </row>
    <row r="72" spans="2:13" s="55" customFormat="1" ht="11.1" customHeight="1" x14ac:dyDescent="0.2">
      <c r="B72" s="56"/>
      <c r="C72" s="56" t="s">
        <v>168</v>
      </c>
      <c r="D72" s="55" t="s">
        <v>169</v>
      </c>
      <c r="E72" s="137"/>
      <c r="F72" s="144"/>
      <c r="G72" s="131">
        <v>0.1</v>
      </c>
      <c r="H72" s="132">
        <v>4</v>
      </c>
      <c r="I72" s="132">
        <v>840</v>
      </c>
      <c r="J72" s="135">
        <v>4.3</v>
      </c>
      <c r="K72" s="78"/>
      <c r="L72" s="126"/>
      <c r="M72" s="127"/>
    </row>
    <row r="73" spans="2:13" s="55" customFormat="1" ht="11.1" customHeight="1" x14ac:dyDescent="0.2">
      <c r="B73" s="56"/>
      <c r="C73" s="56" t="s">
        <v>170</v>
      </c>
      <c r="D73" s="144" t="s">
        <v>171</v>
      </c>
      <c r="E73" s="137"/>
      <c r="F73" s="144" t="s">
        <v>124</v>
      </c>
      <c r="G73" s="131">
        <v>0.6</v>
      </c>
      <c r="H73" s="132">
        <v>17</v>
      </c>
      <c r="I73" s="132">
        <v>1980</v>
      </c>
      <c r="J73" s="135">
        <v>3.7</v>
      </c>
      <c r="K73" s="78"/>
      <c r="L73" s="126"/>
      <c r="M73" s="127"/>
    </row>
    <row r="74" spans="2:13" s="55" customFormat="1" ht="11.1" customHeight="1" x14ac:dyDescent="0.2">
      <c r="B74" s="56"/>
      <c r="C74" s="56" t="s">
        <v>172</v>
      </c>
      <c r="D74" s="144" t="s">
        <v>173</v>
      </c>
      <c r="E74" s="137"/>
      <c r="F74" s="144" t="s">
        <v>124</v>
      </c>
      <c r="G74" s="131">
        <v>1.5</v>
      </c>
      <c r="H74" s="132">
        <v>43</v>
      </c>
      <c r="I74" s="132">
        <v>3130</v>
      </c>
      <c r="J74" s="135">
        <v>2.1</v>
      </c>
      <c r="K74" s="78"/>
      <c r="L74" s="126"/>
      <c r="M74" s="127"/>
    </row>
    <row r="75" spans="2:13" s="56" customFormat="1" ht="3" customHeight="1" x14ac:dyDescent="0.2">
      <c r="G75" s="131"/>
      <c r="H75" s="132"/>
      <c r="I75" s="132"/>
      <c r="J75" s="135"/>
      <c r="K75" s="78"/>
      <c r="L75" s="126"/>
      <c r="M75" s="127"/>
    </row>
    <row r="76" spans="2:13" s="55" customFormat="1" ht="11.1" customHeight="1" x14ac:dyDescent="0.2">
      <c r="B76" s="56" t="s">
        <v>74</v>
      </c>
      <c r="C76" s="56" t="s">
        <v>75</v>
      </c>
      <c r="D76" s="142"/>
      <c r="E76" s="137"/>
      <c r="F76" s="143"/>
      <c r="G76" s="131">
        <v>0.5</v>
      </c>
      <c r="H76" s="132">
        <v>13</v>
      </c>
      <c r="I76" s="132">
        <v>1690</v>
      </c>
      <c r="J76" s="135">
        <v>3.7</v>
      </c>
      <c r="K76" s="78"/>
      <c r="L76" s="126"/>
      <c r="M76" s="127"/>
    </row>
    <row r="77" spans="2:13" s="55" customFormat="1" ht="11.1" customHeight="1" x14ac:dyDescent="0.2">
      <c r="B77" s="56" t="s">
        <v>76</v>
      </c>
      <c r="C77" s="136" t="s">
        <v>77</v>
      </c>
      <c r="E77" s="137"/>
      <c r="F77" s="142"/>
      <c r="G77" s="131">
        <v>0.9</v>
      </c>
      <c r="H77" s="132">
        <v>25</v>
      </c>
      <c r="I77" s="132">
        <v>1940</v>
      </c>
      <c r="J77" s="135">
        <v>5.9</v>
      </c>
      <c r="K77" s="78"/>
      <c r="L77" s="126"/>
      <c r="M77" s="127"/>
    </row>
    <row r="78" spans="2:13" s="55" customFormat="1" ht="11.1" customHeight="1" x14ac:dyDescent="0.2">
      <c r="B78" s="56" t="s">
        <v>78</v>
      </c>
      <c r="C78" s="136" t="s">
        <v>79</v>
      </c>
      <c r="E78" s="137"/>
      <c r="F78" s="142"/>
      <c r="G78" s="131">
        <v>0.2</v>
      </c>
      <c r="H78" s="132">
        <v>5</v>
      </c>
      <c r="I78" s="132">
        <v>910</v>
      </c>
      <c r="J78" s="135">
        <v>4.7</v>
      </c>
      <c r="K78" s="78"/>
      <c r="L78" s="126"/>
      <c r="M78" s="127"/>
    </row>
    <row r="79" spans="2:13" s="56" customFormat="1" ht="3" customHeight="1" x14ac:dyDescent="0.2">
      <c r="G79" s="138"/>
      <c r="H79" s="139"/>
      <c r="I79" s="140"/>
      <c r="J79" s="135"/>
      <c r="K79" s="78"/>
      <c r="L79" s="127"/>
      <c r="M79" s="127"/>
    </row>
    <row r="80" spans="2:13" s="56" customFormat="1" ht="11.1" customHeight="1" x14ac:dyDescent="0.2">
      <c r="B80" s="56" t="s">
        <v>80</v>
      </c>
      <c r="C80" s="56" t="s">
        <v>81</v>
      </c>
      <c r="D80" s="55"/>
      <c r="E80" s="137"/>
      <c r="F80" s="142"/>
      <c r="G80" s="131">
        <v>4.5</v>
      </c>
      <c r="H80" s="132">
        <v>124</v>
      </c>
      <c r="I80" s="132">
        <v>4890</v>
      </c>
      <c r="J80" s="135">
        <v>1.5</v>
      </c>
      <c r="K80" s="78"/>
      <c r="L80" s="126"/>
      <c r="M80" s="127"/>
    </row>
    <row r="81" spans="1:13" ht="11.1" customHeight="1" x14ac:dyDescent="0.25">
      <c r="A81" s="106"/>
      <c r="B81" s="56"/>
      <c r="C81" s="56" t="s">
        <v>174</v>
      </c>
      <c r="D81" s="55" t="s">
        <v>175</v>
      </c>
      <c r="E81" s="137"/>
      <c r="F81" s="142"/>
      <c r="G81" s="131">
        <v>1</v>
      </c>
      <c r="H81" s="132">
        <v>27</v>
      </c>
      <c r="I81" s="132">
        <v>3480</v>
      </c>
      <c r="J81" s="135">
        <v>2</v>
      </c>
      <c r="K81" s="78"/>
      <c r="M81" s="127"/>
    </row>
    <row r="82" spans="1:13" ht="11.1" customHeight="1" x14ac:dyDescent="0.25">
      <c r="A82" s="106"/>
      <c r="B82" s="56"/>
      <c r="C82" s="56" t="s">
        <v>176</v>
      </c>
      <c r="D82" s="55" t="s">
        <v>177</v>
      </c>
      <c r="E82" s="137"/>
      <c r="F82" s="142"/>
      <c r="G82" s="131">
        <v>0.4</v>
      </c>
      <c r="H82" s="132">
        <v>12</v>
      </c>
      <c r="I82" s="132">
        <v>2430</v>
      </c>
      <c r="J82" s="135">
        <v>2.7</v>
      </c>
      <c r="K82" s="78"/>
      <c r="M82" s="127"/>
    </row>
    <row r="83" spans="1:13" ht="11.1" customHeight="1" x14ac:dyDescent="0.25">
      <c r="A83" s="106"/>
      <c r="B83" s="56"/>
      <c r="C83" s="56" t="s">
        <v>178</v>
      </c>
      <c r="D83" s="55" t="s">
        <v>179</v>
      </c>
      <c r="E83" s="137"/>
      <c r="F83" s="142"/>
      <c r="G83" s="131">
        <v>1.6</v>
      </c>
      <c r="H83" s="132">
        <v>44</v>
      </c>
      <c r="I83" s="132">
        <v>4100</v>
      </c>
      <c r="J83" s="135">
        <v>1.8</v>
      </c>
      <c r="K83" s="78"/>
      <c r="M83" s="127"/>
    </row>
    <row r="84" spans="1:13" ht="11.1" customHeight="1" x14ac:dyDescent="0.25">
      <c r="A84" s="106"/>
      <c r="B84" s="56"/>
      <c r="C84" s="56" t="s">
        <v>180</v>
      </c>
      <c r="D84" s="55" t="s">
        <v>181</v>
      </c>
      <c r="E84" s="137"/>
      <c r="F84" s="142"/>
      <c r="G84" s="131">
        <v>1.5</v>
      </c>
      <c r="H84" s="132">
        <v>41</v>
      </c>
      <c r="I84" s="132">
        <v>4350</v>
      </c>
      <c r="J84" s="135">
        <v>2</v>
      </c>
      <c r="K84" s="78"/>
      <c r="M84" s="127"/>
    </row>
    <row r="85" spans="1:13" ht="4.05" customHeight="1" x14ac:dyDescent="0.25">
      <c r="A85" s="100"/>
      <c r="B85" s="45"/>
      <c r="C85" s="45"/>
      <c r="D85" s="47"/>
      <c r="E85" s="150"/>
      <c r="F85" s="151"/>
      <c r="G85" s="152"/>
      <c r="H85" s="153"/>
      <c r="I85" s="154"/>
      <c r="J85" s="155"/>
      <c r="K85" s="156"/>
      <c r="L85" s="65"/>
    </row>
    <row r="86" spans="1:13" ht="4.05" customHeight="1" x14ac:dyDescent="0.25">
      <c r="A86" s="106"/>
      <c r="B86" s="56"/>
      <c r="C86" s="56"/>
      <c r="D86" s="55"/>
      <c r="E86" s="137"/>
      <c r="F86" s="142"/>
      <c r="G86" s="138"/>
      <c r="H86" s="139"/>
      <c r="I86" s="140"/>
      <c r="J86" s="135"/>
      <c r="L86" s="65"/>
    </row>
    <row r="87" spans="1:13" ht="11.1" customHeight="1" x14ac:dyDescent="0.2">
      <c r="A87" s="157" t="s">
        <v>111</v>
      </c>
      <c r="B87" s="56"/>
      <c r="C87" s="56"/>
      <c r="D87" s="55"/>
      <c r="E87" s="137"/>
      <c r="F87" s="142"/>
      <c r="G87" s="138"/>
      <c r="H87" s="139"/>
      <c r="I87" s="140"/>
      <c r="J87" s="135"/>
      <c r="L87" s="65"/>
    </row>
    <row r="88" spans="1:13" ht="11.1" customHeight="1" x14ac:dyDescent="0.2">
      <c r="A88" s="157" t="s">
        <v>182</v>
      </c>
      <c r="B88" s="56"/>
      <c r="C88" s="56"/>
      <c r="D88" s="55"/>
      <c r="E88" s="137"/>
      <c r="F88" s="142"/>
      <c r="G88" s="138"/>
      <c r="H88" s="139"/>
      <c r="I88" s="140"/>
      <c r="J88" s="135"/>
      <c r="L88" s="65"/>
    </row>
    <row r="89" spans="1:13" ht="11.1" customHeight="1" x14ac:dyDescent="0.2">
      <c r="A89" s="157" t="s">
        <v>112</v>
      </c>
      <c r="B89" s="56"/>
      <c r="C89" s="56"/>
      <c r="D89" s="55"/>
      <c r="E89" s="137"/>
      <c r="F89" s="142"/>
      <c r="G89" s="138"/>
      <c r="H89" s="139"/>
      <c r="I89" s="140"/>
      <c r="J89" s="135"/>
      <c r="L89" s="65"/>
    </row>
    <row r="90" spans="1:13" ht="11.1" customHeight="1" x14ac:dyDescent="0.25">
      <c r="A90" s="106"/>
      <c r="B90" s="56"/>
      <c r="C90" s="56"/>
      <c r="D90" s="55"/>
      <c r="E90" s="137"/>
      <c r="F90" s="142"/>
      <c r="G90" s="138"/>
      <c r="H90" s="139"/>
      <c r="I90" s="140"/>
      <c r="J90" s="135"/>
      <c r="L90" s="65"/>
    </row>
    <row r="91" spans="1:13" ht="11.1" customHeight="1" x14ac:dyDescent="0.25">
      <c r="A91" s="158"/>
      <c r="B91" s="81"/>
      <c r="C91" s="106"/>
      <c r="D91" s="106"/>
      <c r="E91" s="106"/>
      <c r="F91" s="106"/>
      <c r="G91" s="131"/>
      <c r="H91" s="132"/>
      <c r="I91" s="133"/>
      <c r="J91" s="134"/>
      <c r="L91" s="65"/>
    </row>
    <row r="92" spans="1:13" ht="11.1" customHeight="1" x14ac:dyDescent="0.25">
      <c r="A92" s="158"/>
      <c r="B92" s="81"/>
      <c r="C92" s="106"/>
      <c r="D92" s="106"/>
      <c r="E92" s="106"/>
      <c r="F92" s="106"/>
      <c r="G92" s="131"/>
      <c r="H92" s="132"/>
      <c r="I92" s="133"/>
      <c r="J92" s="134"/>
      <c r="L92" s="65"/>
    </row>
    <row r="93" spans="1:13" ht="11.1" customHeight="1" x14ac:dyDescent="0.25">
      <c r="A93" s="106"/>
      <c r="B93" s="81"/>
      <c r="C93" s="106"/>
      <c r="D93" s="106"/>
      <c r="E93" s="106"/>
      <c r="F93" s="106"/>
      <c r="G93" s="131"/>
      <c r="H93" s="132"/>
      <c r="I93" s="133"/>
      <c r="J93" s="134"/>
      <c r="L93" s="65"/>
    </row>
    <row r="94" spans="1:13" ht="15.75" customHeight="1" x14ac:dyDescent="0.25">
      <c r="A94" s="159" t="s">
        <v>114</v>
      </c>
      <c r="B94" s="81"/>
      <c r="C94" s="106"/>
      <c r="D94" s="106"/>
      <c r="E94" s="106"/>
      <c r="F94" s="106"/>
      <c r="G94" s="131"/>
      <c r="H94" s="132"/>
      <c r="I94" s="133"/>
      <c r="J94" s="134"/>
      <c r="L94" s="65"/>
    </row>
    <row r="95" spans="1:13" s="31" customFormat="1" ht="20.25" customHeight="1" x14ac:dyDescent="0.3">
      <c r="A95" s="160" t="s">
        <v>183</v>
      </c>
      <c r="B95" s="161"/>
      <c r="D95" s="162"/>
      <c r="E95" s="162"/>
      <c r="F95" s="163"/>
      <c r="G95" s="164"/>
      <c r="H95" s="165"/>
      <c r="I95" s="166"/>
      <c r="J95" s="167"/>
      <c r="K95" s="37"/>
      <c r="L95" s="65"/>
    </row>
    <row r="96" spans="1:13" s="31" customFormat="1" ht="15.75" customHeight="1" x14ac:dyDescent="0.25">
      <c r="A96" s="41" t="s">
        <v>969</v>
      </c>
      <c r="B96" s="168"/>
      <c r="C96" s="43"/>
      <c r="D96" s="169"/>
      <c r="E96" s="162"/>
      <c r="F96" s="163"/>
      <c r="G96" s="164"/>
      <c r="H96" s="165"/>
      <c r="I96" s="166"/>
      <c r="J96" s="170"/>
      <c r="K96" s="37"/>
      <c r="L96" s="65"/>
    </row>
    <row r="97" spans="1:14" ht="4.05" customHeight="1" x14ac:dyDescent="0.2">
      <c r="A97" s="71"/>
      <c r="B97" s="71"/>
      <c r="C97" s="72"/>
      <c r="D97" s="73"/>
      <c r="E97" s="73"/>
      <c r="F97" s="73"/>
      <c r="G97" s="101"/>
      <c r="H97" s="102"/>
      <c r="I97" s="103"/>
      <c r="J97" s="77"/>
      <c r="L97" s="65"/>
    </row>
    <row r="98" spans="1:14" s="55" customFormat="1" ht="4.05" customHeight="1" x14ac:dyDescent="0.2">
      <c r="A98" s="81"/>
      <c r="B98" s="81"/>
      <c r="D98" s="84"/>
      <c r="E98" s="84"/>
      <c r="F98" s="84"/>
      <c r="G98" s="107"/>
      <c r="H98" s="108"/>
      <c r="I98" s="109"/>
      <c r="J98" s="171"/>
      <c r="K98" s="53"/>
      <c r="L98" s="65"/>
    </row>
    <row r="99" spans="1:14" s="180" customFormat="1" ht="11.1" customHeight="1" x14ac:dyDescent="0.15">
      <c r="A99" s="172"/>
      <c r="B99" s="172"/>
      <c r="C99" s="173"/>
      <c r="D99" s="174"/>
      <c r="E99" s="174"/>
      <c r="F99" s="59"/>
      <c r="G99" s="60" t="s">
        <v>116</v>
      </c>
      <c r="H99" s="61" t="s">
        <v>25</v>
      </c>
      <c r="I99" s="62" t="s">
        <v>26</v>
      </c>
      <c r="J99" s="63" t="s">
        <v>117</v>
      </c>
      <c r="K99" s="179"/>
      <c r="L99" s="65"/>
    </row>
    <row r="100" spans="1:14" s="180" customFormat="1" ht="11.1" customHeight="1" x14ac:dyDescent="0.15">
      <c r="A100" s="172"/>
      <c r="B100" s="172"/>
      <c r="C100" s="181"/>
      <c r="D100" s="174"/>
      <c r="E100" s="174"/>
      <c r="F100" s="59"/>
      <c r="G100" s="67" t="s">
        <v>29</v>
      </c>
      <c r="H100" s="61" t="s">
        <v>27</v>
      </c>
      <c r="I100" s="62" t="s">
        <v>28</v>
      </c>
      <c r="J100" s="63" t="s">
        <v>118</v>
      </c>
      <c r="K100" s="179"/>
      <c r="L100" s="65"/>
    </row>
    <row r="101" spans="1:14" s="180" customFormat="1" ht="11.1" customHeight="1" x14ac:dyDescent="0.15">
      <c r="A101" s="172"/>
      <c r="B101" s="172"/>
      <c r="C101" s="181"/>
      <c r="D101" s="174"/>
      <c r="E101" s="174"/>
      <c r="F101" s="59"/>
      <c r="G101" s="60" t="s">
        <v>31</v>
      </c>
      <c r="H101" s="61" t="s">
        <v>29</v>
      </c>
      <c r="I101" s="62" t="s">
        <v>30</v>
      </c>
      <c r="J101" s="69" t="s">
        <v>119</v>
      </c>
      <c r="K101" s="179"/>
      <c r="L101" s="65"/>
    </row>
    <row r="102" spans="1:14" s="180" customFormat="1" ht="11.1" customHeight="1" x14ac:dyDescent="0.15">
      <c r="A102" s="172"/>
      <c r="B102" s="172"/>
      <c r="C102" s="181"/>
      <c r="D102" s="174"/>
      <c r="E102" s="174"/>
      <c r="F102" s="59"/>
      <c r="G102" s="67" t="s">
        <v>32</v>
      </c>
      <c r="H102" s="61" t="s">
        <v>33</v>
      </c>
      <c r="I102" s="62" t="s">
        <v>120</v>
      </c>
      <c r="J102" s="70" t="s">
        <v>121</v>
      </c>
      <c r="K102" s="179"/>
      <c r="L102" s="65"/>
    </row>
    <row r="103" spans="1:14" ht="4.05" customHeight="1" x14ac:dyDescent="0.2">
      <c r="A103" s="71"/>
      <c r="B103" s="71"/>
      <c r="C103" s="72"/>
      <c r="D103" s="73"/>
      <c r="E103" s="73"/>
      <c r="F103" s="73"/>
      <c r="G103" s="101"/>
      <c r="H103" s="102"/>
      <c r="I103" s="103"/>
      <c r="J103" s="73"/>
      <c r="L103" s="65"/>
    </row>
    <row r="104" spans="1:14" ht="4.05" customHeight="1" x14ac:dyDescent="0.2">
      <c r="B104" s="81"/>
      <c r="C104" s="82"/>
      <c r="D104" s="83"/>
      <c r="E104" s="83"/>
      <c r="F104" s="84"/>
      <c r="G104" s="85"/>
      <c r="H104" s="86"/>
      <c r="I104" s="87"/>
      <c r="J104" s="83"/>
      <c r="L104" s="65"/>
    </row>
    <row r="105" spans="1:14" s="93" customFormat="1" ht="11.1" customHeight="1" x14ac:dyDescent="0.2">
      <c r="A105" s="111" t="s">
        <v>123</v>
      </c>
      <c r="B105" s="112"/>
      <c r="C105" s="113"/>
      <c r="F105" s="114" t="s">
        <v>124</v>
      </c>
      <c r="G105" s="115"/>
      <c r="H105" s="116"/>
      <c r="I105" s="117"/>
      <c r="K105" s="53"/>
      <c r="L105" s="185"/>
    </row>
    <row r="106" spans="1:14" s="128" customFormat="1" ht="4.05" customHeight="1" x14ac:dyDescent="0.2">
      <c r="A106" s="186"/>
      <c r="B106" s="186"/>
      <c r="C106" s="187"/>
      <c r="D106" s="79"/>
      <c r="E106" s="79"/>
      <c r="G106" s="107"/>
      <c r="H106" s="108"/>
      <c r="I106" s="109"/>
      <c r="J106" s="110"/>
      <c r="K106" s="53"/>
      <c r="L106" s="65"/>
    </row>
    <row r="107" spans="1:14" s="192" customFormat="1" ht="12.75" customHeight="1" x14ac:dyDescent="0.25">
      <c r="A107" s="188">
        <v>1</v>
      </c>
      <c r="B107" s="189" t="s">
        <v>184</v>
      </c>
      <c r="C107" s="190"/>
      <c r="D107" s="191"/>
      <c r="E107" s="191"/>
      <c r="F107" s="106"/>
      <c r="G107" s="131"/>
      <c r="H107" s="132"/>
      <c r="I107" s="133"/>
      <c r="J107" s="134"/>
      <c r="K107" s="53"/>
      <c r="L107" s="65"/>
    </row>
    <row r="108" spans="1:14" s="192" customFormat="1" ht="6" customHeight="1" x14ac:dyDescent="0.25">
      <c r="A108" s="186"/>
      <c r="B108" s="193"/>
      <c r="C108" s="106"/>
      <c r="D108" s="130"/>
      <c r="E108" s="130"/>
      <c r="F108" s="106"/>
      <c r="G108" s="131"/>
      <c r="H108" s="132"/>
      <c r="I108" s="133"/>
      <c r="J108" s="134"/>
      <c r="K108" s="53"/>
      <c r="L108" s="65"/>
    </row>
    <row r="109" spans="1:14" s="55" customFormat="1" ht="11.1" customHeight="1" x14ac:dyDescent="0.2">
      <c r="B109" s="56" t="s">
        <v>82</v>
      </c>
      <c r="C109" s="56" t="s">
        <v>185</v>
      </c>
      <c r="E109" s="137"/>
      <c r="F109" s="142"/>
      <c r="G109" s="131">
        <v>0.1</v>
      </c>
      <c r="H109" s="132">
        <v>2</v>
      </c>
      <c r="I109" s="132">
        <v>310</v>
      </c>
      <c r="J109" s="135">
        <v>8.6</v>
      </c>
      <c r="K109" s="78"/>
      <c r="L109" s="78"/>
      <c r="M109" s="194"/>
      <c r="N109" s="194"/>
    </row>
    <row r="110" spans="1:14" s="55" customFormat="1" ht="11.1" customHeight="1" x14ac:dyDescent="0.2">
      <c r="B110" s="56" t="s">
        <v>83</v>
      </c>
      <c r="C110" s="56" t="s">
        <v>186</v>
      </c>
      <c r="E110" s="137"/>
      <c r="F110" s="142"/>
      <c r="G110" s="131">
        <v>2</v>
      </c>
      <c r="H110" s="132">
        <v>54</v>
      </c>
      <c r="I110" s="132">
        <v>4140</v>
      </c>
      <c r="J110" s="135">
        <v>2.2999999999999998</v>
      </c>
      <c r="K110" s="78"/>
      <c r="L110" s="78"/>
      <c r="M110" s="194"/>
      <c r="N110" s="194"/>
    </row>
    <row r="111" spans="1:14" s="55" customFormat="1" ht="11.1" customHeight="1" x14ac:dyDescent="0.2">
      <c r="B111" s="56" t="s">
        <v>85</v>
      </c>
      <c r="C111" s="56" t="s">
        <v>84</v>
      </c>
      <c r="E111" s="137"/>
      <c r="F111" s="142"/>
      <c r="G111" s="131">
        <v>0.7</v>
      </c>
      <c r="H111" s="132">
        <v>20</v>
      </c>
      <c r="I111" s="132">
        <v>3330</v>
      </c>
      <c r="J111" s="135">
        <v>1.8</v>
      </c>
      <c r="K111" s="78"/>
      <c r="L111" s="78"/>
      <c r="M111" s="194"/>
      <c r="N111" s="194"/>
    </row>
    <row r="112" spans="1:14" s="55" customFormat="1" ht="11.1" customHeight="1" x14ac:dyDescent="0.2">
      <c r="B112" s="56" t="s">
        <v>87</v>
      </c>
      <c r="C112" s="56" t="s">
        <v>86</v>
      </c>
      <c r="E112" s="137"/>
      <c r="F112" s="142"/>
      <c r="G112" s="131">
        <v>1.8</v>
      </c>
      <c r="H112" s="132">
        <v>50</v>
      </c>
      <c r="I112" s="132">
        <v>4070</v>
      </c>
      <c r="J112" s="135">
        <v>1.6</v>
      </c>
      <c r="K112" s="78"/>
      <c r="L112" s="78"/>
      <c r="M112" s="194"/>
      <c r="N112" s="194"/>
    </row>
    <row r="113" spans="1:14" s="55" customFormat="1" ht="3" customHeight="1" x14ac:dyDescent="0.2">
      <c r="B113" s="56"/>
      <c r="C113" s="56"/>
      <c r="E113" s="137"/>
      <c r="F113" s="142"/>
      <c r="G113" s="138"/>
      <c r="H113" s="139"/>
      <c r="I113" s="140"/>
      <c r="J113" s="135"/>
      <c r="K113" s="78"/>
      <c r="L113" s="78"/>
      <c r="M113" s="194"/>
      <c r="N113" s="194"/>
    </row>
    <row r="114" spans="1:14" s="55" customFormat="1" ht="11.1" customHeight="1" x14ac:dyDescent="0.2">
      <c r="B114" s="56" t="s">
        <v>89</v>
      </c>
      <c r="C114" s="56" t="s">
        <v>88</v>
      </c>
      <c r="D114" s="56"/>
      <c r="E114" s="137"/>
      <c r="F114" s="142"/>
      <c r="G114" s="131">
        <v>0.4</v>
      </c>
      <c r="H114" s="132">
        <v>11</v>
      </c>
      <c r="I114" s="132">
        <v>1720</v>
      </c>
      <c r="J114" s="135">
        <v>3.5</v>
      </c>
      <c r="K114" s="78"/>
      <c r="L114" s="78"/>
      <c r="M114" s="194"/>
      <c r="N114" s="194"/>
    </row>
    <row r="115" spans="1:14" s="56" customFormat="1" ht="11.1" customHeight="1" x14ac:dyDescent="0.2">
      <c r="C115" s="56" t="s">
        <v>187</v>
      </c>
      <c r="D115" s="56" t="s">
        <v>188</v>
      </c>
      <c r="G115" s="131">
        <v>0.2</v>
      </c>
      <c r="H115" s="132">
        <v>6</v>
      </c>
      <c r="I115" s="132">
        <v>1310</v>
      </c>
      <c r="J115" s="135">
        <v>4.5999999999999996</v>
      </c>
      <c r="K115" s="78"/>
      <c r="L115" s="78"/>
      <c r="M115" s="194"/>
      <c r="N115" s="194"/>
    </row>
    <row r="116" spans="1:14" s="56" customFormat="1" ht="11.1" customHeight="1" x14ac:dyDescent="0.2">
      <c r="C116" s="56" t="s">
        <v>189</v>
      </c>
      <c r="D116" s="56" t="s">
        <v>190</v>
      </c>
      <c r="G116" s="131">
        <v>0.2</v>
      </c>
      <c r="H116" s="132">
        <v>5</v>
      </c>
      <c r="I116" s="132">
        <v>650</v>
      </c>
      <c r="J116" s="135">
        <v>4.8</v>
      </c>
      <c r="K116" s="78"/>
      <c r="L116" s="78"/>
      <c r="M116" s="194"/>
      <c r="N116" s="194"/>
    </row>
    <row r="117" spans="1:14" s="55" customFormat="1" ht="3" customHeight="1" x14ac:dyDescent="0.2">
      <c r="B117" s="56"/>
      <c r="C117" s="56"/>
      <c r="E117" s="137"/>
      <c r="F117" s="142"/>
      <c r="G117" s="138"/>
      <c r="H117" s="139"/>
      <c r="I117" s="140"/>
      <c r="J117" s="135"/>
      <c r="K117" s="78"/>
      <c r="L117" s="78"/>
      <c r="M117" s="194"/>
      <c r="N117" s="194"/>
    </row>
    <row r="118" spans="1:14" s="56" customFormat="1" ht="11.1" customHeight="1" x14ac:dyDescent="0.2">
      <c r="B118" s="56" t="s">
        <v>91</v>
      </c>
      <c r="C118" s="56" t="s">
        <v>90</v>
      </c>
      <c r="G118" s="131">
        <v>0.3</v>
      </c>
      <c r="H118" s="132">
        <v>9</v>
      </c>
      <c r="I118" s="132">
        <v>1480</v>
      </c>
      <c r="J118" s="135">
        <v>4.5999999999999996</v>
      </c>
      <c r="K118" s="78"/>
      <c r="L118" s="78"/>
      <c r="M118" s="194"/>
      <c r="N118" s="194"/>
    </row>
    <row r="119" spans="1:14" s="56" customFormat="1" ht="11.1" customHeight="1" x14ac:dyDescent="0.2">
      <c r="B119" s="56" t="s">
        <v>93</v>
      </c>
      <c r="C119" s="56" t="s">
        <v>92</v>
      </c>
      <c r="G119" s="131">
        <v>2.2999999999999998</v>
      </c>
      <c r="H119" s="132">
        <v>65</v>
      </c>
      <c r="I119" s="132">
        <v>3660</v>
      </c>
      <c r="J119" s="135">
        <v>2.7</v>
      </c>
      <c r="K119" s="78"/>
      <c r="L119" s="78"/>
      <c r="M119" s="194"/>
      <c r="N119" s="194"/>
    </row>
    <row r="120" spans="1:14" s="56" customFormat="1" ht="11.1" customHeight="1" x14ac:dyDescent="0.2">
      <c r="B120" s="56" t="s">
        <v>95</v>
      </c>
      <c r="C120" s="56" t="s">
        <v>94</v>
      </c>
      <c r="G120" s="131">
        <v>0.8</v>
      </c>
      <c r="H120" s="132">
        <v>22</v>
      </c>
      <c r="I120" s="132">
        <v>2690</v>
      </c>
      <c r="J120" s="135">
        <v>2.6</v>
      </c>
      <c r="K120" s="78"/>
      <c r="L120" s="78"/>
      <c r="M120" s="194"/>
      <c r="N120" s="194"/>
    </row>
    <row r="121" spans="1:14" s="56" customFormat="1" ht="11.1" customHeight="1" x14ac:dyDescent="0.2">
      <c r="B121" s="56" t="s">
        <v>97</v>
      </c>
      <c r="C121" s="56" t="s">
        <v>96</v>
      </c>
      <c r="G121" s="131">
        <v>0.7</v>
      </c>
      <c r="H121" s="132">
        <v>21</v>
      </c>
      <c r="I121" s="132">
        <v>1990</v>
      </c>
      <c r="J121" s="135">
        <v>2.8</v>
      </c>
      <c r="K121" s="78"/>
      <c r="L121" s="78"/>
      <c r="M121" s="194"/>
      <c r="N121" s="194"/>
    </row>
    <row r="122" spans="1:14" s="56" customFormat="1" ht="3" customHeight="1" x14ac:dyDescent="0.2">
      <c r="G122" s="138"/>
      <c r="H122" s="139"/>
      <c r="I122" s="140"/>
      <c r="J122" s="135"/>
      <c r="K122" s="78"/>
      <c r="L122" s="78"/>
      <c r="M122" s="194"/>
      <c r="N122" s="194"/>
    </row>
    <row r="123" spans="1:14" s="56" customFormat="1" ht="11.1" customHeight="1" x14ac:dyDescent="0.2">
      <c r="B123" s="56" t="s">
        <v>191</v>
      </c>
      <c r="C123" s="56" t="s">
        <v>98</v>
      </c>
      <c r="D123" s="55"/>
      <c r="G123" s="131">
        <v>2.8</v>
      </c>
      <c r="H123" s="132">
        <v>77</v>
      </c>
      <c r="I123" s="132">
        <v>4490</v>
      </c>
      <c r="J123" s="135">
        <v>2.2000000000000002</v>
      </c>
      <c r="K123" s="78"/>
      <c r="L123" s="78"/>
      <c r="M123" s="194"/>
      <c r="N123" s="194"/>
    </row>
    <row r="124" spans="1:14" s="55" customFormat="1" ht="11.1" customHeight="1" x14ac:dyDescent="0.2">
      <c r="B124" s="56"/>
      <c r="C124" s="56" t="s">
        <v>192</v>
      </c>
      <c r="D124" s="142" t="s">
        <v>193</v>
      </c>
      <c r="E124" s="137"/>
      <c r="F124" s="142"/>
      <c r="G124" s="131">
        <v>1.3</v>
      </c>
      <c r="H124" s="132">
        <v>37</v>
      </c>
      <c r="I124" s="132">
        <v>3650</v>
      </c>
      <c r="J124" s="135">
        <v>1.8</v>
      </c>
      <c r="K124" s="78"/>
      <c r="L124" s="78"/>
      <c r="M124" s="194"/>
      <c r="N124" s="194"/>
    </row>
    <row r="125" spans="1:14" s="55" customFormat="1" ht="11.1" customHeight="1" x14ac:dyDescent="0.2">
      <c r="B125" s="56"/>
      <c r="C125" s="56" t="s">
        <v>194</v>
      </c>
      <c r="D125" s="144" t="s">
        <v>195</v>
      </c>
      <c r="E125" s="137"/>
      <c r="F125" s="143"/>
      <c r="G125" s="131">
        <v>1.1000000000000001</v>
      </c>
      <c r="H125" s="132">
        <v>31</v>
      </c>
      <c r="I125" s="132">
        <v>2850</v>
      </c>
      <c r="J125" s="135">
        <v>4.4000000000000004</v>
      </c>
      <c r="K125" s="78"/>
      <c r="L125" s="78"/>
      <c r="M125" s="194"/>
      <c r="N125" s="194"/>
    </row>
    <row r="126" spans="1:14" s="55" customFormat="1" ht="11.1" customHeight="1" x14ac:dyDescent="0.2">
      <c r="B126" s="56"/>
      <c r="C126" s="56" t="s">
        <v>196</v>
      </c>
      <c r="D126" s="142" t="s">
        <v>197</v>
      </c>
      <c r="E126" s="137"/>
      <c r="F126" s="143"/>
      <c r="G126" s="131">
        <v>0.3</v>
      </c>
      <c r="H126" s="132">
        <v>10</v>
      </c>
      <c r="I126" s="132">
        <v>1440</v>
      </c>
      <c r="J126" s="135">
        <v>4.8</v>
      </c>
      <c r="K126" s="78"/>
      <c r="L126" s="78"/>
      <c r="M126" s="194"/>
      <c r="N126" s="194"/>
    </row>
    <row r="127" spans="1:14" s="55" customFormat="1" ht="3" customHeight="1" x14ac:dyDescent="0.2">
      <c r="B127" s="56"/>
      <c r="C127" s="56"/>
      <c r="D127" s="142"/>
      <c r="E127" s="137"/>
      <c r="F127" s="143"/>
      <c r="G127" s="138"/>
      <c r="H127" s="139"/>
      <c r="I127" s="140"/>
      <c r="J127" s="135"/>
      <c r="K127" s="78"/>
      <c r="L127" s="78"/>
      <c r="M127" s="194"/>
      <c r="N127" s="194"/>
    </row>
    <row r="128" spans="1:14" s="55" customFormat="1" ht="11.1" customHeight="1" x14ac:dyDescent="0.2">
      <c r="A128" s="80">
        <v>1.2</v>
      </c>
      <c r="B128" s="80" t="s">
        <v>99</v>
      </c>
      <c r="C128" s="79"/>
      <c r="D128" s="130"/>
      <c r="E128" s="130"/>
      <c r="F128" s="143"/>
      <c r="G128" s="131">
        <v>5.3</v>
      </c>
      <c r="H128" s="132">
        <v>148</v>
      </c>
      <c r="I128" s="132">
        <v>4910</v>
      </c>
      <c r="J128" s="135">
        <v>1.5</v>
      </c>
      <c r="K128" s="78"/>
      <c r="L128" s="78"/>
      <c r="M128" s="194"/>
      <c r="N128" s="194"/>
    </row>
    <row r="129" spans="1:14" ht="11.1" customHeight="1" x14ac:dyDescent="0.25">
      <c r="A129" s="55"/>
      <c r="B129" s="56" t="s">
        <v>100</v>
      </c>
      <c r="C129" s="56" t="s">
        <v>101</v>
      </c>
      <c r="D129" s="55"/>
      <c r="E129" s="137"/>
      <c r="F129" s="106"/>
      <c r="G129" s="131">
        <v>1.1000000000000001</v>
      </c>
      <c r="H129" s="132">
        <v>30</v>
      </c>
      <c r="I129" s="132">
        <v>1930</v>
      </c>
      <c r="J129" s="135">
        <v>3.8</v>
      </c>
      <c r="K129" s="78"/>
      <c r="L129" s="78"/>
      <c r="M129" s="194"/>
      <c r="N129" s="194"/>
    </row>
    <row r="130" spans="1:14" ht="11.1" customHeight="1" x14ac:dyDescent="0.2">
      <c r="A130" s="55"/>
      <c r="B130" s="56" t="s">
        <v>102</v>
      </c>
      <c r="C130" s="56" t="s">
        <v>103</v>
      </c>
      <c r="D130" s="55"/>
      <c r="E130" s="55"/>
      <c r="F130" s="157"/>
      <c r="G130" s="131">
        <v>0.5</v>
      </c>
      <c r="H130" s="132">
        <v>14</v>
      </c>
      <c r="I130" s="132">
        <v>1560</v>
      </c>
      <c r="J130" s="135">
        <v>3.3</v>
      </c>
      <c r="K130" s="78"/>
      <c r="L130" s="78"/>
      <c r="M130" s="194"/>
      <c r="N130" s="194"/>
    </row>
    <row r="131" spans="1:14" s="55" customFormat="1" ht="11.1" customHeight="1" x14ac:dyDescent="0.2">
      <c r="B131" s="56" t="s">
        <v>104</v>
      </c>
      <c r="C131" s="136" t="s">
        <v>105</v>
      </c>
      <c r="F131" s="143"/>
      <c r="G131" s="131">
        <v>0.1</v>
      </c>
      <c r="H131" s="132">
        <v>3</v>
      </c>
      <c r="I131" s="132">
        <v>390</v>
      </c>
      <c r="J131" s="135">
        <v>8.1999999999999993</v>
      </c>
      <c r="K131" s="78"/>
      <c r="L131" s="78"/>
      <c r="M131" s="194"/>
      <c r="N131" s="194"/>
    </row>
    <row r="132" spans="1:14" s="55" customFormat="1" ht="11.1" customHeight="1" x14ac:dyDescent="0.2">
      <c r="B132" s="56" t="s">
        <v>106</v>
      </c>
      <c r="C132" s="136" t="s">
        <v>198</v>
      </c>
      <c r="F132" s="143"/>
      <c r="G132" s="131">
        <v>1.1000000000000001</v>
      </c>
      <c r="H132" s="132">
        <v>30</v>
      </c>
      <c r="I132" s="132">
        <v>3000</v>
      </c>
      <c r="J132" s="135">
        <v>2.2000000000000002</v>
      </c>
      <c r="K132" s="78"/>
      <c r="L132" s="78"/>
      <c r="M132" s="194"/>
      <c r="N132" s="194"/>
    </row>
    <row r="133" spans="1:14" s="55" customFormat="1" ht="11.1" customHeight="1" x14ac:dyDescent="0.2">
      <c r="B133" s="56" t="s">
        <v>107</v>
      </c>
      <c r="C133" s="144" t="s">
        <v>108</v>
      </c>
      <c r="F133" s="143"/>
      <c r="G133" s="131">
        <v>0.4</v>
      </c>
      <c r="H133" s="132">
        <v>10</v>
      </c>
      <c r="I133" s="132">
        <v>1440</v>
      </c>
      <c r="J133" s="135">
        <v>3.8</v>
      </c>
      <c r="K133" s="78"/>
      <c r="L133" s="78"/>
      <c r="M133" s="194"/>
      <c r="N133" s="194"/>
    </row>
    <row r="134" spans="1:14" s="55" customFormat="1" ht="11.1" customHeight="1" x14ac:dyDescent="0.2">
      <c r="B134" s="56" t="s">
        <v>109</v>
      </c>
      <c r="C134" s="56" t="s">
        <v>199</v>
      </c>
      <c r="E134" s="143"/>
      <c r="F134" s="143"/>
      <c r="G134" s="131">
        <v>2.2000000000000002</v>
      </c>
      <c r="H134" s="132">
        <v>62</v>
      </c>
      <c r="I134" s="132">
        <v>3510</v>
      </c>
      <c r="J134" s="135">
        <v>2.1</v>
      </c>
      <c r="K134" s="78"/>
      <c r="L134" s="78"/>
      <c r="M134" s="194"/>
      <c r="N134" s="194"/>
    </row>
    <row r="135" spans="1:14" ht="4.05" customHeight="1" x14ac:dyDescent="0.25">
      <c r="A135" s="71"/>
      <c r="B135" s="195"/>
      <c r="C135" s="72"/>
      <c r="D135" s="72"/>
      <c r="E135" s="72"/>
      <c r="F135" s="100"/>
      <c r="G135" s="196"/>
      <c r="H135" s="197"/>
      <c r="I135" s="198"/>
      <c r="J135" s="199"/>
      <c r="K135" s="78"/>
      <c r="L135" s="78"/>
      <c r="M135" s="194"/>
      <c r="N135" s="194"/>
    </row>
    <row r="136" spans="1:14" ht="4.05" customHeight="1" x14ac:dyDescent="0.25">
      <c r="B136" s="129"/>
      <c r="D136" s="79"/>
      <c r="E136" s="79"/>
      <c r="F136" s="106"/>
      <c r="G136" s="131"/>
      <c r="H136" s="132"/>
      <c r="I136" s="133"/>
      <c r="J136" s="146"/>
      <c r="K136" s="78"/>
      <c r="L136" s="78"/>
      <c r="M136" s="194"/>
      <c r="N136" s="194"/>
    </row>
    <row r="137" spans="1:14" s="128" customFormat="1" ht="12.75" customHeight="1" x14ac:dyDescent="0.25">
      <c r="A137" s="188">
        <v>2</v>
      </c>
      <c r="B137" s="188" t="s">
        <v>8</v>
      </c>
      <c r="C137" s="121"/>
      <c r="D137" s="121"/>
      <c r="E137" s="121"/>
      <c r="F137" s="200"/>
      <c r="G137" s="123">
        <v>12.9</v>
      </c>
      <c r="H137" s="124">
        <v>360</v>
      </c>
      <c r="I137" s="124">
        <v>3300</v>
      </c>
      <c r="J137" s="125">
        <v>2.7</v>
      </c>
      <c r="K137" s="78"/>
      <c r="L137" s="78"/>
      <c r="M137" s="194"/>
      <c r="N137" s="194"/>
    </row>
    <row r="138" spans="1:14" ht="6" customHeight="1" x14ac:dyDescent="0.25">
      <c r="B138" s="129"/>
      <c r="D138" s="79"/>
      <c r="E138" s="79"/>
      <c r="F138" s="106"/>
      <c r="G138" s="138"/>
      <c r="H138" s="139"/>
      <c r="I138" s="140"/>
      <c r="J138" s="135"/>
      <c r="K138" s="78"/>
      <c r="L138" s="78"/>
      <c r="M138" s="194"/>
      <c r="N138" s="194"/>
    </row>
    <row r="139" spans="1:14" ht="11.1" customHeight="1" x14ac:dyDescent="0.2">
      <c r="A139" s="80">
        <v>2.1</v>
      </c>
      <c r="B139" s="129" t="s">
        <v>200</v>
      </c>
      <c r="D139" s="79"/>
      <c r="E139" s="79"/>
      <c r="F139" s="157"/>
      <c r="G139" s="131">
        <v>9.3000000000000007</v>
      </c>
      <c r="H139" s="132">
        <v>259</v>
      </c>
      <c r="I139" s="132">
        <v>2970</v>
      </c>
      <c r="J139" s="135">
        <v>2.6</v>
      </c>
      <c r="K139" s="78"/>
      <c r="L139" s="78"/>
      <c r="M139" s="194"/>
      <c r="N139" s="194"/>
    </row>
    <row r="140" spans="1:14" s="55" customFormat="1" ht="11.1" customHeight="1" x14ac:dyDescent="0.2">
      <c r="B140" s="56" t="s">
        <v>201</v>
      </c>
      <c r="C140" s="56" t="s">
        <v>202</v>
      </c>
      <c r="D140" s="142"/>
      <c r="F140" s="143"/>
      <c r="G140" s="131">
        <v>2.2999999999999998</v>
      </c>
      <c r="H140" s="132">
        <v>63</v>
      </c>
      <c r="I140" s="132">
        <v>1030</v>
      </c>
      <c r="J140" s="135">
        <v>4.3</v>
      </c>
      <c r="K140" s="78"/>
      <c r="L140" s="78"/>
      <c r="M140" s="194"/>
      <c r="N140" s="194"/>
    </row>
    <row r="141" spans="1:14" s="55" customFormat="1" ht="3" customHeight="1" x14ac:dyDescent="0.2">
      <c r="B141" s="56"/>
      <c r="C141" s="56"/>
      <c r="D141" s="142"/>
      <c r="F141" s="143"/>
      <c r="G141" s="138"/>
      <c r="H141" s="139"/>
      <c r="I141" s="140"/>
      <c r="J141" s="135"/>
      <c r="K141" s="78"/>
      <c r="L141" s="78"/>
      <c r="M141" s="194"/>
      <c r="N141" s="194"/>
    </row>
    <row r="142" spans="1:14" s="55" customFormat="1" ht="11.1" customHeight="1" x14ac:dyDescent="0.2">
      <c r="B142" s="56" t="s">
        <v>203</v>
      </c>
      <c r="C142" s="56" t="s">
        <v>204</v>
      </c>
      <c r="D142" s="142"/>
      <c r="F142" s="143"/>
      <c r="G142" s="131">
        <v>4.5999999999999996</v>
      </c>
      <c r="H142" s="132">
        <v>127</v>
      </c>
      <c r="I142" s="132">
        <v>1980</v>
      </c>
      <c r="J142" s="135">
        <v>3.5</v>
      </c>
      <c r="K142" s="78"/>
      <c r="L142" s="78"/>
      <c r="M142" s="194"/>
      <c r="N142" s="194"/>
    </row>
    <row r="143" spans="1:14" s="55" customFormat="1" ht="11.1" customHeight="1" x14ac:dyDescent="0.2">
      <c r="B143" s="56"/>
      <c r="C143" s="136" t="s">
        <v>205</v>
      </c>
      <c r="D143" s="55" t="s">
        <v>206</v>
      </c>
      <c r="F143" s="143"/>
      <c r="G143" s="131">
        <v>3.9</v>
      </c>
      <c r="H143" s="132">
        <v>108</v>
      </c>
      <c r="I143" s="132">
        <v>1800</v>
      </c>
      <c r="J143" s="135">
        <v>3.8</v>
      </c>
      <c r="K143" s="78"/>
      <c r="L143" s="78"/>
      <c r="M143" s="194"/>
      <c r="N143" s="194"/>
    </row>
    <row r="144" spans="1:14" s="55" customFormat="1" ht="11.1" customHeight="1" x14ac:dyDescent="0.2">
      <c r="B144" s="56"/>
      <c r="C144" s="136" t="s">
        <v>207</v>
      </c>
      <c r="D144" s="55" t="s">
        <v>208</v>
      </c>
      <c r="F144" s="143"/>
      <c r="G144" s="131">
        <v>0.1</v>
      </c>
      <c r="H144" s="132">
        <v>4</v>
      </c>
      <c r="I144" s="132">
        <v>130</v>
      </c>
      <c r="J144" s="135">
        <v>12.7</v>
      </c>
      <c r="K144" s="78"/>
      <c r="L144" s="78"/>
      <c r="M144" s="194"/>
      <c r="N144" s="194"/>
    </row>
    <row r="145" spans="1:14" s="55" customFormat="1" ht="11.1" customHeight="1" x14ac:dyDescent="0.2">
      <c r="B145" s="56"/>
      <c r="C145" s="56" t="s">
        <v>209</v>
      </c>
      <c r="D145" s="142" t="s">
        <v>210</v>
      </c>
      <c r="F145" s="143"/>
      <c r="G145" s="131">
        <v>0.5</v>
      </c>
      <c r="H145" s="132">
        <v>15</v>
      </c>
      <c r="I145" s="132">
        <v>380</v>
      </c>
      <c r="J145" s="135">
        <v>7.7</v>
      </c>
      <c r="K145" s="78"/>
      <c r="L145" s="78"/>
      <c r="M145" s="194"/>
      <c r="N145" s="194"/>
    </row>
    <row r="146" spans="1:14" s="55" customFormat="1" ht="3" customHeight="1" x14ac:dyDescent="0.2">
      <c r="B146" s="56"/>
      <c r="C146" s="56"/>
      <c r="D146" s="142"/>
      <c r="F146" s="143"/>
      <c r="G146" s="138"/>
      <c r="H146" s="139"/>
      <c r="I146" s="140"/>
      <c r="J146" s="135"/>
      <c r="K146" s="78"/>
      <c r="L146" s="78"/>
      <c r="M146" s="194"/>
      <c r="N146" s="194"/>
    </row>
    <row r="147" spans="1:14" s="55" customFormat="1" ht="11.1" customHeight="1" x14ac:dyDescent="0.2">
      <c r="B147" s="56" t="s">
        <v>211</v>
      </c>
      <c r="C147" s="56" t="s">
        <v>212</v>
      </c>
      <c r="D147" s="142"/>
      <c r="F147" s="143"/>
      <c r="G147" s="131">
        <v>2.5</v>
      </c>
      <c r="H147" s="132">
        <v>68</v>
      </c>
      <c r="I147" s="132">
        <v>1630</v>
      </c>
      <c r="J147" s="135">
        <v>3.6</v>
      </c>
      <c r="K147" s="78"/>
      <c r="L147" s="78"/>
      <c r="M147" s="194"/>
      <c r="N147" s="194"/>
    </row>
    <row r="148" spans="1:14" s="55" customFormat="1" ht="11.1" customHeight="1" x14ac:dyDescent="0.2">
      <c r="B148" s="56"/>
      <c r="C148" s="56" t="s">
        <v>213</v>
      </c>
      <c r="D148" s="142" t="s">
        <v>214</v>
      </c>
      <c r="F148" s="143"/>
      <c r="G148" s="131">
        <v>2.1</v>
      </c>
      <c r="H148" s="132">
        <v>58</v>
      </c>
      <c r="I148" s="132">
        <v>1400</v>
      </c>
      <c r="J148" s="135">
        <v>3.9</v>
      </c>
      <c r="K148" s="78"/>
      <c r="L148" s="78"/>
      <c r="M148" s="194"/>
      <c r="N148" s="194"/>
    </row>
    <row r="149" spans="1:14" s="55" customFormat="1" ht="11.1" customHeight="1" x14ac:dyDescent="0.2">
      <c r="B149" s="56"/>
      <c r="C149" s="136" t="s">
        <v>215</v>
      </c>
      <c r="D149" s="55" t="s">
        <v>216</v>
      </c>
      <c r="F149" s="143"/>
      <c r="G149" s="131">
        <v>0.4</v>
      </c>
      <c r="H149" s="132">
        <v>10</v>
      </c>
      <c r="I149" s="132">
        <v>460</v>
      </c>
      <c r="J149" s="135">
        <v>7</v>
      </c>
      <c r="K149" s="78"/>
      <c r="L149" s="78"/>
      <c r="M149" s="194"/>
      <c r="N149" s="194"/>
    </row>
    <row r="150" spans="1:14" s="55" customFormat="1" ht="3" customHeight="1" x14ac:dyDescent="0.2">
      <c r="A150" s="56"/>
      <c r="B150" s="136"/>
      <c r="F150" s="143"/>
      <c r="G150" s="131"/>
      <c r="H150" s="132"/>
      <c r="I150" s="133"/>
      <c r="J150" s="146"/>
      <c r="K150" s="78"/>
      <c r="L150" s="78"/>
      <c r="M150" s="194"/>
      <c r="N150" s="194"/>
    </row>
    <row r="151" spans="1:14" s="55" customFormat="1" ht="11.1" customHeight="1" x14ac:dyDescent="0.2">
      <c r="B151" s="56" t="s">
        <v>217</v>
      </c>
      <c r="C151" s="136" t="s">
        <v>218</v>
      </c>
      <c r="F151" s="143"/>
      <c r="G151" s="145">
        <v>0</v>
      </c>
      <c r="H151" s="132">
        <v>1</v>
      </c>
      <c r="I151" s="132">
        <v>50</v>
      </c>
      <c r="J151" s="135">
        <v>18.399999999999999</v>
      </c>
      <c r="K151" s="78"/>
      <c r="L151" s="78"/>
      <c r="M151" s="194"/>
      <c r="N151" s="194"/>
    </row>
    <row r="152" spans="1:14" s="149" customFormat="1" ht="3" customHeight="1" x14ac:dyDescent="0.2">
      <c r="A152" s="56"/>
      <c r="B152" s="56"/>
      <c r="C152" s="142"/>
      <c r="D152" s="55"/>
      <c r="E152" s="55"/>
      <c r="F152" s="143"/>
      <c r="G152" s="138"/>
      <c r="H152" s="139"/>
      <c r="I152" s="140"/>
      <c r="J152" s="135"/>
      <c r="K152" s="78"/>
      <c r="L152" s="78"/>
      <c r="M152" s="194"/>
      <c r="N152" s="194"/>
    </row>
    <row r="153" spans="1:14" ht="11.1" customHeight="1" x14ac:dyDescent="0.2">
      <c r="A153" s="80">
        <v>2.2000000000000002</v>
      </c>
      <c r="B153" s="80" t="s">
        <v>219</v>
      </c>
      <c r="C153" s="201"/>
      <c r="D153" s="79"/>
      <c r="E153" s="79"/>
      <c r="F153" s="157"/>
      <c r="G153" s="131">
        <v>3.6</v>
      </c>
      <c r="H153" s="132">
        <v>101</v>
      </c>
      <c r="I153" s="132">
        <v>850</v>
      </c>
      <c r="J153" s="135">
        <v>5.6</v>
      </c>
      <c r="K153" s="78"/>
      <c r="L153" s="78"/>
      <c r="M153" s="194"/>
      <c r="N153" s="194"/>
    </row>
    <row r="154" spans="1:14" s="55" customFormat="1" ht="11.1" customHeight="1" x14ac:dyDescent="0.2">
      <c r="B154" s="56" t="s">
        <v>220</v>
      </c>
      <c r="C154" s="136" t="s">
        <v>221</v>
      </c>
      <c r="F154" s="143"/>
      <c r="G154" s="131">
        <v>2.6</v>
      </c>
      <c r="H154" s="132">
        <v>72</v>
      </c>
      <c r="I154" s="132">
        <v>620</v>
      </c>
      <c r="J154" s="135">
        <v>7</v>
      </c>
      <c r="K154" s="78"/>
      <c r="L154" s="78"/>
      <c r="M154" s="194"/>
      <c r="N154" s="194"/>
    </row>
    <row r="155" spans="1:14" s="55" customFormat="1" ht="3" customHeight="1" x14ac:dyDescent="0.2">
      <c r="B155" s="56"/>
      <c r="C155" s="136"/>
      <c r="F155" s="143"/>
      <c r="G155" s="131"/>
      <c r="H155" s="132"/>
      <c r="I155" s="133"/>
      <c r="J155" s="146"/>
      <c r="K155" s="78"/>
      <c r="L155" s="78"/>
      <c r="M155" s="194"/>
      <c r="N155" s="194"/>
    </row>
    <row r="156" spans="1:14" s="55" customFormat="1" ht="11.1" customHeight="1" x14ac:dyDescent="0.2">
      <c r="B156" s="56" t="s">
        <v>222</v>
      </c>
      <c r="C156" s="136" t="s">
        <v>223</v>
      </c>
      <c r="F156" s="143"/>
      <c r="G156" s="131">
        <v>1.1000000000000001</v>
      </c>
      <c r="H156" s="132">
        <v>29</v>
      </c>
      <c r="I156" s="132">
        <v>400</v>
      </c>
      <c r="J156" s="135">
        <v>7</v>
      </c>
      <c r="K156" s="78"/>
      <c r="L156" s="78"/>
      <c r="M156" s="194"/>
      <c r="N156" s="194"/>
    </row>
    <row r="157" spans="1:14" s="55" customFormat="1" ht="11.1" customHeight="1" x14ac:dyDescent="0.2">
      <c r="B157" s="56"/>
      <c r="C157" s="56" t="s">
        <v>224</v>
      </c>
      <c r="D157" s="55" t="s">
        <v>225</v>
      </c>
      <c r="F157" s="143"/>
      <c r="G157" s="256">
        <v>0.1</v>
      </c>
      <c r="H157" s="203">
        <v>2</v>
      </c>
      <c r="I157" s="132">
        <v>20</v>
      </c>
      <c r="J157" s="135">
        <v>39.799999999999997</v>
      </c>
      <c r="K157" s="78"/>
      <c r="L157" s="78"/>
      <c r="M157" s="194"/>
      <c r="N157" s="194"/>
    </row>
    <row r="158" spans="1:14" s="55" customFormat="1" ht="11.1" customHeight="1" x14ac:dyDescent="0.2">
      <c r="B158" s="56"/>
      <c r="C158" s="136" t="s">
        <v>226</v>
      </c>
      <c r="D158" s="55" t="s">
        <v>227</v>
      </c>
      <c r="F158" s="143"/>
      <c r="G158" s="131">
        <v>1</v>
      </c>
      <c r="H158" s="132">
        <v>27</v>
      </c>
      <c r="I158" s="132">
        <v>390</v>
      </c>
      <c r="J158" s="135">
        <v>6.7</v>
      </c>
      <c r="K158" s="78"/>
      <c r="L158" s="78"/>
      <c r="M158" s="194"/>
      <c r="N158" s="194"/>
    </row>
    <row r="159" spans="1:14" s="55" customFormat="1" ht="11.1" customHeight="1" x14ac:dyDescent="0.2">
      <c r="B159" s="56"/>
      <c r="C159" s="136" t="s">
        <v>228</v>
      </c>
      <c r="D159" s="55" t="s">
        <v>229</v>
      </c>
      <c r="F159" s="143"/>
      <c r="G159" s="138" t="s">
        <v>230</v>
      </c>
      <c r="H159" s="139" t="s">
        <v>230</v>
      </c>
      <c r="I159" s="139" t="s">
        <v>230</v>
      </c>
      <c r="J159" s="135" t="s">
        <v>230</v>
      </c>
      <c r="K159" s="78"/>
      <c r="L159" s="78"/>
      <c r="M159" s="194"/>
      <c r="N159" s="194"/>
    </row>
    <row r="160" spans="1:14" s="141" customFormat="1" ht="4.05" customHeight="1" x14ac:dyDescent="0.25">
      <c r="A160" s="71"/>
      <c r="B160" s="195"/>
      <c r="C160" s="72"/>
      <c r="D160" s="72"/>
      <c r="E160" s="72"/>
      <c r="F160" s="100"/>
      <c r="G160" s="152"/>
      <c r="H160" s="153"/>
      <c r="I160" s="154"/>
      <c r="J160" s="155"/>
      <c r="K160" s="78"/>
      <c r="L160" s="78"/>
      <c r="M160" s="194"/>
      <c r="N160" s="194"/>
    </row>
    <row r="161" spans="1:14" s="141" customFormat="1" ht="4.05" customHeight="1" x14ac:dyDescent="0.25">
      <c r="A161" s="80"/>
      <c r="B161" s="129"/>
      <c r="C161" s="79"/>
      <c r="D161" s="79"/>
      <c r="E161" s="79"/>
      <c r="F161" s="106"/>
      <c r="G161" s="138"/>
      <c r="H161" s="139"/>
      <c r="I161" s="140"/>
      <c r="J161" s="135"/>
      <c r="K161" s="78"/>
      <c r="L161" s="78"/>
      <c r="M161" s="194"/>
      <c r="N161" s="194"/>
    </row>
    <row r="162" spans="1:14" ht="12.75" customHeight="1" x14ac:dyDescent="0.2">
      <c r="A162" s="119" t="s">
        <v>231</v>
      </c>
      <c r="B162" s="120" t="s">
        <v>9</v>
      </c>
      <c r="C162" s="206"/>
      <c r="D162" s="191"/>
      <c r="E162" s="191"/>
      <c r="F162" s="206"/>
      <c r="G162" s="123">
        <v>23.4</v>
      </c>
      <c r="H162" s="124">
        <v>650</v>
      </c>
      <c r="I162" s="124">
        <v>3550</v>
      </c>
      <c r="J162" s="125">
        <v>2.5</v>
      </c>
      <c r="K162" s="78"/>
      <c r="L162" s="78"/>
      <c r="M162" s="194"/>
      <c r="N162" s="194"/>
    </row>
    <row r="163" spans="1:14" ht="6" customHeight="1" x14ac:dyDescent="0.25">
      <c r="A163" s="186"/>
      <c r="B163" s="193"/>
      <c r="C163" s="106"/>
      <c r="D163" s="130"/>
      <c r="E163" s="130"/>
      <c r="F163" s="106"/>
      <c r="G163" s="131"/>
      <c r="H163" s="132"/>
      <c r="I163" s="133"/>
      <c r="J163" s="146"/>
      <c r="K163" s="78"/>
      <c r="L163" s="78"/>
      <c r="M163" s="194"/>
      <c r="N163" s="194"/>
    </row>
    <row r="164" spans="1:14" ht="11.1" customHeight="1" x14ac:dyDescent="0.2">
      <c r="A164" s="80">
        <v>3.1</v>
      </c>
      <c r="B164" s="129" t="s">
        <v>232</v>
      </c>
      <c r="C164" s="157"/>
      <c r="D164" s="79"/>
      <c r="E164" s="79"/>
      <c r="F164" s="157"/>
      <c r="G164" s="131">
        <v>18.7</v>
      </c>
      <c r="H164" s="132">
        <v>519</v>
      </c>
      <c r="I164" s="132">
        <v>3360</v>
      </c>
      <c r="J164" s="135">
        <v>2.6</v>
      </c>
      <c r="K164" s="78"/>
      <c r="L164" s="78"/>
      <c r="M164" s="194"/>
      <c r="N164" s="194"/>
    </row>
    <row r="165" spans="1:14" ht="11.1" customHeight="1" x14ac:dyDescent="0.2">
      <c r="B165" s="56" t="s">
        <v>233</v>
      </c>
      <c r="C165" s="136" t="s">
        <v>234</v>
      </c>
      <c r="D165" s="55"/>
      <c r="E165" s="55"/>
      <c r="F165" s="143"/>
      <c r="G165" s="131">
        <v>4.5999999999999996</v>
      </c>
      <c r="H165" s="132">
        <v>128</v>
      </c>
      <c r="I165" s="132">
        <v>1020</v>
      </c>
      <c r="J165" s="135">
        <v>4.9000000000000004</v>
      </c>
      <c r="K165" s="78"/>
      <c r="L165" s="78"/>
      <c r="M165" s="194"/>
      <c r="N165" s="194"/>
    </row>
    <row r="166" spans="1:14" ht="11.1" customHeight="1" x14ac:dyDescent="0.2">
      <c r="B166" s="56" t="s">
        <v>235</v>
      </c>
      <c r="C166" s="136" t="s">
        <v>236</v>
      </c>
      <c r="D166" s="55"/>
      <c r="E166" s="55"/>
      <c r="F166" s="143"/>
      <c r="G166" s="131">
        <v>0.6</v>
      </c>
      <c r="H166" s="132">
        <v>15</v>
      </c>
      <c r="I166" s="132">
        <v>420</v>
      </c>
      <c r="J166" s="135">
        <v>6.2</v>
      </c>
      <c r="K166" s="78"/>
      <c r="L166" s="78"/>
      <c r="M166" s="194"/>
      <c r="N166" s="194"/>
    </row>
    <row r="167" spans="1:14" s="192" customFormat="1" ht="11.1" customHeight="1" x14ac:dyDescent="0.2">
      <c r="A167" s="80"/>
      <c r="B167" s="56" t="s">
        <v>237</v>
      </c>
      <c r="C167" s="136" t="s">
        <v>238</v>
      </c>
      <c r="D167" s="55"/>
      <c r="E167" s="55"/>
      <c r="F167" s="143"/>
      <c r="G167" s="131">
        <v>8</v>
      </c>
      <c r="H167" s="132">
        <v>223</v>
      </c>
      <c r="I167" s="132">
        <v>1920</v>
      </c>
      <c r="J167" s="135">
        <v>3.7</v>
      </c>
      <c r="K167" s="78"/>
      <c r="L167" s="78"/>
      <c r="M167" s="194"/>
      <c r="N167" s="194"/>
    </row>
    <row r="168" spans="1:14" ht="11.1" customHeight="1" x14ac:dyDescent="0.2">
      <c r="B168" s="56" t="s">
        <v>239</v>
      </c>
      <c r="C168" s="136" t="s">
        <v>240</v>
      </c>
      <c r="D168" s="55"/>
      <c r="E168" s="55"/>
      <c r="F168" s="143"/>
      <c r="G168" s="131">
        <v>1.2</v>
      </c>
      <c r="H168" s="132">
        <v>34</v>
      </c>
      <c r="I168" s="132">
        <v>880</v>
      </c>
      <c r="J168" s="135">
        <v>5.6</v>
      </c>
      <c r="K168" s="78"/>
      <c r="L168" s="78"/>
      <c r="M168" s="194"/>
      <c r="N168" s="194"/>
    </row>
    <row r="169" spans="1:14" s="141" customFormat="1" ht="11.1" customHeight="1" x14ac:dyDescent="0.2">
      <c r="B169" s="56" t="s">
        <v>241</v>
      </c>
      <c r="C169" s="56" t="s">
        <v>242</v>
      </c>
      <c r="D169" s="55"/>
      <c r="E169" s="55"/>
      <c r="F169" s="143"/>
      <c r="G169" s="131">
        <v>0.8</v>
      </c>
      <c r="H169" s="132">
        <v>22</v>
      </c>
      <c r="I169" s="132">
        <v>350</v>
      </c>
      <c r="J169" s="135">
        <v>8.4</v>
      </c>
      <c r="K169" s="78"/>
      <c r="L169" s="78"/>
      <c r="M169" s="194"/>
      <c r="N169" s="194"/>
    </row>
    <row r="170" spans="1:14" s="106" customFormat="1" ht="11.1" customHeight="1" x14ac:dyDescent="0.25">
      <c r="A170" s="207"/>
      <c r="B170" s="56" t="s">
        <v>243</v>
      </c>
      <c r="C170" s="56" t="s">
        <v>244</v>
      </c>
      <c r="D170" s="55"/>
      <c r="E170" s="55"/>
      <c r="F170" s="143"/>
      <c r="G170" s="131">
        <v>1</v>
      </c>
      <c r="H170" s="132">
        <v>28</v>
      </c>
      <c r="I170" s="132">
        <v>430</v>
      </c>
      <c r="J170" s="135">
        <v>7.2</v>
      </c>
      <c r="K170" s="78"/>
      <c r="L170" s="78"/>
      <c r="M170" s="194"/>
      <c r="N170" s="194"/>
    </row>
    <row r="171" spans="1:14" s="128" customFormat="1" ht="11.1" customHeight="1" x14ac:dyDescent="0.2">
      <c r="B171" s="56" t="s">
        <v>245</v>
      </c>
      <c r="C171" s="56" t="s">
        <v>246</v>
      </c>
      <c r="D171" s="144"/>
      <c r="E171" s="144"/>
      <c r="F171" s="143"/>
      <c r="G171" s="131">
        <v>0.7</v>
      </c>
      <c r="H171" s="132">
        <v>19</v>
      </c>
      <c r="I171" s="132">
        <v>350</v>
      </c>
      <c r="J171" s="135">
        <v>8.6</v>
      </c>
      <c r="K171" s="78"/>
      <c r="L171" s="78"/>
      <c r="M171" s="194"/>
      <c r="N171" s="194"/>
    </row>
    <row r="172" spans="1:14" s="128" customFormat="1" ht="11.1" customHeight="1" x14ac:dyDescent="0.2">
      <c r="B172" s="56" t="s">
        <v>247</v>
      </c>
      <c r="C172" s="56" t="s">
        <v>248</v>
      </c>
      <c r="D172" s="144"/>
      <c r="E172" s="144"/>
      <c r="F172" s="143"/>
      <c r="G172" s="131">
        <v>0.4</v>
      </c>
      <c r="H172" s="132">
        <v>12</v>
      </c>
      <c r="I172" s="132">
        <v>430</v>
      </c>
      <c r="J172" s="135">
        <v>7.2</v>
      </c>
      <c r="K172" s="78"/>
      <c r="L172" s="78"/>
      <c r="M172" s="194"/>
      <c r="N172" s="194"/>
    </row>
    <row r="173" spans="1:14" s="128" customFormat="1" ht="4.05" customHeight="1" x14ac:dyDescent="0.2">
      <c r="B173" s="56"/>
      <c r="C173" s="56"/>
      <c r="D173" s="144"/>
      <c r="E173" s="144"/>
      <c r="F173" s="143"/>
      <c r="G173" s="152"/>
      <c r="H173" s="153"/>
      <c r="I173" s="140"/>
      <c r="J173" s="155"/>
      <c r="K173" s="208"/>
      <c r="L173" s="65"/>
    </row>
    <row r="174" spans="1:14" s="128" customFormat="1" ht="4.05" customHeight="1" x14ac:dyDescent="0.2">
      <c r="A174" s="209"/>
      <c r="B174" s="210"/>
      <c r="C174" s="210"/>
      <c r="D174" s="211"/>
      <c r="E174" s="211"/>
      <c r="F174" s="212"/>
      <c r="G174" s="138"/>
      <c r="H174" s="139"/>
      <c r="I174" s="213"/>
      <c r="J174" s="135"/>
      <c r="K174" s="208"/>
      <c r="L174" s="65"/>
    </row>
    <row r="175" spans="1:14" s="128" customFormat="1" ht="11.1" customHeight="1" x14ac:dyDescent="0.2">
      <c r="A175" s="157" t="s">
        <v>111</v>
      </c>
      <c r="B175" s="56"/>
      <c r="C175" s="56"/>
      <c r="D175" s="55"/>
      <c r="E175" s="137"/>
      <c r="F175" s="142"/>
      <c r="G175" s="138"/>
      <c r="H175" s="139"/>
      <c r="I175" s="140"/>
      <c r="J175" s="135"/>
      <c r="K175" s="208"/>
      <c r="L175" s="65"/>
    </row>
    <row r="176" spans="1:14" s="128" customFormat="1" ht="11.1" customHeight="1" x14ac:dyDescent="0.2">
      <c r="A176" s="157" t="s">
        <v>182</v>
      </c>
      <c r="B176" s="56"/>
      <c r="C176" s="56"/>
      <c r="D176" s="55"/>
      <c r="E176" s="137"/>
      <c r="F176" s="142"/>
      <c r="G176" s="138"/>
      <c r="H176" s="139"/>
      <c r="I176" s="140"/>
      <c r="J176" s="135"/>
      <c r="K176" s="208"/>
      <c r="L176" s="65"/>
    </row>
    <row r="177" spans="1:12" s="128" customFormat="1" ht="11.1" customHeight="1" x14ac:dyDescent="0.2">
      <c r="A177" s="157" t="s">
        <v>112</v>
      </c>
      <c r="B177" s="56"/>
      <c r="C177" s="56"/>
      <c r="D177" s="55"/>
      <c r="E177" s="137"/>
      <c r="F177" s="142"/>
      <c r="G177" s="138"/>
      <c r="H177" s="139"/>
      <c r="I177" s="140"/>
      <c r="J177" s="135"/>
      <c r="K177" s="208"/>
      <c r="L177" s="65"/>
    </row>
    <row r="178" spans="1:12" s="128" customFormat="1" ht="11.1" customHeight="1" x14ac:dyDescent="0.2">
      <c r="B178" s="56"/>
      <c r="C178" s="56"/>
      <c r="D178" s="144"/>
      <c r="E178" s="144"/>
      <c r="F178" s="143"/>
      <c r="G178" s="138"/>
      <c r="H178" s="139"/>
      <c r="I178" s="140"/>
      <c r="J178" s="135"/>
      <c r="K178" s="208"/>
      <c r="L178" s="65"/>
    </row>
    <row r="179" spans="1:12" ht="11.1" customHeight="1" x14ac:dyDescent="0.2">
      <c r="A179" s="79"/>
      <c r="B179" s="79"/>
      <c r="D179" s="79"/>
      <c r="E179" s="79"/>
      <c r="F179" s="79"/>
      <c r="I179" s="79"/>
      <c r="J179" s="146"/>
      <c r="K179" s="214"/>
      <c r="L179" s="65"/>
    </row>
    <row r="180" spans="1:12" ht="11.1" customHeight="1" x14ac:dyDescent="0.2">
      <c r="A180" s="158"/>
      <c r="B180" s="79"/>
      <c r="D180" s="79"/>
      <c r="E180" s="79"/>
      <c r="F180" s="79"/>
      <c r="I180" s="79"/>
      <c r="J180" s="146"/>
      <c r="K180" s="214"/>
      <c r="L180" s="65"/>
    </row>
    <row r="181" spans="1:12" ht="10.5" customHeight="1" x14ac:dyDescent="0.2">
      <c r="A181" s="79"/>
      <c r="B181" s="79"/>
      <c r="D181" s="79"/>
      <c r="E181" s="79"/>
      <c r="F181" s="79"/>
      <c r="I181" s="79"/>
      <c r="J181" s="146"/>
      <c r="K181" s="214"/>
      <c r="L181" s="65"/>
    </row>
    <row r="182" spans="1:12" s="55" customFormat="1" ht="15.75" customHeight="1" x14ac:dyDescent="0.2">
      <c r="A182" s="159" t="s">
        <v>114</v>
      </c>
      <c r="B182" s="129"/>
      <c r="C182" s="157"/>
      <c r="D182" s="219"/>
      <c r="E182" s="219"/>
      <c r="F182" s="130"/>
      <c r="G182" s="107"/>
      <c r="H182" s="108"/>
      <c r="I182" s="109"/>
      <c r="J182" s="220"/>
      <c r="K182" s="218"/>
      <c r="L182" s="65"/>
    </row>
    <row r="183" spans="1:12" s="31" customFormat="1" ht="20.25" customHeight="1" x14ac:dyDescent="0.3">
      <c r="A183" s="160" t="s">
        <v>183</v>
      </c>
      <c r="B183" s="161"/>
      <c r="D183" s="32"/>
      <c r="E183" s="32"/>
      <c r="F183" s="33"/>
      <c r="G183" s="221"/>
      <c r="H183" s="222"/>
      <c r="I183" s="223"/>
      <c r="J183" s="167"/>
      <c r="K183" s="37"/>
      <c r="L183" s="65"/>
    </row>
    <row r="184" spans="1:12" s="31" customFormat="1" ht="15.75" customHeight="1" x14ac:dyDescent="0.25">
      <c r="A184" s="41" t="s">
        <v>969</v>
      </c>
      <c r="B184" s="168"/>
      <c r="C184" s="43"/>
      <c r="D184" s="44"/>
      <c r="E184" s="32"/>
      <c r="F184" s="33"/>
      <c r="G184" s="221"/>
      <c r="H184" s="222"/>
      <c r="I184" s="223"/>
      <c r="J184" s="224"/>
      <c r="K184" s="37"/>
      <c r="L184" s="65"/>
    </row>
    <row r="185" spans="1:12" ht="4.05" customHeight="1" x14ac:dyDescent="0.2">
      <c r="A185" s="71"/>
      <c r="B185" s="71"/>
      <c r="C185" s="72"/>
      <c r="D185" s="73"/>
      <c r="E185" s="73"/>
      <c r="F185" s="73"/>
      <c r="G185" s="101"/>
      <c r="H185" s="102"/>
      <c r="I185" s="103"/>
      <c r="J185" s="77"/>
      <c r="L185" s="65"/>
    </row>
    <row r="186" spans="1:12" s="55" customFormat="1" ht="4.05" customHeight="1" x14ac:dyDescent="0.2">
      <c r="A186" s="81"/>
      <c r="B186" s="81"/>
      <c r="D186" s="84"/>
      <c r="E186" s="84"/>
      <c r="F186" s="84"/>
      <c r="G186" s="107"/>
      <c r="H186" s="108"/>
      <c r="I186" s="109"/>
      <c r="J186" s="171"/>
      <c r="K186" s="53"/>
      <c r="L186" s="65"/>
    </row>
    <row r="187" spans="1:12" s="180" customFormat="1" ht="11.1" customHeight="1" x14ac:dyDescent="0.15">
      <c r="A187" s="172"/>
      <c r="B187" s="172"/>
      <c r="C187" s="173"/>
      <c r="D187" s="174"/>
      <c r="E187" s="174"/>
      <c r="F187" s="59"/>
      <c r="G187" s="60" t="s">
        <v>116</v>
      </c>
      <c r="H187" s="61" t="s">
        <v>25</v>
      </c>
      <c r="I187" s="62" t="s">
        <v>26</v>
      </c>
      <c r="J187" s="63" t="s">
        <v>117</v>
      </c>
      <c r="K187" s="179"/>
      <c r="L187" s="65"/>
    </row>
    <row r="188" spans="1:12" s="180" customFormat="1" ht="11.1" customHeight="1" x14ac:dyDescent="0.15">
      <c r="A188" s="172"/>
      <c r="B188" s="172"/>
      <c r="C188" s="181"/>
      <c r="D188" s="174"/>
      <c r="E188" s="174"/>
      <c r="F188" s="59"/>
      <c r="G188" s="67" t="s">
        <v>29</v>
      </c>
      <c r="H188" s="61" t="s">
        <v>27</v>
      </c>
      <c r="I188" s="62" t="s">
        <v>28</v>
      </c>
      <c r="J188" s="63" t="s">
        <v>118</v>
      </c>
      <c r="K188" s="179"/>
      <c r="L188" s="65"/>
    </row>
    <row r="189" spans="1:12" s="180" customFormat="1" ht="11.1" customHeight="1" x14ac:dyDescent="0.15">
      <c r="A189" s="172"/>
      <c r="B189" s="172"/>
      <c r="C189" s="181"/>
      <c r="D189" s="174"/>
      <c r="E189" s="174"/>
      <c r="F189" s="59"/>
      <c r="G189" s="60" t="s">
        <v>31</v>
      </c>
      <c r="H189" s="61" t="s">
        <v>29</v>
      </c>
      <c r="I189" s="62" t="s">
        <v>30</v>
      </c>
      <c r="J189" s="69" t="s">
        <v>119</v>
      </c>
      <c r="K189" s="179"/>
      <c r="L189" s="65"/>
    </row>
    <row r="190" spans="1:12" s="180" customFormat="1" ht="11.1" customHeight="1" x14ac:dyDescent="0.15">
      <c r="A190" s="172"/>
      <c r="B190" s="172"/>
      <c r="C190" s="181"/>
      <c r="D190" s="174"/>
      <c r="E190" s="174"/>
      <c r="F190" s="59"/>
      <c r="G190" s="67" t="s">
        <v>32</v>
      </c>
      <c r="H190" s="61" t="s">
        <v>33</v>
      </c>
      <c r="I190" s="62" t="s">
        <v>120</v>
      </c>
      <c r="J190" s="70" t="s">
        <v>121</v>
      </c>
      <c r="K190" s="179"/>
      <c r="L190" s="65"/>
    </row>
    <row r="191" spans="1:12" ht="4.05" customHeight="1" x14ac:dyDescent="0.2">
      <c r="A191" s="71"/>
      <c r="B191" s="71"/>
      <c r="C191" s="72"/>
      <c r="D191" s="73"/>
      <c r="E191" s="73"/>
      <c r="F191" s="73"/>
      <c r="G191" s="101"/>
      <c r="H191" s="102"/>
      <c r="I191" s="103"/>
      <c r="J191" s="73"/>
      <c r="L191" s="65"/>
    </row>
    <row r="192" spans="1:12" ht="4.05" customHeight="1" x14ac:dyDescent="0.2">
      <c r="B192" s="81"/>
      <c r="C192" s="82"/>
      <c r="D192" s="83"/>
      <c r="E192" s="83"/>
      <c r="F192" s="84"/>
      <c r="G192" s="85"/>
      <c r="H192" s="86"/>
      <c r="I192" s="87"/>
      <c r="J192" s="83"/>
      <c r="L192" s="65"/>
    </row>
    <row r="193" spans="1:14" s="93" customFormat="1" ht="11.1" customHeight="1" x14ac:dyDescent="0.2">
      <c r="A193" s="111" t="s">
        <v>123</v>
      </c>
      <c r="B193" s="112"/>
      <c r="C193" s="113"/>
      <c r="F193" s="114" t="s">
        <v>124</v>
      </c>
      <c r="G193" s="115"/>
      <c r="H193" s="116"/>
      <c r="I193" s="117"/>
      <c r="K193" s="53"/>
      <c r="L193" s="185"/>
    </row>
    <row r="194" spans="1:14" s="128" customFormat="1" ht="4.05" customHeight="1" x14ac:dyDescent="0.2">
      <c r="A194" s="186"/>
      <c r="B194" s="186"/>
      <c r="C194" s="187"/>
      <c r="D194" s="79"/>
      <c r="E194" s="79"/>
      <c r="G194" s="107"/>
      <c r="H194" s="108"/>
      <c r="I194" s="109"/>
      <c r="J194" s="110"/>
      <c r="K194" s="53"/>
      <c r="L194" s="65"/>
    </row>
    <row r="195" spans="1:14" s="55" customFormat="1" ht="12.75" customHeight="1" x14ac:dyDescent="0.25">
      <c r="A195" s="119" t="s">
        <v>231</v>
      </c>
      <c r="B195" s="120" t="s">
        <v>249</v>
      </c>
      <c r="C195" s="200"/>
      <c r="D195" s="122"/>
      <c r="E195" s="122"/>
      <c r="G195" s="107"/>
      <c r="H195" s="108"/>
      <c r="I195" s="79"/>
      <c r="J195" s="146"/>
      <c r="K195" s="218"/>
      <c r="L195" s="65"/>
    </row>
    <row r="196" spans="1:14" s="55" customFormat="1" ht="6" customHeight="1" x14ac:dyDescent="0.2">
      <c r="A196" s="186"/>
      <c r="B196" s="193"/>
      <c r="C196" s="78"/>
      <c r="D196" s="127"/>
      <c r="E196" s="127"/>
      <c r="G196" s="107"/>
      <c r="H196" s="108"/>
      <c r="I196" s="79"/>
      <c r="J196" s="146"/>
      <c r="K196" s="218"/>
      <c r="L196" s="65"/>
    </row>
    <row r="197" spans="1:14" s="55" customFormat="1" ht="11.1" customHeight="1" x14ac:dyDescent="0.2">
      <c r="B197" s="56" t="s">
        <v>250</v>
      </c>
      <c r="C197" s="56" t="s">
        <v>251</v>
      </c>
      <c r="D197" s="144"/>
      <c r="E197" s="144"/>
      <c r="F197" s="143"/>
      <c r="G197" s="131">
        <v>0.8</v>
      </c>
      <c r="H197" s="132">
        <v>23</v>
      </c>
      <c r="I197" s="132">
        <v>720</v>
      </c>
      <c r="J197" s="135">
        <v>7.6</v>
      </c>
      <c r="K197" s="78"/>
      <c r="L197" s="78"/>
      <c r="M197" s="225"/>
      <c r="N197" s="225"/>
    </row>
    <row r="198" spans="1:14" s="55" customFormat="1" ht="11.1" customHeight="1" x14ac:dyDescent="0.2">
      <c r="B198" s="56"/>
      <c r="C198" s="56" t="s">
        <v>252</v>
      </c>
      <c r="D198" s="144" t="s">
        <v>253</v>
      </c>
      <c r="E198" s="144"/>
      <c r="F198" s="143"/>
      <c r="G198" s="131">
        <v>0.3</v>
      </c>
      <c r="H198" s="132">
        <v>7</v>
      </c>
      <c r="I198" s="132">
        <v>240</v>
      </c>
      <c r="J198" s="135">
        <v>9.6999999999999993</v>
      </c>
      <c r="K198" s="78"/>
      <c r="L198" s="78"/>
      <c r="M198" s="225"/>
      <c r="N198" s="225"/>
    </row>
    <row r="199" spans="1:14" s="55" customFormat="1" ht="11.1" customHeight="1" x14ac:dyDescent="0.2">
      <c r="B199" s="56"/>
      <c r="C199" s="56" t="s">
        <v>254</v>
      </c>
      <c r="D199" s="144" t="s">
        <v>255</v>
      </c>
      <c r="E199" s="144"/>
      <c r="F199" s="143"/>
      <c r="G199" s="131">
        <v>0.3</v>
      </c>
      <c r="H199" s="132">
        <v>10</v>
      </c>
      <c r="I199" s="132">
        <v>340</v>
      </c>
      <c r="J199" s="135">
        <v>10.4</v>
      </c>
      <c r="K199" s="78"/>
      <c r="L199" s="78"/>
      <c r="M199" s="225"/>
      <c r="N199" s="225"/>
    </row>
    <row r="200" spans="1:14" s="55" customFormat="1" ht="11.1" customHeight="1" x14ac:dyDescent="0.2">
      <c r="B200" s="56"/>
      <c r="C200" s="56" t="s">
        <v>256</v>
      </c>
      <c r="D200" s="144" t="s">
        <v>257</v>
      </c>
      <c r="F200" s="143"/>
      <c r="G200" s="131">
        <v>0.1</v>
      </c>
      <c r="H200" s="132">
        <v>3</v>
      </c>
      <c r="I200" s="132">
        <v>170</v>
      </c>
      <c r="J200" s="135">
        <v>11.1</v>
      </c>
      <c r="K200" s="78"/>
      <c r="L200" s="78"/>
      <c r="M200" s="225"/>
      <c r="N200" s="225"/>
    </row>
    <row r="201" spans="1:14" s="55" customFormat="1" ht="11.1" customHeight="1" x14ac:dyDescent="0.2">
      <c r="B201" s="56"/>
      <c r="C201" s="136" t="s">
        <v>258</v>
      </c>
      <c r="D201" s="142" t="s">
        <v>259</v>
      </c>
      <c r="F201" s="143"/>
      <c r="G201" s="131">
        <v>0.1</v>
      </c>
      <c r="H201" s="132">
        <v>3</v>
      </c>
      <c r="I201" s="132">
        <v>20</v>
      </c>
      <c r="J201" s="135">
        <v>44.1</v>
      </c>
      <c r="K201" s="78"/>
      <c r="L201" s="78"/>
      <c r="M201" s="225"/>
      <c r="N201" s="225"/>
    </row>
    <row r="202" spans="1:14" s="55" customFormat="1" ht="3" customHeight="1" x14ac:dyDescent="0.2">
      <c r="B202" s="56"/>
      <c r="C202" s="136"/>
      <c r="D202" s="142"/>
      <c r="F202" s="143"/>
      <c r="G202" s="131"/>
      <c r="H202" s="132"/>
      <c r="I202" s="133"/>
      <c r="J202" s="146"/>
      <c r="K202" s="78"/>
      <c r="L202" s="78"/>
      <c r="M202" s="225"/>
      <c r="N202" s="225"/>
    </row>
    <row r="203" spans="1:14" s="55" customFormat="1" ht="11.1" customHeight="1" x14ac:dyDescent="0.2">
      <c r="B203" s="56" t="s">
        <v>260</v>
      </c>
      <c r="C203" s="136" t="s">
        <v>261</v>
      </c>
      <c r="D203" s="142"/>
      <c r="F203" s="143"/>
      <c r="G203" s="131">
        <v>0.3</v>
      </c>
      <c r="H203" s="132">
        <v>8</v>
      </c>
      <c r="I203" s="132">
        <v>290</v>
      </c>
      <c r="J203" s="135">
        <v>16.3</v>
      </c>
      <c r="K203" s="78"/>
      <c r="L203" s="78"/>
      <c r="M203" s="225"/>
      <c r="N203" s="225"/>
    </row>
    <row r="204" spans="1:14" s="55" customFormat="1" ht="3" customHeight="1" x14ac:dyDescent="0.2">
      <c r="A204" s="56"/>
      <c r="B204" s="136"/>
      <c r="C204" s="144"/>
      <c r="F204" s="143"/>
      <c r="G204" s="131"/>
      <c r="H204" s="132"/>
      <c r="I204" s="133"/>
      <c r="J204" s="134"/>
      <c r="K204" s="78"/>
      <c r="L204" s="78"/>
      <c r="M204" s="225"/>
      <c r="N204" s="225"/>
    </row>
    <row r="205" spans="1:14" s="55" customFormat="1" ht="11.1" customHeight="1" x14ac:dyDescent="0.2">
      <c r="B205" s="56" t="s">
        <v>262</v>
      </c>
      <c r="C205" s="136" t="s">
        <v>263</v>
      </c>
      <c r="D205" s="142"/>
      <c r="F205" s="143"/>
      <c r="G205" s="131">
        <v>0.2</v>
      </c>
      <c r="H205" s="132">
        <v>7</v>
      </c>
      <c r="I205" s="132">
        <v>130</v>
      </c>
      <c r="J205" s="135">
        <v>14.7</v>
      </c>
      <c r="K205" s="78"/>
      <c r="L205" s="78"/>
      <c r="M205" s="225"/>
      <c r="N205" s="225"/>
    </row>
    <row r="206" spans="1:14" s="55" customFormat="1" ht="11.1" customHeight="1" x14ac:dyDescent="0.2">
      <c r="B206" s="56"/>
      <c r="C206" s="136" t="s">
        <v>264</v>
      </c>
      <c r="D206" s="56" t="s">
        <v>265</v>
      </c>
      <c r="F206" s="143"/>
      <c r="G206" s="131">
        <v>0.2</v>
      </c>
      <c r="H206" s="132">
        <v>6</v>
      </c>
      <c r="I206" s="132">
        <v>100</v>
      </c>
      <c r="J206" s="135">
        <v>16.5</v>
      </c>
      <c r="K206" s="78"/>
      <c r="L206" s="78"/>
      <c r="M206" s="225"/>
      <c r="N206" s="225"/>
    </row>
    <row r="207" spans="1:14" s="55" customFormat="1" ht="11.1" customHeight="1" x14ac:dyDescent="0.2">
      <c r="B207" s="56"/>
      <c r="C207" s="136" t="s">
        <v>266</v>
      </c>
      <c r="D207" s="55" t="s">
        <v>267</v>
      </c>
      <c r="F207" s="143"/>
      <c r="G207" s="145">
        <v>0</v>
      </c>
      <c r="H207" s="132">
        <v>1</v>
      </c>
      <c r="I207" s="132">
        <v>40</v>
      </c>
      <c r="J207" s="135">
        <v>26.6</v>
      </c>
      <c r="K207" s="78"/>
      <c r="L207" s="78"/>
      <c r="M207" s="225"/>
      <c r="N207" s="225"/>
    </row>
    <row r="208" spans="1:14" s="55" customFormat="1" ht="3" customHeight="1" x14ac:dyDescent="0.25">
      <c r="A208" s="80"/>
      <c r="B208" s="129"/>
      <c r="C208" s="144"/>
      <c r="D208" s="79"/>
      <c r="E208" s="79"/>
      <c r="F208" s="106"/>
      <c r="G208" s="131"/>
      <c r="H208" s="132"/>
      <c r="I208" s="133"/>
      <c r="J208" s="135"/>
      <c r="K208" s="78"/>
      <c r="L208" s="78"/>
      <c r="M208" s="225"/>
      <c r="N208" s="225"/>
    </row>
    <row r="209" spans="1:14" ht="11.1" customHeight="1" x14ac:dyDescent="0.2">
      <c r="A209" s="80">
        <v>3.2</v>
      </c>
      <c r="B209" s="129" t="s">
        <v>268</v>
      </c>
      <c r="C209" s="201"/>
      <c r="D209" s="79"/>
      <c r="E209" s="79"/>
      <c r="F209" s="157"/>
      <c r="G209" s="131">
        <v>4.7</v>
      </c>
      <c r="H209" s="132">
        <v>132</v>
      </c>
      <c r="I209" s="132">
        <v>1300</v>
      </c>
      <c r="J209" s="135">
        <v>4.3</v>
      </c>
      <c r="K209" s="78"/>
      <c r="L209" s="78"/>
      <c r="M209" s="225"/>
      <c r="N209" s="225"/>
    </row>
    <row r="210" spans="1:14" s="55" customFormat="1" ht="11.1" customHeight="1" x14ac:dyDescent="0.2">
      <c r="B210" s="56" t="s">
        <v>269</v>
      </c>
      <c r="C210" s="56" t="s">
        <v>270</v>
      </c>
      <c r="D210" s="143"/>
      <c r="E210" s="143"/>
      <c r="F210" s="143"/>
      <c r="G210" s="131">
        <v>1.6</v>
      </c>
      <c r="H210" s="132">
        <v>44</v>
      </c>
      <c r="I210" s="132">
        <v>380</v>
      </c>
      <c r="J210" s="135">
        <v>7.2</v>
      </c>
      <c r="K210" s="78"/>
      <c r="L210" s="78"/>
      <c r="M210" s="225"/>
      <c r="N210" s="225"/>
    </row>
    <row r="211" spans="1:14" s="55" customFormat="1" ht="11.1" customHeight="1" x14ac:dyDescent="0.2">
      <c r="B211" s="56" t="s">
        <v>271</v>
      </c>
      <c r="C211" s="56" t="s">
        <v>272</v>
      </c>
      <c r="D211" s="143"/>
      <c r="E211" s="143"/>
      <c r="F211" s="143"/>
      <c r="G211" s="131">
        <v>2.2000000000000002</v>
      </c>
      <c r="H211" s="132">
        <v>62</v>
      </c>
      <c r="I211" s="132">
        <v>760</v>
      </c>
      <c r="J211" s="135">
        <v>5.8</v>
      </c>
      <c r="K211" s="78"/>
      <c r="L211" s="78"/>
      <c r="M211" s="225"/>
      <c r="N211" s="225"/>
    </row>
    <row r="212" spans="1:14" s="55" customFormat="1" ht="11.1" customHeight="1" x14ac:dyDescent="0.2">
      <c r="B212" s="56" t="s">
        <v>273</v>
      </c>
      <c r="C212" s="56" t="s">
        <v>274</v>
      </c>
      <c r="D212" s="143"/>
      <c r="E212" s="143"/>
      <c r="F212" s="143"/>
      <c r="G212" s="131">
        <v>0.9</v>
      </c>
      <c r="H212" s="132">
        <v>25</v>
      </c>
      <c r="I212" s="132">
        <v>360</v>
      </c>
      <c r="J212" s="135">
        <v>8.3000000000000007</v>
      </c>
      <c r="K212" s="78"/>
      <c r="L212" s="78"/>
      <c r="M212" s="225"/>
      <c r="N212" s="225"/>
    </row>
    <row r="213" spans="1:14" s="55" customFormat="1" ht="11.1" customHeight="1" x14ac:dyDescent="0.2">
      <c r="B213" s="56" t="s">
        <v>275</v>
      </c>
      <c r="C213" s="136" t="s">
        <v>276</v>
      </c>
      <c r="F213" s="143"/>
      <c r="G213" s="145">
        <v>0</v>
      </c>
      <c r="H213" s="132">
        <v>1</v>
      </c>
      <c r="I213" s="132">
        <v>30</v>
      </c>
      <c r="J213" s="135">
        <v>29.8</v>
      </c>
      <c r="K213" s="78"/>
      <c r="L213" s="78"/>
      <c r="M213" s="225"/>
      <c r="N213" s="225"/>
    </row>
    <row r="214" spans="1:14" ht="4.05" customHeight="1" x14ac:dyDescent="0.25">
      <c r="A214" s="71"/>
      <c r="B214" s="195"/>
      <c r="C214" s="226"/>
      <c r="D214" s="72"/>
      <c r="E214" s="72"/>
      <c r="F214" s="100"/>
      <c r="G214" s="152"/>
      <c r="H214" s="153"/>
      <c r="I214" s="154"/>
      <c r="J214" s="155"/>
      <c r="K214" s="78"/>
      <c r="L214" s="78"/>
      <c r="M214" s="225"/>
      <c r="N214" s="225"/>
    </row>
    <row r="215" spans="1:14" s="55" customFormat="1" ht="4.05" customHeight="1" x14ac:dyDescent="0.2">
      <c r="A215" s="56"/>
      <c r="B215" s="56"/>
      <c r="C215" s="142"/>
      <c r="F215" s="143"/>
      <c r="G215" s="138"/>
      <c r="H215" s="139"/>
      <c r="I215" s="140"/>
      <c r="J215" s="135"/>
      <c r="K215" s="78"/>
      <c r="L215" s="78"/>
      <c r="M215" s="225"/>
      <c r="N215" s="225"/>
    </row>
    <row r="216" spans="1:14" s="128" customFormat="1" ht="12.75" customHeight="1" x14ac:dyDescent="0.25">
      <c r="A216" s="188">
        <v>4</v>
      </c>
      <c r="B216" s="227" t="s">
        <v>277</v>
      </c>
      <c r="C216" s="228"/>
      <c r="D216" s="121"/>
      <c r="E216" s="121"/>
      <c r="F216" s="200"/>
      <c r="G216" s="123">
        <v>83</v>
      </c>
      <c r="H216" s="124">
        <v>2308</v>
      </c>
      <c r="I216" s="124">
        <v>5430</v>
      </c>
      <c r="J216" s="125">
        <v>1.7</v>
      </c>
      <c r="K216" s="78"/>
      <c r="L216" s="78"/>
      <c r="M216" s="225"/>
      <c r="N216" s="225"/>
    </row>
    <row r="217" spans="1:14" s="55" customFormat="1" ht="6" customHeight="1" x14ac:dyDescent="0.25">
      <c r="A217" s="80"/>
      <c r="B217" s="129"/>
      <c r="C217" s="144"/>
      <c r="D217" s="79"/>
      <c r="E217" s="79"/>
      <c r="F217" s="106"/>
      <c r="G217" s="138"/>
      <c r="H217" s="139"/>
      <c r="I217" s="140"/>
      <c r="J217" s="146"/>
      <c r="K217" s="78"/>
      <c r="L217" s="78"/>
      <c r="M217" s="225"/>
      <c r="N217" s="225"/>
    </row>
    <row r="218" spans="1:14" s="229" customFormat="1" ht="11.1" customHeight="1" x14ac:dyDescent="0.2">
      <c r="A218" s="80">
        <v>4.0999999999999996</v>
      </c>
      <c r="B218" s="129" t="s">
        <v>278</v>
      </c>
      <c r="C218" s="80"/>
      <c r="D218" s="79"/>
      <c r="E218" s="79"/>
      <c r="F218" s="79"/>
      <c r="G218" s="131">
        <v>52.5</v>
      </c>
      <c r="H218" s="132">
        <v>1461</v>
      </c>
      <c r="I218" s="132">
        <v>1740</v>
      </c>
      <c r="J218" s="135">
        <v>2.6</v>
      </c>
      <c r="K218" s="78"/>
      <c r="L218" s="78"/>
      <c r="M218" s="225"/>
      <c r="N218" s="225"/>
    </row>
    <row r="219" spans="1:14" s="55" customFormat="1" ht="11.1" customHeight="1" x14ac:dyDescent="0.2">
      <c r="B219" s="56" t="s">
        <v>279</v>
      </c>
      <c r="C219" s="56" t="s">
        <v>280</v>
      </c>
      <c r="G219" s="131">
        <v>52.5</v>
      </c>
      <c r="H219" s="132">
        <v>1461</v>
      </c>
      <c r="I219" s="132">
        <v>1740</v>
      </c>
      <c r="J219" s="135">
        <v>2.6</v>
      </c>
      <c r="K219" s="78"/>
      <c r="L219" s="78"/>
      <c r="M219" s="225"/>
      <c r="N219" s="225"/>
    </row>
    <row r="220" spans="1:14" s="55" customFormat="1" ht="11.1" customHeight="1" x14ac:dyDescent="0.2">
      <c r="B220" s="56" t="s">
        <v>281</v>
      </c>
      <c r="C220" s="230" t="s">
        <v>282</v>
      </c>
      <c r="G220" s="131">
        <v>12.4</v>
      </c>
      <c r="H220" s="132">
        <v>345</v>
      </c>
      <c r="I220" s="132">
        <v>1000</v>
      </c>
      <c r="J220" s="135">
        <v>4.5999999999999996</v>
      </c>
      <c r="K220" s="78"/>
      <c r="L220" s="78"/>
      <c r="M220" s="225"/>
      <c r="N220" s="225"/>
    </row>
    <row r="221" spans="1:14" s="141" customFormat="1" ht="11.1" customHeight="1" x14ac:dyDescent="0.2">
      <c r="B221" s="56" t="s">
        <v>283</v>
      </c>
      <c r="C221" s="136" t="s">
        <v>284</v>
      </c>
      <c r="D221" s="55"/>
      <c r="E221" s="55"/>
      <c r="F221" s="55"/>
      <c r="G221" s="131">
        <v>40.1</v>
      </c>
      <c r="H221" s="132">
        <v>1117</v>
      </c>
      <c r="I221" s="132">
        <v>1550</v>
      </c>
      <c r="J221" s="135">
        <v>3.2</v>
      </c>
      <c r="K221" s="78"/>
      <c r="L221" s="78"/>
      <c r="M221" s="225"/>
      <c r="N221" s="225"/>
    </row>
    <row r="222" spans="1:14" s="55" customFormat="1" ht="11.1" customHeight="1" x14ac:dyDescent="0.2">
      <c r="B222" s="56" t="s">
        <v>285</v>
      </c>
      <c r="C222" s="136" t="s">
        <v>286</v>
      </c>
      <c r="G222" s="138" t="s">
        <v>230</v>
      </c>
      <c r="H222" s="139" t="s">
        <v>230</v>
      </c>
      <c r="I222" s="139" t="s">
        <v>230</v>
      </c>
      <c r="J222" s="135" t="s">
        <v>230</v>
      </c>
      <c r="K222" s="78"/>
      <c r="L222" s="78"/>
      <c r="M222" s="225"/>
      <c r="N222" s="225"/>
    </row>
    <row r="223" spans="1:14" ht="3" customHeight="1" x14ac:dyDescent="0.25">
      <c r="B223" s="129"/>
      <c r="C223" s="142"/>
      <c r="D223" s="79"/>
      <c r="E223" s="79"/>
      <c r="F223" s="106"/>
      <c r="G223" s="138"/>
      <c r="H223" s="139"/>
      <c r="I223" s="140"/>
      <c r="J223" s="146"/>
      <c r="K223" s="78"/>
      <c r="L223" s="78"/>
      <c r="M223" s="225"/>
      <c r="N223" s="225"/>
    </row>
    <row r="224" spans="1:14" ht="11.1" customHeight="1" x14ac:dyDescent="0.2">
      <c r="A224" s="80">
        <v>4.2</v>
      </c>
      <c r="B224" s="129" t="s">
        <v>287</v>
      </c>
      <c r="D224" s="79"/>
      <c r="E224" s="79"/>
      <c r="F224" s="79"/>
      <c r="G224" s="131">
        <v>8</v>
      </c>
      <c r="H224" s="132">
        <v>222</v>
      </c>
      <c r="I224" s="132">
        <v>1860</v>
      </c>
      <c r="J224" s="135">
        <v>6.5</v>
      </c>
      <c r="K224" s="78"/>
      <c r="L224" s="78"/>
      <c r="M224" s="225"/>
      <c r="N224" s="225"/>
    </row>
    <row r="225" spans="1:14" s="55" customFormat="1" ht="11.1" customHeight="1" x14ac:dyDescent="0.2">
      <c r="B225" s="56" t="s">
        <v>288</v>
      </c>
      <c r="C225" s="56" t="s">
        <v>289</v>
      </c>
      <c r="G225" s="131">
        <v>1.2</v>
      </c>
      <c r="H225" s="132">
        <v>34</v>
      </c>
      <c r="I225" s="132">
        <v>880</v>
      </c>
      <c r="J225" s="135">
        <v>13</v>
      </c>
      <c r="K225" s="78"/>
      <c r="L225" s="78"/>
      <c r="M225" s="225"/>
      <c r="N225" s="225"/>
    </row>
    <row r="226" spans="1:14" s="55" customFormat="1" ht="11.1" customHeight="1" x14ac:dyDescent="0.2">
      <c r="B226" s="56" t="s">
        <v>290</v>
      </c>
      <c r="C226" s="136" t="s">
        <v>291</v>
      </c>
      <c r="G226" s="131">
        <v>4.7</v>
      </c>
      <c r="H226" s="132">
        <v>131</v>
      </c>
      <c r="I226" s="132">
        <v>870</v>
      </c>
      <c r="J226" s="135">
        <v>7.7</v>
      </c>
      <c r="K226" s="78"/>
      <c r="L226" s="78"/>
      <c r="M226" s="225"/>
      <c r="N226" s="225"/>
    </row>
    <row r="227" spans="1:14" s="55" customFormat="1" ht="11.1" customHeight="1" x14ac:dyDescent="0.2">
      <c r="B227" s="56" t="s">
        <v>292</v>
      </c>
      <c r="C227" s="136" t="s">
        <v>293</v>
      </c>
      <c r="G227" s="131">
        <v>1.2</v>
      </c>
      <c r="H227" s="132">
        <v>34</v>
      </c>
      <c r="I227" s="132">
        <v>410</v>
      </c>
      <c r="J227" s="135">
        <v>9.3000000000000007</v>
      </c>
      <c r="K227" s="78"/>
      <c r="L227" s="78"/>
      <c r="M227" s="225"/>
      <c r="N227" s="225"/>
    </row>
    <row r="228" spans="1:14" s="55" customFormat="1" ht="11.1" customHeight="1" x14ac:dyDescent="0.2">
      <c r="B228" s="56" t="s">
        <v>294</v>
      </c>
      <c r="C228" s="56" t="s">
        <v>295</v>
      </c>
      <c r="G228" s="131">
        <v>0.8</v>
      </c>
      <c r="H228" s="132">
        <v>24</v>
      </c>
      <c r="I228" s="132">
        <v>320</v>
      </c>
      <c r="J228" s="135">
        <v>23.3</v>
      </c>
      <c r="K228" s="78"/>
      <c r="L228" s="78"/>
      <c r="M228" s="225"/>
      <c r="N228" s="225"/>
    </row>
    <row r="229" spans="1:14" s="55" customFormat="1" ht="3" customHeight="1" x14ac:dyDescent="0.2">
      <c r="A229" s="56"/>
      <c r="B229" s="56"/>
      <c r="C229" s="144"/>
      <c r="F229" s="143"/>
      <c r="G229" s="138"/>
      <c r="H229" s="139"/>
      <c r="I229" s="140"/>
      <c r="J229" s="135"/>
      <c r="K229" s="78"/>
      <c r="L229" s="78"/>
      <c r="M229" s="225"/>
      <c r="N229" s="225"/>
    </row>
    <row r="230" spans="1:14" ht="10.5" customHeight="1" x14ac:dyDescent="0.2">
      <c r="A230" s="80">
        <v>4.3</v>
      </c>
      <c r="B230" s="80" t="s">
        <v>296</v>
      </c>
      <c r="D230" s="79"/>
      <c r="E230" s="79"/>
      <c r="F230" s="79"/>
      <c r="G230" s="131">
        <v>10.4</v>
      </c>
      <c r="H230" s="132">
        <v>289</v>
      </c>
      <c r="I230" s="132">
        <v>5100</v>
      </c>
      <c r="J230" s="135">
        <v>2.2999999999999998</v>
      </c>
      <c r="K230" s="78"/>
      <c r="L230" s="78"/>
      <c r="M230" s="225"/>
      <c r="N230" s="225"/>
    </row>
    <row r="231" spans="1:14" s="55" customFormat="1" ht="11.1" customHeight="1" x14ac:dyDescent="0.2">
      <c r="B231" s="56" t="s">
        <v>297</v>
      </c>
      <c r="C231" s="136" t="s">
        <v>298</v>
      </c>
      <c r="G231" s="131">
        <v>8.1999999999999993</v>
      </c>
      <c r="H231" s="132">
        <v>227</v>
      </c>
      <c r="I231" s="132">
        <v>4990</v>
      </c>
      <c r="J231" s="135">
        <v>1</v>
      </c>
      <c r="K231" s="78"/>
      <c r="L231" s="78"/>
      <c r="M231" s="225"/>
      <c r="N231" s="225"/>
    </row>
    <row r="232" spans="1:14" s="55" customFormat="1" ht="11.1" customHeight="1" x14ac:dyDescent="0.2">
      <c r="B232" s="56" t="s">
        <v>299</v>
      </c>
      <c r="C232" s="136" t="s">
        <v>300</v>
      </c>
      <c r="G232" s="131">
        <v>2.1</v>
      </c>
      <c r="H232" s="132">
        <v>60</v>
      </c>
      <c r="I232" s="132">
        <v>610</v>
      </c>
      <c r="J232" s="135">
        <v>10.7</v>
      </c>
      <c r="K232" s="78"/>
      <c r="L232" s="78"/>
      <c r="M232" s="225"/>
      <c r="N232" s="225"/>
    </row>
    <row r="233" spans="1:14" s="141" customFormat="1" ht="11.1" customHeight="1" x14ac:dyDescent="0.2">
      <c r="B233" s="56" t="s">
        <v>301</v>
      </c>
      <c r="C233" s="136" t="s">
        <v>302</v>
      </c>
      <c r="D233" s="55"/>
      <c r="E233" s="55"/>
      <c r="F233" s="55"/>
      <c r="G233" s="131">
        <v>0.1</v>
      </c>
      <c r="H233" s="132">
        <v>2</v>
      </c>
      <c r="I233" s="132">
        <v>30</v>
      </c>
      <c r="J233" s="135">
        <v>31.5</v>
      </c>
      <c r="K233" s="78"/>
      <c r="L233" s="78"/>
      <c r="M233" s="225"/>
      <c r="N233" s="225"/>
    </row>
    <row r="234" spans="1:14" s="55" customFormat="1" ht="3" customHeight="1" x14ac:dyDescent="0.2">
      <c r="A234" s="56"/>
      <c r="B234" s="56"/>
      <c r="C234" s="56"/>
      <c r="G234" s="85"/>
      <c r="H234" s="86"/>
      <c r="I234" s="87"/>
      <c r="J234" s="231"/>
      <c r="K234" s="78"/>
      <c r="L234" s="78"/>
      <c r="M234" s="225"/>
      <c r="N234" s="225"/>
    </row>
    <row r="235" spans="1:14" ht="11.1" customHeight="1" x14ac:dyDescent="0.2">
      <c r="A235" s="80">
        <v>4.4000000000000004</v>
      </c>
      <c r="B235" s="80" t="s">
        <v>303</v>
      </c>
      <c r="D235" s="79"/>
      <c r="E235" s="79"/>
      <c r="F235" s="79"/>
      <c r="G235" s="131">
        <v>24.5</v>
      </c>
      <c r="H235" s="132">
        <v>680</v>
      </c>
      <c r="I235" s="132">
        <v>5400</v>
      </c>
      <c r="J235" s="135">
        <v>0.9</v>
      </c>
      <c r="K235" s="78"/>
      <c r="L235" s="78"/>
      <c r="M235" s="225"/>
      <c r="N235" s="225"/>
    </row>
    <row r="236" spans="1:14" s="55" customFormat="1" ht="11.1" customHeight="1" x14ac:dyDescent="0.2">
      <c r="B236" s="56" t="s">
        <v>304</v>
      </c>
      <c r="C236" s="136" t="s">
        <v>305</v>
      </c>
      <c r="G236" s="131">
        <v>12.5</v>
      </c>
      <c r="H236" s="132">
        <v>347</v>
      </c>
      <c r="I236" s="132">
        <v>5390</v>
      </c>
      <c r="J236" s="135">
        <v>1</v>
      </c>
      <c r="K236" s="78"/>
      <c r="L236" s="78"/>
      <c r="M236" s="225"/>
      <c r="N236" s="225"/>
    </row>
    <row r="237" spans="1:14" s="55" customFormat="1" ht="10.5" customHeight="1" x14ac:dyDescent="0.2">
      <c r="B237" s="56" t="s">
        <v>306</v>
      </c>
      <c r="C237" s="136" t="s">
        <v>307</v>
      </c>
      <c r="G237" s="131">
        <v>10.5</v>
      </c>
      <c r="H237" s="132">
        <v>292</v>
      </c>
      <c r="I237" s="132">
        <v>4470</v>
      </c>
      <c r="J237" s="135">
        <v>1.4</v>
      </c>
      <c r="K237" s="78"/>
      <c r="L237" s="78"/>
      <c r="M237" s="225"/>
      <c r="N237" s="225"/>
    </row>
    <row r="238" spans="1:14" s="55" customFormat="1" ht="3" customHeight="1" x14ac:dyDescent="0.2">
      <c r="A238" s="56"/>
      <c r="B238" s="136"/>
      <c r="G238" s="85"/>
      <c r="H238" s="86"/>
      <c r="I238" s="87"/>
      <c r="J238" s="217"/>
      <c r="K238" s="78"/>
      <c r="L238" s="78"/>
      <c r="M238" s="225"/>
      <c r="N238" s="225"/>
    </row>
    <row r="239" spans="1:14" s="55" customFormat="1" ht="11.1" customHeight="1" x14ac:dyDescent="0.2">
      <c r="B239" s="56" t="s">
        <v>308</v>
      </c>
      <c r="C239" s="136" t="s">
        <v>309</v>
      </c>
      <c r="G239" s="131">
        <v>1.5</v>
      </c>
      <c r="H239" s="132">
        <v>42</v>
      </c>
      <c r="I239" s="132">
        <v>440</v>
      </c>
      <c r="J239" s="135">
        <v>9.5</v>
      </c>
      <c r="K239" s="78"/>
      <c r="L239" s="78"/>
      <c r="M239" s="225"/>
      <c r="N239" s="225"/>
    </row>
    <row r="240" spans="1:14" s="55" customFormat="1" ht="11.1" customHeight="1" x14ac:dyDescent="0.2">
      <c r="B240" s="56"/>
      <c r="C240" s="136" t="s">
        <v>310</v>
      </c>
      <c r="D240" s="55" t="s">
        <v>311</v>
      </c>
      <c r="G240" s="131">
        <v>0.2</v>
      </c>
      <c r="H240" s="132">
        <v>5</v>
      </c>
      <c r="I240" s="132">
        <v>100</v>
      </c>
      <c r="J240" s="135">
        <v>16.2</v>
      </c>
      <c r="K240" s="78"/>
      <c r="L240" s="78"/>
      <c r="M240" s="225"/>
      <c r="N240" s="225"/>
    </row>
    <row r="241" spans="1:14" s="55" customFormat="1" ht="11.1" customHeight="1" x14ac:dyDescent="0.2">
      <c r="B241" s="56"/>
      <c r="C241" s="136" t="s">
        <v>312</v>
      </c>
      <c r="D241" s="55" t="s">
        <v>313</v>
      </c>
      <c r="G241" s="131">
        <v>1.1000000000000001</v>
      </c>
      <c r="H241" s="132">
        <v>29</v>
      </c>
      <c r="I241" s="132">
        <v>280</v>
      </c>
      <c r="J241" s="135">
        <v>8.6999999999999993</v>
      </c>
      <c r="K241" s="78"/>
      <c r="L241" s="78"/>
      <c r="M241" s="225"/>
      <c r="N241" s="225"/>
    </row>
    <row r="242" spans="1:14" s="55" customFormat="1" ht="11.1" customHeight="1" x14ac:dyDescent="0.2">
      <c r="B242" s="56"/>
      <c r="C242" s="56" t="s">
        <v>314</v>
      </c>
      <c r="D242" s="56" t="s">
        <v>315</v>
      </c>
      <c r="G242" s="131">
        <v>0.3</v>
      </c>
      <c r="H242" s="132">
        <v>7</v>
      </c>
      <c r="I242" s="132">
        <v>100</v>
      </c>
      <c r="J242" s="135">
        <v>36.9</v>
      </c>
      <c r="K242" s="78"/>
      <c r="L242" s="78"/>
      <c r="M242" s="225"/>
      <c r="N242" s="225"/>
    </row>
    <row r="243" spans="1:14" s="55" customFormat="1" ht="4.05" customHeight="1" x14ac:dyDescent="0.2">
      <c r="A243" s="45"/>
      <c r="B243" s="45"/>
      <c r="C243" s="226"/>
      <c r="D243" s="47"/>
      <c r="E243" s="47"/>
      <c r="F243" s="232"/>
      <c r="G243" s="152"/>
      <c r="H243" s="153"/>
      <c r="I243" s="154"/>
      <c r="J243" s="155"/>
      <c r="K243" s="78"/>
      <c r="L243" s="78"/>
      <c r="M243" s="225"/>
      <c r="N243" s="225"/>
    </row>
    <row r="244" spans="1:14" s="55" customFormat="1" ht="4.05" customHeight="1" x14ac:dyDescent="0.2">
      <c r="A244" s="56"/>
      <c r="B244" s="56"/>
      <c r="C244" s="144"/>
      <c r="F244" s="143"/>
      <c r="G244" s="138"/>
      <c r="H244" s="139"/>
      <c r="I244" s="140"/>
      <c r="J244" s="135"/>
      <c r="K244" s="78"/>
      <c r="L244" s="78"/>
      <c r="M244" s="225"/>
      <c r="N244" s="225"/>
    </row>
    <row r="245" spans="1:14" ht="12.75" customHeight="1" x14ac:dyDescent="0.25">
      <c r="A245" s="188">
        <v>5</v>
      </c>
      <c r="B245" s="120" t="s">
        <v>316</v>
      </c>
      <c r="C245" s="233"/>
      <c r="D245" s="121"/>
      <c r="E245" s="121"/>
      <c r="F245" s="200"/>
      <c r="G245" s="123">
        <v>36.5</v>
      </c>
      <c r="H245" s="124">
        <v>1016</v>
      </c>
      <c r="I245" s="124">
        <v>5120</v>
      </c>
      <c r="J245" s="125">
        <v>3.1</v>
      </c>
      <c r="K245" s="78"/>
      <c r="L245" s="78"/>
      <c r="M245" s="225"/>
      <c r="N245" s="225"/>
    </row>
    <row r="246" spans="1:14" ht="6" customHeight="1" x14ac:dyDescent="0.2">
      <c r="A246" s="186"/>
      <c r="B246" s="193"/>
      <c r="C246" s="234"/>
      <c r="D246" s="128"/>
      <c r="E246" s="128"/>
      <c r="F246" s="78"/>
      <c r="G246" s="131"/>
      <c r="H246" s="132"/>
      <c r="I246" s="133"/>
      <c r="J246" s="135"/>
      <c r="K246" s="78"/>
      <c r="L246" s="78"/>
      <c r="M246" s="225"/>
      <c r="N246" s="225"/>
    </row>
    <row r="247" spans="1:14" ht="11.1" customHeight="1" x14ac:dyDescent="0.2">
      <c r="A247" s="80">
        <v>5.0999999999999996</v>
      </c>
      <c r="B247" s="129" t="s">
        <v>317</v>
      </c>
      <c r="C247" s="201"/>
      <c r="D247" s="80"/>
      <c r="E247" s="80"/>
      <c r="F247" s="157"/>
      <c r="G247" s="131">
        <v>20.100000000000001</v>
      </c>
      <c r="H247" s="132">
        <v>560</v>
      </c>
      <c r="I247" s="132">
        <v>2250</v>
      </c>
      <c r="J247" s="135">
        <v>5.0999999999999996</v>
      </c>
      <c r="K247" s="78"/>
      <c r="L247" s="78"/>
      <c r="M247" s="225"/>
      <c r="N247" s="225"/>
    </row>
    <row r="248" spans="1:14" ht="11.1" customHeight="1" x14ac:dyDescent="0.2">
      <c r="A248" s="56"/>
      <c r="B248" s="56" t="s">
        <v>318</v>
      </c>
      <c r="C248" s="136" t="s">
        <v>319</v>
      </c>
      <c r="D248" s="144"/>
      <c r="E248" s="56"/>
      <c r="F248" s="143"/>
      <c r="G248" s="131">
        <v>16.600000000000001</v>
      </c>
      <c r="H248" s="132">
        <v>461</v>
      </c>
      <c r="I248" s="132">
        <v>2020</v>
      </c>
      <c r="J248" s="135">
        <v>5.3</v>
      </c>
      <c r="K248" s="78"/>
      <c r="L248" s="78"/>
      <c r="M248" s="225"/>
      <c r="N248" s="225"/>
    </row>
    <row r="249" spans="1:14" ht="11.1" customHeight="1" x14ac:dyDescent="0.2">
      <c r="B249" s="129"/>
      <c r="C249" s="136" t="s">
        <v>320</v>
      </c>
      <c r="D249" s="56" t="s">
        <v>321</v>
      </c>
      <c r="E249" s="56"/>
      <c r="F249" s="143"/>
      <c r="G249" s="131">
        <v>15</v>
      </c>
      <c r="H249" s="132">
        <v>418</v>
      </c>
      <c r="I249" s="132">
        <v>1470</v>
      </c>
      <c r="J249" s="135">
        <v>5.6</v>
      </c>
      <c r="K249" s="78"/>
      <c r="L249" s="78"/>
      <c r="M249" s="225"/>
      <c r="N249" s="225"/>
    </row>
    <row r="250" spans="1:14" s="141" customFormat="1" ht="11.1" customHeight="1" x14ac:dyDescent="0.2">
      <c r="A250" s="186"/>
      <c r="B250" s="129"/>
      <c r="C250" s="136" t="s">
        <v>322</v>
      </c>
      <c r="D250" s="56" t="s">
        <v>323</v>
      </c>
      <c r="E250" s="56"/>
      <c r="F250" s="143"/>
      <c r="G250" s="131">
        <v>1</v>
      </c>
      <c r="H250" s="132">
        <v>27</v>
      </c>
      <c r="I250" s="132">
        <v>780</v>
      </c>
      <c r="J250" s="135">
        <v>7.7</v>
      </c>
      <c r="K250" s="78"/>
      <c r="L250" s="78"/>
      <c r="M250" s="225"/>
      <c r="N250" s="225"/>
    </row>
    <row r="251" spans="1:14" ht="11.1" customHeight="1" x14ac:dyDescent="0.2">
      <c r="A251" s="79"/>
      <c r="B251" s="79"/>
      <c r="C251" s="136" t="s">
        <v>324</v>
      </c>
      <c r="D251" s="56" t="s">
        <v>325</v>
      </c>
      <c r="E251" s="56"/>
      <c r="F251" s="143"/>
      <c r="G251" s="131">
        <v>0.6</v>
      </c>
      <c r="H251" s="132">
        <v>17</v>
      </c>
      <c r="I251" s="132">
        <v>60</v>
      </c>
      <c r="J251" s="135">
        <v>42.1</v>
      </c>
      <c r="K251" s="78"/>
      <c r="L251" s="78"/>
      <c r="M251" s="225"/>
      <c r="N251" s="225"/>
    </row>
    <row r="252" spans="1:14" ht="3" customHeight="1" x14ac:dyDescent="0.25">
      <c r="B252" s="129"/>
      <c r="C252" s="142"/>
      <c r="D252" s="79"/>
      <c r="E252" s="79"/>
      <c r="F252" s="106"/>
      <c r="G252" s="138"/>
      <c r="H252" s="139"/>
      <c r="I252" s="140"/>
      <c r="J252" s="146"/>
      <c r="K252" s="78"/>
      <c r="L252" s="78"/>
      <c r="M252" s="225"/>
      <c r="N252" s="225"/>
    </row>
    <row r="253" spans="1:14" ht="11.1" customHeight="1" x14ac:dyDescent="0.2">
      <c r="A253" s="79"/>
      <c r="B253" s="56" t="s">
        <v>326</v>
      </c>
      <c r="C253" s="136" t="s">
        <v>327</v>
      </c>
      <c r="D253" s="144"/>
      <c r="E253" s="56"/>
      <c r="F253" s="143"/>
      <c r="G253" s="131">
        <v>3.5</v>
      </c>
      <c r="H253" s="132">
        <v>98</v>
      </c>
      <c r="I253" s="132">
        <v>620</v>
      </c>
      <c r="J253" s="135">
        <v>8.8000000000000007</v>
      </c>
      <c r="K253" s="78"/>
      <c r="L253" s="78"/>
      <c r="M253" s="225"/>
      <c r="N253" s="225"/>
    </row>
    <row r="254" spans="1:14" s="55" customFormat="1" ht="11.1" customHeight="1" x14ac:dyDescent="0.2">
      <c r="B254" s="56"/>
      <c r="C254" s="136" t="s">
        <v>328</v>
      </c>
      <c r="D254" s="144" t="s">
        <v>329</v>
      </c>
      <c r="E254" s="56"/>
      <c r="F254" s="143"/>
      <c r="G254" s="131">
        <v>3.2</v>
      </c>
      <c r="H254" s="132">
        <v>88</v>
      </c>
      <c r="I254" s="132">
        <v>590</v>
      </c>
      <c r="J254" s="135">
        <v>9</v>
      </c>
      <c r="K254" s="78"/>
      <c r="L254" s="78"/>
      <c r="M254" s="225"/>
      <c r="N254" s="225"/>
    </row>
    <row r="255" spans="1:14" s="55" customFormat="1" ht="11.1" customHeight="1" x14ac:dyDescent="0.2">
      <c r="A255" s="56"/>
      <c r="B255" s="56"/>
      <c r="C255" s="56" t="s">
        <v>330</v>
      </c>
      <c r="D255" s="144" t="s">
        <v>331</v>
      </c>
      <c r="E255" s="56"/>
      <c r="F255" s="143"/>
      <c r="G255" s="131">
        <v>0.4</v>
      </c>
      <c r="H255" s="132">
        <v>10</v>
      </c>
      <c r="I255" s="132">
        <v>40</v>
      </c>
      <c r="J255" s="135">
        <v>29.9</v>
      </c>
      <c r="K255" s="78"/>
      <c r="L255" s="78"/>
      <c r="M255" s="225"/>
      <c r="N255" s="225"/>
    </row>
    <row r="256" spans="1:14" s="55" customFormat="1" ht="3" customHeight="1" x14ac:dyDescent="0.2">
      <c r="A256" s="56"/>
      <c r="B256" s="56"/>
      <c r="C256" s="56"/>
      <c r="D256" s="56"/>
      <c r="E256" s="56"/>
      <c r="F256" s="143"/>
      <c r="G256" s="138"/>
      <c r="H256" s="139"/>
      <c r="I256" s="140"/>
      <c r="J256" s="135"/>
      <c r="K256" s="78"/>
      <c r="L256" s="78"/>
      <c r="M256" s="225"/>
      <c r="N256" s="225"/>
    </row>
    <row r="257" spans="1:14" s="55" customFormat="1" ht="11.1" customHeight="1" x14ac:dyDescent="0.2">
      <c r="A257" s="80">
        <v>5.2</v>
      </c>
      <c r="B257" s="80" t="s">
        <v>332</v>
      </c>
      <c r="C257" s="80"/>
      <c r="D257" s="80"/>
      <c r="E257" s="80"/>
      <c r="F257" s="79"/>
      <c r="G257" s="131">
        <v>2</v>
      </c>
      <c r="H257" s="132">
        <v>54</v>
      </c>
      <c r="I257" s="132">
        <v>1070</v>
      </c>
      <c r="J257" s="135">
        <v>7.6</v>
      </c>
      <c r="K257" s="78"/>
      <c r="L257" s="78"/>
      <c r="M257" s="225"/>
      <c r="N257" s="225"/>
    </row>
    <row r="258" spans="1:14" s="55" customFormat="1" ht="11.1" customHeight="1" x14ac:dyDescent="0.2">
      <c r="A258" s="56"/>
      <c r="B258" s="56" t="s">
        <v>333</v>
      </c>
      <c r="C258" s="56" t="s">
        <v>334</v>
      </c>
      <c r="D258" s="56"/>
      <c r="E258" s="56"/>
      <c r="G258" s="131">
        <v>0.8</v>
      </c>
      <c r="H258" s="132">
        <v>23</v>
      </c>
      <c r="I258" s="132">
        <v>420</v>
      </c>
      <c r="J258" s="135">
        <v>7.9</v>
      </c>
      <c r="K258" s="78"/>
      <c r="L258" s="78"/>
      <c r="M258" s="225"/>
      <c r="N258" s="225"/>
    </row>
    <row r="259" spans="1:14" s="143" customFormat="1" ht="11.1" customHeight="1" x14ac:dyDescent="0.2">
      <c r="A259" s="56"/>
      <c r="B259" s="56" t="s">
        <v>335</v>
      </c>
      <c r="C259" s="56" t="s">
        <v>336</v>
      </c>
      <c r="D259" s="56"/>
      <c r="E259" s="56"/>
      <c r="F259" s="55"/>
      <c r="G259" s="131">
        <v>1.1000000000000001</v>
      </c>
      <c r="H259" s="132">
        <v>31</v>
      </c>
      <c r="I259" s="132">
        <v>1070</v>
      </c>
      <c r="J259" s="135">
        <v>11.3</v>
      </c>
      <c r="K259" s="78"/>
      <c r="L259" s="78"/>
      <c r="M259" s="225"/>
      <c r="N259" s="225"/>
    </row>
    <row r="260" spans="1:14" s="143" customFormat="1" ht="4.05" customHeight="1" x14ac:dyDescent="0.2">
      <c r="A260" s="232"/>
      <c r="B260" s="232"/>
      <c r="C260" s="235"/>
      <c r="D260" s="236"/>
      <c r="E260" s="236"/>
      <c r="F260" s="232"/>
      <c r="G260" s="283"/>
      <c r="H260" s="284"/>
      <c r="I260" s="285"/>
      <c r="J260" s="240"/>
      <c r="K260" s="218"/>
      <c r="L260" s="65"/>
    </row>
    <row r="261" spans="1:14" s="143" customFormat="1" ht="4.05" customHeight="1" x14ac:dyDescent="0.2">
      <c r="C261" s="234"/>
      <c r="D261" s="128"/>
      <c r="E261" s="128"/>
      <c r="G261" s="241"/>
      <c r="H261" s="242"/>
      <c r="I261" s="243"/>
      <c r="J261" s="244"/>
      <c r="K261" s="218"/>
      <c r="L261" s="65"/>
    </row>
    <row r="262" spans="1:14" s="143" customFormat="1" ht="11.1" customHeight="1" x14ac:dyDescent="0.2">
      <c r="A262" s="157" t="s">
        <v>111</v>
      </c>
      <c r="B262" s="56"/>
      <c r="C262" s="56"/>
      <c r="D262" s="55"/>
      <c r="E262" s="137"/>
      <c r="F262" s="142"/>
      <c r="G262" s="241"/>
      <c r="H262" s="242"/>
      <c r="I262" s="243"/>
      <c r="J262" s="244"/>
      <c r="K262" s="218"/>
      <c r="L262" s="65"/>
    </row>
    <row r="263" spans="1:14" s="143" customFormat="1" ht="11.1" customHeight="1" x14ac:dyDescent="0.2">
      <c r="A263" s="157" t="s">
        <v>182</v>
      </c>
      <c r="B263" s="56"/>
      <c r="C263" s="56"/>
      <c r="D263" s="55"/>
      <c r="E263" s="137"/>
      <c r="F263" s="142"/>
      <c r="G263" s="241"/>
      <c r="H263" s="242"/>
      <c r="I263" s="243"/>
      <c r="J263" s="244"/>
      <c r="K263" s="218"/>
      <c r="L263" s="65"/>
    </row>
    <row r="264" spans="1:14" s="143" customFormat="1" ht="11.1" customHeight="1" x14ac:dyDescent="0.2">
      <c r="A264" s="157" t="s">
        <v>112</v>
      </c>
      <c r="B264" s="56"/>
      <c r="C264" s="56"/>
      <c r="D264" s="55"/>
      <c r="E264" s="137"/>
      <c r="F264" s="142"/>
      <c r="G264" s="241"/>
      <c r="H264" s="242"/>
      <c r="I264" s="243"/>
      <c r="J264" s="244"/>
      <c r="K264" s="218"/>
      <c r="L264" s="65"/>
    </row>
    <row r="265" spans="1:14" s="143" customFormat="1" ht="13.5" customHeight="1" x14ac:dyDescent="0.2">
      <c r="A265" s="157" t="s">
        <v>337</v>
      </c>
      <c r="C265" s="234"/>
      <c r="D265" s="128"/>
      <c r="E265" s="128"/>
      <c r="G265" s="241"/>
      <c r="H265" s="242"/>
      <c r="I265" s="243"/>
      <c r="J265" s="244"/>
      <c r="K265" s="218"/>
      <c r="L265" s="65"/>
    </row>
    <row r="266" spans="1:14" s="143" customFormat="1" ht="13.5" customHeight="1" x14ac:dyDescent="0.2">
      <c r="A266" s="157" t="s">
        <v>338</v>
      </c>
      <c r="B266" s="206"/>
      <c r="C266" s="79"/>
      <c r="D266" s="79"/>
      <c r="E266" s="79"/>
      <c r="G266" s="241"/>
      <c r="H266" s="242"/>
      <c r="I266" s="243"/>
      <c r="J266" s="244"/>
      <c r="K266" s="218"/>
      <c r="L266" s="65"/>
    </row>
    <row r="267" spans="1:14" s="143" customFormat="1" ht="11.1" customHeight="1" x14ac:dyDescent="0.2">
      <c r="C267" s="234"/>
      <c r="D267" s="128"/>
      <c r="E267" s="128"/>
      <c r="G267" s="241"/>
      <c r="H267" s="242"/>
      <c r="I267" s="243"/>
      <c r="J267" s="244"/>
      <c r="K267" s="218"/>
      <c r="L267" s="65"/>
    </row>
    <row r="268" spans="1:14" s="143" customFormat="1" ht="11.1" customHeight="1" x14ac:dyDescent="0.2">
      <c r="A268" s="158"/>
      <c r="C268" s="234"/>
      <c r="D268" s="128"/>
      <c r="E268" s="128"/>
      <c r="G268" s="241"/>
      <c r="H268" s="242"/>
      <c r="I268" s="243"/>
      <c r="J268" s="244"/>
      <c r="K268" s="218"/>
      <c r="L268" s="65"/>
    </row>
    <row r="269" spans="1:14" s="143" customFormat="1" ht="11.1" customHeight="1" x14ac:dyDescent="0.2">
      <c r="A269" s="158"/>
      <c r="C269" s="234"/>
      <c r="D269" s="128"/>
      <c r="E269" s="128"/>
      <c r="G269" s="241"/>
      <c r="H269" s="242"/>
      <c r="I269" s="243"/>
      <c r="J269" s="244"/>
      <c r="K269" s="218"/>
      <c r="L269" s="65"/>
    </row>
    <row r="270" spans="1:14" s="143" customFormat="1" ht="11.1" customHeight="1" x14ac:dyDescent="0.2">
      <c r="A270" s="158"/>
      <c r="C270" s="234"/>
      <c r="D270" s="128"/>
      <c r="E270" s="128"/>
      <c r="G270" s="241"/>
      <c r="H270" s="242"/>
      <c r="I270" s="243"/>
      <c r="J270" s="244"/>
      <c r="K270" s="218"/>
      <c r="L270" s="65"/>
    </row>
    <row r="271" spans="1:14" s="143" customFormat="1" ht="15.75" customHeight="1" x14ac:dyDescent="0.2">
      <c r="A271" s="159" t="s">
        <v>114</v>
      </c>
      <c r="B271" s="193"/>
      <c r="C271" s="234"/>
      <c r="D271" s="128"/>
      <c r="E271" s="128"/>
      <c r="G271" s="241"/>
      <c r="H271" s="242"/>
      <c r="I271" s="243"/>
      <c r="K271" s="218"/>
      <c r="L271" s="65"/>
    </row>
    <row r="272" spans="1:14" s="31" customFormat="1" ht="20.25" customHeight="1" x14ac:dyDescent="0.3">
      <c r="A272" s="160" t="s">
        <v>183</v>
      </c>
      <c r="B272" s="161"/>
      <c r="D272" s="32"/>
      <c r="E272" s="32"/>
      <c r="F272" s="33"/>
      <c r="G272" s="34"/>
      <c r="H272" s="35"/>
      <c r="I272" s="36"/>
      <c r="J272" s="246"/>
      <c r="K272" s="37"/>
      <c r="L272" s="65"/>
    </row>
    <row r="273" spans="1:14" ht="15.75" customHeight="1" x14ac:dyDescent="0.25">
      <c r="A273" s="41" t="s">
        <v>969</v>
      </c>
      <c r="B273" s="81"/>
      <c r="C273" s="192"/>
      <c r="D273" s="247"/>
      <c r="L273" s="65"/>
    </row>
    <row r="274" spans="1:14" ht="4.05" customHeight="1" x14ac:dyDescent="0.3">
      <c r="A274" s="248"/>
      <c r="B274" s="71"/>
      <c r="C274" s="72"/>
      <c r="D274" s="73"/>
      <c r="E274" s="73"/>
      <c r="F274" s="73"/>
      <c r="G274" s="101"/>
      <c r="H274" s="102"/>
      <c r="I274" s="103"/>
      <c r="J274" s="77"/>
      <c r="L274" s="65"/>
    </row>
    <row r="275" spans="1:14" s="55" customFormat="1" ht="4.05" customHeight="1" x14ac:dyDescent="0.2">
      <c r="A275" s="81"/>
      <c r="B275" s="81"/>
      <c r="D275" s="84"/>
      <c r="E275" s="84"/>
      <c r="F275" s="84"/>
      <c r="G275" s="249"/>
      <c r="H275" s="250"/>
      <c r="I275" s="251"/>
      <c r="J275" s="252"/>
      <c r="K275" s="53"/>
      <c r="L275" s="65"/>
    </row>
    <row r="276" spans="1:14" s="180" customFormat="1" ht="11.1" customHeight="1" x14ac:dyDescent="0.15">
      <c r="A276" s="172"/>
      <c r="B276" s="172"/>
      <c r="C276" s="173"/>
      <c r="D276" s="174"/>
      <c r="E276" s="174"/>
      <c r="F276" s="59"/>
      <c r="G276" s="60" t="s">
        <v>116</v>
      </c>
      <c r="H276" s="61" t="s">
        <v>25</v>
      </c>
      <c r="I276" s="62" t="s">
        <v>26</v>
      </c>
      <c r="J276" s="63" t="s">
        <v>117</v>
      </c>
      <c r="K276" s="179"/>
      <c r="L276" s="65"/>
    </row>
    <row r="277" spans="1:14" s="180" customFormat="1" ht="11.1" customHeight="1" x14ac:dyDescent="0.15">
      <c r="A277" s="172"/>
      <c r="B277" s="172"/>
      <c r="C277" s="181"/>
      <c r="D277" s="174"/>
      <c r="E277" s="174"/>
      <c r="F277" s="59"/>
      <c r="G277" s="67" t="s">
        <v>29</v>
      </c>
      <c r="H277" s="61" t="s">
        <v>27</v>
      </c>
      <c r="I277" s="62" t="s">
        <v>28</v>
      </c>
      <c r="J277" s="63" t="s">
        <v>118</v>
      </c>
      <c r="K277" s="253"/>
      <c r="L277" s="65"/>
    </row>
    <row r="278" spans="1:14" s="180" customFormat="1" ht="11.1" customHeight="1" x14ac:dyDescent="0.15">
      <c r="A278" s="172"/>
      <c r="B278" s="172"/>
      <c r="C278" s="181"/>
      <c r="D278" s="174"/>
      <c r="E278" s="174"/>
      <c r="F278" s="59"/>
      <c r="G278" s="60" t="s">
        <v>31</v>
      </c>
      <c r="H278" s="61" t="s">
        <v>29</v>
      </c>
      <c r="I278" s="62" t="s">
        <v>30</v>
      </c>
      <c r="J278" s="69" t="s">
        <v>119</v>
      </c>
      <c r="K278" s="253"/>
      <c r="L278" s="65"/>
    </row>
    <row r="279" spans="1:14" s="180" customFormat="1" ht="11.1" customHeight="1" x14ac:dyDescent="0.15">
      <c r="A279" s="172"/>
      <c r="B279" s="172"/>
      <c r="C279" s="181"/>
      <c r="D279" s="174"/>
      <c r="E279" s="174"/>
      <c r="F279" s="59"/>
      <c r="G279" s="67" t="s">
        <v>32</v>
      </c>
      <c r="H279" s="61" t="s">
        <v>33</v>
      </c>
      <c r="I279" s="62" t="s">
        <v>120</v>
      </c>
      <c r="J279" s="70" t="s">
        <v>121</v>
      </c>
      <c r="K279" s="179"/>
      <c r="L279" s="65"/>
    </row>
    <row r="280" spans="1:14" ht="4.05" customHeight="1" x14ac:dyDescent="0.2">
      <c r="A280" s="71"/>
      <c r="B280" s="71"/>
      <c r="C280" s="72"/>
      <c r="D280" s="73"/>
      <c r="E280" s="73"/>
      <c r="F280" s="73"/>
      <c r="G280" s="101"/>
      <c r="H280" s="102"/>
      <c r="I280" s="103"/>
      <c r="J280" s="73"/>
      <c r="L280" s="65"/>
    </row>
    <row r="281" spans="1:14" ht="4.05" customHeight="1" x14ac:dyDescent="0.2">
      <c r="B281" s="81"/>
      <c r="C281" s="82"/>
      <c r="D281" s="83"/>
      <c r="E281" s="83"/>
      <c r="F281" s="84"/>
      <c r="G281" s="85"/>
      <c r="H281" s="86"/>
      <c r="I281" s="87"/>
      <c r="J281" s="83"/>
      <c r="L281" s="65"/>
    </row>
    <row r="282" spans="1:14" s="93" customFormat="1" ht="11.1" customHeight="1" x14ac:dyDescent="0.2">
      <c r="A282" s="111" t="s">
        <v>123</v>
      </c>
      <c r="B282" s="112"/>
      <c r="C282" s="113"/>
      <c r="F282" s="114" t="s">
        <v>124</v>
      </c>
      <c r="G282" s="115"/>
      <c r="H282" s="116"/>
      <c r="I282" s="117"/>
      <c r="K282" s="53"/>
      <c r="L282" s="185"/>
    </row>
    <row r="283" spans="1:14" s="128" customFormat="1" ht="4.05" customHeight="1" x14ac:dyDescent="0.2">
      <c r="A283" s="186"/>
      <c r="B283" s="186"/>
      <c r="C283" s="187"/>
      <c r="D283" s="79"/>
      <c r="E283" s="79"/>
      <c r="G283" s="107"/>
      <c r="H283" s="108"/>
      <c r="I283" s="109"/>
      <c r="J283" s="110"/>
      <c r="K283" s="53"/>
      <c r="L283" s="65"/>
    </row>
    <row r="284" spans="1:14" s="55" customFormat="1" ht="12.75" customHeight="1" x14ac:dyDescent="0.2">
      <c r="A284" s="188">
        <v>5</v>
      </c>
      <c r="B284" s="120" t="s">
        <v>339</v>
      </c>
      <c r="C284" s="254"/>
      <c r="D284" s="254"/>
      <c r="E284" s="254"/>
      <c r="G284" s="249"/>
      <c r="H284" s="250"/>
      <c r="J284" s="244"/>
      <c r="K284" s="218"/>
      <c r="L284" s="65"/>
    </row>
    <row r="285" spans="1:14" s="55" customFormat="1" ht="6" customHeight="1" x14ac:dyDescent="0.2">
      <c r="A285" s="56"/>
      <c r="B285" s="56"/>
      <c r="C285" s="144"/>
      <c r="D285" s="56"/>
      <c r="E285" s="56"/>
      <c r="F285" s="143"/>
      <c r="G285" s="241"/>
      <c r="H285" s="242"/>
      <c r="I285" s="243"/>
      <c r="J285" s="244"/>
      <c r="K285" s="218"/>
      <c r="L285" s="65"/>
    </row>
    <row r="286" spans="1:14" ht="11.1" customHeight="1" x14ac:dyDescent="0.2">
      <c r="A286" s="80">
        <v>5.3</v>
      </c>
      <c r="B286" s="80" t="s">
        <v>340</v>
      </c>
      <c r="C286" s="80"/>
      <c r="D286" s="80"/>
      <c r="E286" s="80"/>
      <c r="F286" s="79"/>
      <c r="G286" s="131">
        <v>2.9</v>
      </c>
      <c r="H286" s="132">
        <v>79</v>
      </c>
      <c r="I286" s="132">
        <v>430</v>
      </c>
      <c r="J286" s="135">
        <v>9.1</v>
      </c>
      <c r="K286" s="78"/>
      <c r="L286" s="78"/>
      <c r="M286" s="255"/>
      <c r="N286" s="255"/>
    </row>
    <row r="287" spans="1:14" s="55" customFormat="1" ht="11.1" customHeight="1" x14ac:dyDescent="0.2">
      <c r="A287" s="56"/>
      <c r="B287" s="56" t="s">
        <v>341</v>
      </c>
      <c r="C287" s="56" t="s">
        <v>342</v>
      </c>
      <c r="D287" s="56"/>
      <c r="E287" s="56"/>
      <c r="G287" s="138" t="s">
        <v>230</v>
      </c>
      <c r="H287" s="139" t="s">
        <v>230</v>
      </c>
      <c r="I287" s="139" t="s">
        <v>230</v>
      </c>
      <c r="J287" s="135" t="s">
        <v>230</v>
      </c>
      <c r="K287" s="78"/>
      <c r="L287" s="78"/>
      <c r="M287" s="255"/>
      <c r="N287" s="255"/>
    </row>
    <row r="288" spans="1:14" s="55" customFormat="1" ht="11.1" customHeight="1" x14ac:dyDescent="0.2">
      <c r="A288" s="56"/>
      <c r="B288" s="56" t="s">
        <v>343</v>
      </c>
      <c r="C288" s="56" t="s">
        <v>344</v>
      </c>
      <c r="D288" s="56"/>
      <c r="E288" s="56"/>
      <c r="G288" s="256">
        <v>0.1</v>
      </c>
      <c r="H288" s="203">
        <v>41</v>
      </c>
      <c r="I288" s="132">
        <v>20</v>
      </c>
      <c r="J288" s="135">
        <v>61.9</v>
      </c>
      <c r="K288" s="78"/>
      <c r="L288" s="78"/>
      <c r="M288" s="255"/>
      <c r="N288" s="255"/>
    </row>
    <row r="289" spans="1:14" s="55" customFormat="1" ht="11.1" customHeight="1" x14ac:dyDescent="0.2">
      <c r="A289" s="56"/>
      <c r="B289" s="56" t="s">
        <v>345</v>
      </c>
      <c r="C289" s="56" t="s">
        <v>346</v>
      </c>
      <c r="D289" s="56"/>
      <c r="E289" s="56"/>
      <c r="G289" s="131">
        <v>0.5</v>
      </c>
      <c r="H289" s="132">
        <v>14</v>
      </c>
      <c r="I289" s="132">
        <v>40</v>
      </c>
      <c r="J289" s="135">
        <v>27.4</v>
      </c>
      <c r="K289" s="78"/>
      <c r="L289" s="78"/>
      <c r="M289" s="255"/>
      <c r="N289" s="255"/>
    </row>
    <row r="290" spans="1:14" s="55" customFormat="1" ht="11.1" customHeight="1" x14ac:dyDescent="0.2">
      <c r="A290" s="56"/>
      <c r="B290" s="56" t="s">
        <v>347</v>
      </c>
      <c r="C290" s="56" t="s">
        <v>348</v>
      </c>
      <c r="D290" s="56"/>
      <c r="E290" s="56"/>
      <c r="G290" s="131">
        <v>0.3</v>
      </c>
      <c r="H290" s="132">
        <v>8</v>
      </c>
      <c r="I290" s="132">
        <v>30</v>
      </c>
      <c r="J290" s="135">
        <v>38.200000000000003</v>
      </c>
      <c r="K290" s="78"/>
      <c r="L290" s="78"/>
      <c r="M290" s="255"/>
      <c r="N290" s="255"/>
    </row>
    <row r="291" spans="1:14" s="55" customFormat="1" ht="11.1" customHeight="1" x14ac:dyDescent="0.2">
      <c r="A291" s="56"/>
      <c r="B291" s="56" t="s">
        <v>349</v>
      </c>
      <c r="C291" s="56" t="s">
        <v>350</v>
      </c>
      <c r="D291" s="56"/>
      <c r="E291" s="56"/>
      <c r="G291" s="85"/>
      <c r="H291" s="108"/>
      <c r="I291" s="253"/>
      <c r="J291" s="231"/>
      <c r="K291" s="78"/>
      <c r="L291" s="78"/>
      <c r="M291" s="255"/>
      <c r="N291" s="255"/>
    </row>
    <row r="292" spans="1:14" s="55" customFormat="1" ht="11.1" customHeight="1" x14ac:dyDescent="0.2">
      <c r="A292" s="56"/>
      <c r="B292" s="56"/>
      <c r="C292" s="56" t="s">
        <v>351</v>
      </c>
      <c r="D292" s="56"/>
      <c r="E292" s="56"/>
      <c r="G292" s="131">
        <v>1.1000000000000001</v>
      </c>
      <c r="H292" s="132">
        <v>30</v>
      </c>
      <c r="I292" s="132">
        <v>170</v>
      </c>
      <c r="J292" s="135">
        <v>12</v>
      </c>
      <c r="K292" s="78"/>
      <c r="L292" s="78"/>
      <c r="M292" s="255"/>
      <c r="N292" s="255"/>
    </row>
    <row r="293" spans="1:14" s="55" customFormat="1" ht="11.1" customHeight="1" x14ac:dyDescent="0.2">
      <c r="A293" s="56"/>
      <c r="B293" s="56" t="s">
        <v>352</v>
      </c>
      <c r="C293" s="56" t="s">
        <v>353</v>
      </c>
      <c r="D293" s="56"/>
      <c r="E293" s="56"/>
      <c r="G293" s="256">
        <v>0.1</v>
      </c>
      <c r="H293" s="203">
        <v>3</v>
      </c>
      <c r="I293" s="132">
        <v>10</v>
      </c>
      <c r="J293" s="135">
        <v>81</v>
      </c>
      <c r="K293" s="78"/>
      <c r="L293" s="78"/>
      <c r="M293" s="255"/>
      <c r="N293" s="255"/>
    </row>
    <row r="294" spans="1:14" s="55" customFormat="1" ht="11.1" customHeight="1" x14ac:dyDescent="0.2">
      <c r="A294" s="56"/>
      <c r="B294" s="56" t="s">
        <v>354</v>
      </c>
      <c r="C294" s="136" t="s">
        <v>355</v>
      </c>
      <c r="D294" s="56"/>
      <c r="E294" s="56"/>
      <c r="G294" s="131">
        <v>0.5</v>
      </c>
      <c r="H294" s="132">
        <v>13</v>
      </c>
      <c r="I294" s="132">
        <v>150</v>
      </c>
      <c r="J294" s="135">
        <v>13.8</v>
      </c>
      <c r="K294" s="78"/>
      <c r="L294" s="78"/>
      <c r="M294" s="255"/>
      <c r="N294" s="255"/>
    </row>
    <row r="295" spans="1:14" s="55" customFormat="1" ht="11.1" customHeight="1" x14ac:dyDescent="0.2">
      <c r="A295" s="56"/>
      <c r="B295" s="56" t="s">
        <v>356</v>
      </c>
      <c r="C295" s="136" t="s">
        <v>357</v>
      </c>
      <c r="D295" s="56"/>
      <c r="E295" s="56"/>
      <c r="G295" s="131">
        <v>0.3</v>
      </c>
      <c r="H295" s="132">
        <v>7</v>
      </c>
      <c r="I295" s="132">
        <v>40</v>
      </c>
      <c r="J295" s="135">
        <v>23.6</v>
      </c>
      <c r="K295" s="78"/>
      <c r="L295" s="78"/>
      <c r="M295" s="255"/>
      <c r="N295" s="255"/>
    </row>
    <row r="296" spans="1:14" s="55" customFormat="1" ht="11.1" customHeight="1" x14ac:dyDescent="0.2">
      <c r="A296" s="56"/>
      <c r="B296" s="56" t="s">
        <v>358</v>
      </c>
      <c r="C296" s="136" t="s">
        <v>359</v>
      </c>
      <c r="D296" s="56"/>
      <c r="E296" s="56"/>
      <c r="G296" s="138" t="s">
        <v>230</v>
      </c>
      <c r="H296" s="139" t="s">
        <v>230</v>
      </c>
      <c r="I296" s="139" t="s">
        <v>230</v>
      </c>
      <c r="J296" s="135" t="s">
        <v>230</v>
      </c>
      <c r="K296" s="78"/>
      <c r="L296" s="78"/>
      <c r="M296" s="255"/>
      <c r="N296" s="255"/>
    </row>
    <row r="297" spans="1:14" ht="3" customHeight="1" x14ac:dyDescent="0.2">
      <c r="A297" s="56"/>
      <c r="B297" s="56"/>
      <c r="C297" s="56"/>
      <c r="D297" s="56"/>
      <c r="E297" s="56"/>
      <c r="F297" s="55"/>
      <c r="G297" s="85"/>
      <c r="H297" s="86"/>
      <c r="I297" s="87"/>
      <c r="J297" s="231"/>
      <c r="K297" s="78"/>
      <c r="L297" s="78"/>
      <c r="M297" s="255"/>
      <c r="N297" s="255"/>
    </row>
    <row r="298" spans="1:14" ht="11.1" customHeight="1" x14ac:dyDescent="0.2">
      <c r="A298" s="80">
        <v>5.4</v>
      </c>
      <c r="B298" s="80" t="s">
        <v>360</v>
      </c>
      <c r="C298" s="80"/>
      <c r="D298" s="80"/>
      <c r="E298" s="80"/>
      <c r="F298" s="79"/>
      <c r="G298" s="131">
        <v>1.8</v>
      </c>
      <c r="H298" s="132">
        <v>51</v>
      </c>
      <c r="I298" s="132">
        <v>1680</v>
      </c>
      <c r="J298" s="135">
        <v>5</v>
      </c>
      <c r="K298" s="78"/>
      <c r="L298" s="78"/>
      <c r="M298" s="255"/>
      <c r="N298" s="255"/>
    </row>
    <row r="299" spans="1:14" s="55" customFormat="1" ht="11.1" customHeight="1" x14ac:dyDescent="0.2">
      <c r="A299" s="56"/>
      <c r="B299" s="56" t="s">
        <v>361</v>
      </c>
      <c r="C299" s="136" t="s">
        <v>362</v>
      </c>
      <c r="D299" s="56"/>
      <c r="E299" s="56"/>
      <c r="G299" s="131">
        <v>0.5</v>
      </c>
      <c r="H299" s="132">
        <v>14</v>
      </c>
      <c r="I299" s="132">
        <v>590</v>
      </c>
      <c r="J299" s="135">
        <v>8</v>
      </c>
      <c r="K299" s="78"/>
      <c r="L299" s="78"/>
      <c r="M299" s="255"/>
      <c r="N299" s="255"/>
    </row>
    <row r="300" spans="1:14" s="55" customFormat="1" ht="11.1" customHeight="1" x14ac:dyDescent="0.2">
      <c r="A300" s="56"/>
      <c r="B300" s="56" t="s">
        <v>363</v>
      </c>
      <c r="C300" s="56" t="s">
        <v>364</v>
      </c>
      <c r="D300" s="56"/>
      <c r="E300" s="56"/>
      <c r="G300" s="131">
        <v>0.7</v>
      </c>
      <c r="H300" s="132">
        <v>20</v>
      </c>
      <c r="I300" s="132">
        <v>1000</v>
      </c>
      <c r="J300" s="135">
        <v>6.2</v>
      </c>
      <c r="K300" s="78"/>
      <c r="L300" s="78"/>
      <c r="M300" s="255"/>
      <c r="N300" s="255"/>
    </row>
    <row r="301" spans="1:14" s="55" customFormat="1" ht="11.1" customHeight="1" x14ac:dyDescent="0.2">
      <c r="A301" s="56"/>
      <c r="B301" s="56" t="s">
        <v>365</v>
      </c>
      <c r="C301" s="56" t="s">
        <v>366</v>
      </c>
      <c r="D301" s="56"/>
      <c r="E301" s="56"/>
      <c r="G301" s="138" t="s">
        <v>230</v>
      </c>
      <c r="H301" s="139" t="s">
        <v>230</v>
      </c>
      <c r="I301" s="139" t="s">
        <v>230</v>
      </c>
      <c r="J301" s="135" t="s">
        <v>230</v>
      </c>
      <c r="K301" s="78"/>
      <c r="L301" s="78"/>
      <c r="M301" s="255"/>
      <c r="N301" s="255"/>
    </row>
    <row r="302" spans="1:14" s="55" customFormat="1" ht="11.1" customHeight="1" x14ac:dyDescent="0.2">
      <c r="A302" s="56"/>
      <c r="B302" s="56" t="s">
        <v>368</v>
      </c>
      <c r="C302" s="56" t="s">
        <v>369</v>
      </c>
      <c r="D302" s="56"/>
      <c r="E302" s="56"/>
      <c r="G302" s="131">
        <v>0.6</v>
      </c>
      <c r="H302" s="132">
        <v>17</v>
      </c>
      <c r="I302" s="132">
        <v>600</v>
      </c>
      <c r="J302" s="135">
        <v>8.3000000000000007</v>
      </c>
      <c r="K302" s="78"/>
      <c r="L302" s="78"/>
      <c r="M302" s="255"/>
      <c r="N302" s="255"/>
    </row>
    <row r="303" spans="1:14" s="229" customFormat="1" ht="3" customHeight="1" x14ac:dyDescent="0.2">
      <c r="A303" s="80"/>
      <c r="B303" s="129"/>
      <c r="C303" s="56"/>
      <c r="D303" s="80"/>
      <c r="E303" s="80"/>
      <c r="F303" s="192"/>
      <c r="G303" s="85"/>
      <c r="H303" s="86"/>
      <c r="I303" s="87"/>
      <c r="J303" s="217"/>
      <c r="K303" s="78"/>
      <c r="L303" s="78"/>
      <c r="M303" s="255"/>
      <c r="N303" s="255"/>
    </row>
    <row r="304" spans="1:14" ht="11.1" customHeight="1" x14ac:dyDescent="0.2">
      <c r="A304" s="80">
        <v>5.5</v>
      </c>
      <c r="B304" s="129" t="s">
        <v>370</v>
      </c>
      <c r="C304" s="80"/>
      <c r="D304" s="80"/>
      <c r="E304" s="80"/>
      <c r="F304" s="79"/>
      <c r="G304" s="131">
        <v>3</v>
      </c>
      <c r="H304" s="132">
        <v>83</v>
      </c>
      <c r="I304" s="132">
        <v>1660</v>
      </c>
      <c r="J304" s="135">
        <v>5.8</v>
      </c>
      <c r="K304" s="78"/>
      <c r="L304" s="78"/>
      <c r="M304" s="255"/>
      <c r="N304" s="255"/>
    </row>
    <row r="305" spans="1:14" s="55" customFormat="1" ht="11.1" customHeight="1" x14ac:dyDescent="0.2">
      <c r="B305" s="56" t="s">
        <v>371</v>
      </c>
      <c r="C305" s="56" t="s">
        <v>372</v>
      </c>
      <c r="G305" s="131">
        <v>0.5</v>
      </c>
      <c r="H305" s="132">
        <v>14</v>
      </c>
      <c r="I305" s="132">
        <v>90</v>
      </c>
      <c r="J305" s="135">
        <v>15.6</v>
      </c>
      <c r="K305" s="78"/>
      <c r="L305" s="78"/>
      <c r="M305" s="255"/>
      <c r="N305" s="255"/>
    </row>
    <row r="306" spans="1:14" s="55" customFormat="1" ht="11.1" customHeight="1" x14ac:dyDescent="0.2">
      <c r="B306" s="56" t="s">
        <v>373</v>
      </c>
      <c r="C306" s="56" t="s">
        <v>374</v>
      </c>
      <c r="G306" s="131">
        <v>0.5</v>
      </c>
      <c r="H306" s="132">
        <v>13</v>
      </c>
      <c r="I306" s="132">
        <v>250</v>
      </c>
      <c r="J306" s="135">
        <v>12.9</v>
      </c>
      <c r="K306" s="78"/>
      <c r="L306" s="78"/>
      <c r="M306" s="255"/>
      <c r="N306" s="255"/>
    </row>
    <row r="307" spans="1:14" s="55" customFormat="1" ht="11.1" customHeight="1" x14ac:dyDescent="0.2">
      <c r="B307" s="56" t="s">
        <v>375</v>
      </c>
      <c r="C307" s="56" t="s">
        <v>376</v>
      </c>
      <c r="G307" s="131">
        <v>0.5</v>
      </c>
      <c r="H307" s="132">
        <v>13</v>
      </c>
      <c r="I307" s="132">
        <v>360</v>
      </c>
      <c r="J307" s="135">
        <v>10.6</v>
      </c>
      <c r="K307" s="78"/>
      <c r="L307" s="78"/>
      <c r="M307" s="255"/>
      <c r="N307" s="255"/>
    </row>
    <row r="308" spans="1:14" s="149" customFormat="1" ht="11.1" customHeight="1" x14ac:dyDescent="0.2">
      <c r="B308" s="56" t="s">
        <v>377</v>
      </c>
      <c r="C308" s="56" t="s">
        <v>378</v>
      </c>
      <c r="D308" s="55"/>
      <c r="E308" s="55"/>
      <c r="F308" s="55"/>
      <c r="G308" s="131">
        <v>0.8</v>
      </c>
      <c r="H308" s="132">
        <v>23</v>
      </c>
      <c r="I308" s="132">
        <v>390</v>
      </c>
      <c r="J308" s="135">
        <v>14.9</v>
      </c>
      <c r="K308" s="78"/>
      <c r="L308" s="78"/>
      <c r="M308" s="255"/>
      <c r="N308" s="255"/>
    </row>
    <row r="309" spans="1:14" s="55" customFormat="1" ht="11.1" customHeight="1" x14ac:dyDescent="0.2">
      <c r="B309" s="56" t="s">
        <v>379</v>
      </c>
      <c r="C309" s="56" t="s">
        <v>380</v>
      </c>
      <c r="G309" s="131">
        <v>0.7</v>
      </c>
      <c r="H309" s="132">
        <v>20</v>
      </c>
      <c r="I309" s="132">
        <v>1030</v>
      </c>
      <c r="J309" s="135">
        <v>5.0999999999999996</v>
      </c>
      <c r="K309" s="78"/>
      <c r="L309" s="78"/>
      <c r="M309" s="255"/>
      <c r="N309" s="255"/>
    </row>
    <row r="310" spans="1:14" ht="3" customHeight="1" x14ac:dyDescent="0.2">
      <c r="A310" s="56"/>
      <c r="B310" s="56"/>
      <c r="C310" s="56"/>
      <c r="D310" s="55"/>
      <c r="E310" s="55"/>
      <c r="F310" s="55"/>
      <c r="G310" s="85"/>
      <c r="H310" s="86"/>
      <c r="I310" s="87"/>
      <c r="J310" s="231"/>
      <c r="K310" s="78"/>
      <c r="L310" s="78"/>
      <c r="M310" s="255"/>
      <c r="N310" s="255"/>
    </row>
    <row r="311" spans="1:14" ht="11.1" customHeight="1" x14ac:dyDescent="0.2">
      <c r="A311" s="80">
        <v>5.6</v>
      </c>
      <c r="B311" s="80" t="s">
        <v>381</v>
      </c>
      <c r="D311" s="79"/>
      <c r="E311" s="79"/>
      <c r="F311" s="79"/>
      <c r="G311" s="131">
        <v>6.8</v>
      </c>
      <c r="H311" s="132">
        <v>189</v>
      </c>
      <c r="I311" s="132">
        <v>4830</v>
      </c>
      <c r="J311" s="135">
        <v>2.7</v>
      </c>
      <c r="K311" s="78"/>
      <c r="L311" s="78"/>
      <c r="M311" s="255"/>
      <c r="N311" s="255"/>
    </row>
    <row r="312" spans="1:14" s="55" customFormat="1" ht="11.1" customHeight="1" x14ac:dyDescent="0.2">
      <c r="B312" s="56" t="s">
        <v>382</v>
      </c>
      <c r="C312" s="56" t="s">
        <v>383</v>
      </c>
      <c r="D312" s="56"/>
      <c r="G312" s="131">
        <v>2.7</v>
      </c>
      <c r="H312" s="132">
        <v>75</v>
      </c>
      <c r="I312" s="132">
        <v>3700</v>
      </c>
      <c r="J312" s="135">
        <v>2.2000000000000002</v>
      </c>
      <c r="K312" s="78"/>
      <c r="L312" s="78"/>
      <c r="M312" s="255"/>
      <c r="N312" s="255"/>
    </row>
    <row r="313" spans="1:14" s="55" customFormat="1" ht="11.1" customHeight="1" x14ac:dyDescent="0.2">
      <c r="B313" s="56"/>
      <c r="C313" s="136" t="s">
        <v>384</v>
      </c>
      <c r="D313" s="55" t="s">
        <v>385</v>
      </c>
      <c r="G313" s="131">
        <v>1.1000000000000001</v>
      </c>
      <c r="H313" s="132">
        <v>31</v>
      </c>
      <c r="I313" s="132">
        <v>2190</v>
      </c>
      <c r="J313" s="135">
        <v>3.2</v>
      </c>
      <c r="K313" s="78"/>
      <c r="L313" s="78"/>
      <c r="M313" s="255"/>
      <c r="N313" s="255"/>
    </row>
    <row r="314" spans="1:14" s="55" customFormat="1" ht="11.1" customHeight="1" x14ac:dyDescent="0.2">
      <c r="B314" s="56"/>
      <c r="C314" s="136" t="s">
        <v>386</v>
      </c>
      <c r="D314" s="55" t="s">
        <v>387</v>
      </c>
      <c r="G314" s="131">
        <v>1.6</v>
      </c>
      <c r="H314" s="132">
        <v>44</v>
      </c>
      <c r="I314" s="132">
        <v>3180</v>
      </c>
      <c r="J314" s="135">
        <v>2.6</v>
      </c>
      <c r="K314" s="78"/>
      <c r="L314" s="78"/>
      <c r="M314" s="255"/>
      <c r="N314" s="255"/>
    </row>
    <row r="315" spans="1:14" s="55" customFormat="1" ht="3" customHeight="1" x14ac:dyDescent="0.2">
      <c r="B315" s="56"/>
      <c r="C315" s="56"/>
      <c r="D315" s="56"/>
      <c r="G315" s="85"/>
      <c r="H315" s="86"/>
      <c r="I315" s="87"/>
      <c r="J315" s="231"/>
      <c r="K315" s="78"/>
      <c r="L315" s="78"/>
      <c r="M315" s="255"/>
      <c r="N315" s="255"/>
    </row>
    <row r="316" spans="1:14" s="55" customFormat="1" ht="11.1" customHeight="1" x14ac:dyDescent="0.2">
      <c r="B316" s="56" t="s">
        <v>388</v>
      </c>
      <c r="C316" s="56" t="s">
        <v>389</v>
      </c>
      <c r="G316" s="131">
        <v>1.9</v>
      </c>
      <c r="H316" s="132">
        <v>52</v>
      </c>
      <c r="I316" s="132">
        <v>4110</v>
      </c>
      <c r="J316" s="135">
        <v>2.4</v>
      </c>
      <c r="K316" s="78"/>
      <c r="L316" s="78"/>
      <c r="M316" s="255"/>
      <c r="N316" s="255"/>
    </row>
    <row r="317" spans="1:14" s="55" customFormat="1" ht="11.1" customHeight="1" x14ac:dyDescent="0.2">
      <c r="B317" s="56"/>
      <c r="C317" s="56" t="s">
        <v>390</v>
      </c>
      <c r="D317" s="55" t="s">
        <v>391</v>
      </c>
      <c r="G317" s="131">
        <v>1.1000000000000001</v>
      </c>
      <c r="H317" s="132">
        <v>30</v>
      </c>
      <c r="I317" s="132">
        <v>3790</v>
      </c>
      <c r="J317" s="135">
        <v>2.4</v>
      </c>
      <c r="K317" s="78"/>
      <c r="L317" s="78"/>
      <c r="M317" s="255"/>
      <c r="N317" s="255"/>
    </row>
    <row r="318" spans="1:14" s="55" customFormat="1" ht="11.1" customHeight="1" x14ac:dyDescent="0.2">
      <c r="B318" s="56"/>
      <c r="C318" s="56" t="s">
        <v>392</v>
      </c>
      <c r="D318" s="56" t="s">
        <v>393</v>
      </c>
      <c r="G318" s="131">
        <v>0.3</v>
      </c>
      <c r="H318" s="132">
        <v>10</v>
      </c>
      <c r="I318" s="132">
        <v>650</v>
      </c>
      <c r="J318" s="135">
        <v>7</v>
      </c>
      <c r="K318" s="78"/>
      <c r="L318" s="78"/>
      <c r="M318" s="255"/>
      <c r="N318" s="255"/>
    </row>
    <row r="319" spans="1:14" s="55" customFormat="1" ht="11.1" customHeight="1" x14ac:dyDescent="0.2">
      <c r="B319" s="56"/>
      <c r="C319" s="56" t="s">
        <v>394</v>
      </c>
      <c r="D319" s="56" t="s">
        <v>395</v>
      </c>
      <c r="G319" s="131">
        <v>0.2</v>
      </c>
      <c r="H319" s="132">
        <v>5</v>
      </c>
      <c r="I319" s="132">
        <v>880</v>
      </c>
      <c r="J319" s="135">
        <v>5.5</v>
      </c>
      <c r="K319" s="78"/>
      <c r="L319" s="78"/>
      <c r="M319" s="255"/>
      <c r="N319" s="255"/>
    </row>
    <row r="320" spans="1:14" s="55" customFormat="1" ht="11.1" customHeight="1" x14ac:dyDescent="0.2">
      <c r="B320" s="56"/>
      <c r="C320" s="56" t="s">
        <v>396</v>
      </c>
      <c r="D320" s="56" t="s">
        <v>397</v>
      </c>
      <c r="G320" s="131">
        <v>0.2</v>
      </c>
      <c r="H320" s="132">
        <v>7</v>
      </c>
      <c r="I320" s="132">
        <v>380</v>
      </c>
      <c r="J320" s="135">
        <v>8.6999999999999993</v>
      </c>
      <c r="K320" s="78"/>
      <c r="L320" s="78"/>
      <c r="M320" s="255"/>
      <c r="N320" s="255"/>
    </row>
    <row r="321" spans="1:14" s="55" customFormat="1" ht="3" customHeight="1" x14ac:dyDescent="0.2">
      <c r="B321" s="56"/>
      <c r="C321" s="56"/>
      <c r="D321" s="56"/>
      <c r="G321" s="85"/>
      <c r="H321" s="86"/>
      <c r="I321" s="87"/>
      <c r="J321" s="231"/>
      <c r="K321" s="78"/>
      <c r="L321" s="78"/>
      <c r="M321" s="255"/>
      <c r="N321" s="255"/>
    </row>
    <row r="322" spans="1:14" s="55" customFormat="1" ht="11.1" customHeight="1" x14ac:dyDescent="0.2">
      <c r="B322" s="56" t="s">
        <v>398</v>
      </c>
      <c r="C322" s="56" t="s">
        <v>399</v>
      </c>
      <c r="G322" s="131">
        <v>2.2000000000000002</v>
      </c>
      <c r="H322" s="132">
        <v>62</v>
      </c>
      <c r="I322" s="132">
        <v>810</v>
      </c>
      <c r="J322" s="135">
        <v>7.2</v>
      </c>
      <c r="K322" s="78"/>
      <c r="L322" s="78"/>
      <c r="M322" s="255"/>
      <c r="N322" s="255"/>
    </row>
    <row r="323" spans="1:14" s="55" customFormat="1" ht="11.1" customHeight="1" x14ac:dyDescent="0.2">
      <c r="A323" s="257"/>
      <c r="C323" s="136" t="s">
        <v>400</v>
      </c>
      <c r="D323" s="55" t="s">
        <v>401</v>
      </c>
      <c r="G323" s="131">
        <v>1.6</v>
      </c>
      <c r="H323" s="132">
        <v>46</v>
      </c>
      <c r="I323" s="132">
        <v>380</v>
      </c>
      <c r="J323" s="135">
        <v>9</v>
      </c>
      <c r="K323" s="78"/>
      <c r="L323" s="78"/>
      <c r="M323" s="255"/>
      <c r="N323" s="255"/>
    </row>
    <row r="324" spans="1:14" s="55" customFormat="1" ht="11.1" customHeight="1" x14ac:dyDescent="0.2">
      <c r="C324" s="56" t="s">
        <v>402</v>
      </c>
      <c r="D324" s="56" t="s">
        <v>403</v>
      </c>
      <c r="G324" s="131">
        <v>0.6</v>
      </c>
      <c r="H324" s="132">
        <v>16</v>
      </c>
      <c r="I324" s="132">
        <v>520</v>
      </c>
      <c r="J324" s="135">
        <v>8.1</v>
      </c>
      <c r="K324" s="78"/>
      <c r="L324" s="78"/>
      <c r="M324" s="255"/>
      <c r="N324" s="255"/>
    </row>
    <row r="325" spans="1:14" s="55" customFormat="1" ht="11.1" customHeight="1" x14ac:dyDescent="0.2">
      <c r="C325" s="56" t="s">
        <v>404</v>
      </c>
      <c r="D325" s="56" t="s">
        <v>405</v>
      </c>
      <c r="G325" s="138" t="s">
        <v>230</v>
      </c>
      <c r="H325" s="139" t="s">
        <v>230</v>
      </c>
      <c r="I325" s="139" t="s">
        <v>230</v>
      </c>
      <c r="J325" s="135" t="s">
        <v>230</v>
      </c>
      <c r="K325" s="78"/>
      <c r="L325" s="78"/>
      <c r="M325" s="255"/>
      <c r="N325" s="255"/>
    </row>
    <row r="326" spans="1:14" s="143" customFormat="1" ht="4.05" customHeight="1" x14ac:dyDescent="0.2">
      <c r="A326" s="47"/>
      <c r="B326" s="45"/>
      <c r="C326" s="45"/>
      <c r="D326" s="47"/>
      <c r="E326" s="47"/>
      <c r="F326" s="47"/>
      <c r="G326" s="74"/>
      <c r="H326" s="75"/>
      <c r="I326" s="76"/>
      <c r="J326" s="258"/>
      <c r="K326" s="78"/>
      <c r="L326" s="78"/>
      <c r="M326" s="255"/>
      <c r="N326" s="255"/>
    </row>
    <row r="327" spans="1:14" s="143" customFormat="1" ht="4.05" customHeight="1" x14ac:dyDescent="0.2">
      <c r="A327" s="55"/>
      <c r="B327" s="56"/>
      <c r="C327" s="56"/>
      <c r="D327" s="55"/>
      <c r="E327" s="55"/>
      <c r="F327" s="55"/>
      <c r="G327" s="85"/>
      <c r="H327" s="86"/>
      <c r="I327" s="87"/>
      <c r="J327" s="231"/>
      <c r="K327" s="78"/>
      <c r="L327" s="78"/>
      <c r="M327" s="255"/>
      <c r="N327" s="255"/>
    </row>
    <row r="328" spans="1:14" s="143" customFormat="1" ht="12.75" customHeight="1" x14ac:dyDescent="0.2">
      <c r="A328" s="188">
        <v>6</v>
      </c>
      <c r="B328" s="120" t="s">
        <v>12</v>
      </c>
      <c r="C328" s="121"/>
      <c r="D328" s="121"/>
      <c r="E328" s="121"/>
      <c r="F328" s="259"/>
      <c r="G328" s="123">
        <v>8.1999999999999993</v>
      </c>
      <c r="H328" s="124">
        <v>228</v>
      </c>
      <c r="I328" s="124">
        <v>3060</v>
      </c>
      <c r="J328" s="125">
        <v>5.5</v>
      </c>
      <c r="K328" s="78"/>
      <c r="L328" s="78"/>
      <c r="M328" s="255"/>
      <c r="N328" s="255"/>
    </row>
    <row r="329" spans="1:14" ht="6" customHeight="1" x14ac:dyDescent="0.2">
      <c r="A329" s="260"/>
      <c r="B329" s="136"/>
      <c r="C329" s="56"/>
      <c r="D329" s="55"/>
      <c r="E329" s="55"/>
      <c r="F329" s="55"/>
      <c r="G329" s="85"/>
      <c r="H329" s="86"/>
      <c r="I329" s="87"/>
      <c r="J329" s="231"/>
      <c r="K329" s="78"/>
      <c r="L329" s="78"/>
      <c r="M329" s="255"/>
      <c r="N329" s="255"/>
    </row>
    <row r="330" spans="1:14" ht="11.1" customHeight="1" x14ac:dyDescent="0.2">
      <c r="A330" s="80">
        <v>6.1</v>
      </c>
      <c r="B330" s="129" t="s">
        <v>406</v>
      </c>
      <c r="D330" s="79"/>
      <c r="E330" s="79"/>
      <c r="G330" s="131">
        <v>4.5</v>
      </c>
      <c r="H330" s="132">
        <v>125</v>
      </c>
      <c r="I330" s="132">
        <v>2890</v>
      </c>
      <c r="J330" s="135">
        <v>6.3</v>
      </c>
      <c r="K330" s="78"/>
      <c r="L330" s="78"/>
      <c r="M330" s="255"/>
      <c r="N330" s="255"/>
    </row>
    <row r="331" spans="1:14" ht="11.1" customHeight="1" x14ac:dyDescent="0.2">
      <c r="A331" s="260"/>
      <c r="B331" s="56" t="s">
        <v>407</v>
      </c>
      <c r="C331" s="56" t="s">
        <v>408</v>
      </c>
      <c r="D331" s="56"/>
      <c r="E331" s="55"/>
      <c r="F331" s="84"/>
      <c r="G331" s="131">
        <v>2.6</v>
      </c>
      <c r="H331" s="132">
        <v>73</v>
      </c>
      <c r="I331" s="132">
        <v>2700</v>
      </c>
      <c r="J331" s="135">
        <v>6.6</v>
      </c>
      <c r="K331" s="78"/>
      <c r="L331" s="78"/>
      <c r="M331" s="255"/>
      <c r="N331" s="255"/>
    </row>
    <row r="332" spans="1:14" ht="11.1" customHeight="1" x14ac:dyDescent="0.2">
      <c r="A332" s="260"/>
      <c r="B332" s="56"/>
      <c r="C332" s="56" t="s">
        <v>409</v>
      </c>
      <c r="D332" s="56" t="s">
        <v>410</v>
      </c>
      <c r="E332" s="55"/>
      <c r="F332" s="84"/>
      <c r="G332" s="131">
        <v>0.3</v>
      </c>
      <c r="H332" s="132">
        <v>8</v>
      </c>
      <c r="I332" s="132">
        <v>210</v>
      </c>
      <c r="J332" s="135">
        <v>8.6</v>
      </c>
      <c r="K332" s="78"/>
      <c r="L332" s="78"/>
      <c r="M332" s="255"/>
      <c r="N332" s="255"/>
    </row>
    <row r="333" spans="1:14" ht="11.1" customHeight="1" x14ac:dyDescent="0.2">
      <c r="B333" s="56"/>
      <c r="C333" s="136" t="s">
        <v>411</v>
      </c>
      <c r="D333" s="55" t="s">
        <v>412</v>
      </c>
      <c r="E333" s="55"/>
      <c r="F333" s="84"/>
      <c r="G333" s="131">
        <v>1.8</v>
      </c>
      <c r="H333" s="132">
        <v>50</v>
      </c>
      <c r="I333" s="132">
        <v>2430</v>
      </c>
      <c r="J333" s="135">
        <v>4</v>
      </c>
      <c r="K333" s="78"/>
      <c r="L333" s="78"/>
      <c r="M333" s="255"/>
      <c r="N333" s="255"/>
    </row>
    <row r="334" spans="1:14" ht="10.5" customHeight="1" x14ac:dyDescent="0.2">
      <c r="B334" s="56"/>
      <c r="C334" s="136" t="s">
        <v>413</v>
      </c>
      <c r="D334" s="261" t="s">
        <v>414</v>
      </c>
      <c r="E334" s="261"/>
      <c r="F334" s="261"/>
      <c r="G334" s="131">
        <v>0.2</v>
      </c>
      <c r="H334" s="132">
        <v>6</v>
      </c>
      <c r="I334" s="132">
        <v>370</v>
      </c>
      <c r="J334" s="135">
        <v>9.6999999999999993</v>
      </c>
      <c r="K334" s="78"/>
      <c r="L334" s="78"/>
      <c r="M334" s="255"/>
      <c r="N334" s="255"/>
    </row>
    <row r="335" spans="1:14" ht="11.1" customHeight="1" x14ac:dyDescent="0.2">
      <c r="B335" s="129"/>
      <c r="C335" s="136" t="s">
        <v>415</v>
      </c>
      <c r="D335" s="56" t="s">
        <v>416</v>
      </c>
      <c r="E335" s="79"/>
      <c r="I335" s="79"/>
      <c r="J335" s="79"/>
      <c r="K335" s="78"/>
      <c r="L335" s="78"/>
      <c r="M335" s="255"/>
      <c r="N335" s="255"/>
    </row>
    <row r="336" spans="1:14" ht="11.1" customHeight="1" x14ac:dyDescent="0.2">
      <c r="B336" s="129"/>
      <c r="C336" s="136"/>
      <c r="D336" s="56" t="s">
        <v>417</v>
      </c>
      <c r="E336" s="79"/>
      <c r="G336" s="131">
        <v>0.3</v>
      </c>
      <c r="H336" s="132">
        <v>10</v>
      </c>
      <c r="I336" s="132">
        <v>60</v>
      </c>
      <c r="J336" s="135">
        <v>46.5</v>
      </c>
      <c r="K336" s="78"/>
      <c r="L336" s="78"/>
      <c r="M336" s="255"/>
      <c r="N336" s="255"/>
    </row>
    <row r="337" spans="1:14" ht="3" customHeight="1" x14ac:dyDescent="0.2">
      <c r="B337" s="129"/>
      <c r="C337" s="136"/>
      <c r="D337" s="56"/>
      <c r="E337" s="79"/>
      <c r="G337" s="85"/>
      <c r="H337" s="86"/>
      <c r="I337" s="87"/>
      <c r="J337" s="135"/>
      <c r="K337" s="78"/>
      <c r="L337" s="78"/>
      <c r="M337" s="255"/>
      <c r="N337" s="255"/>
    </row>
    <row r="338" spans="1:14" s="55" customFormat="1" ht="11.1" customHeight="1" x14ac:dyDescent="0.2">
      <c r="B338" s="56" t="s">
        <v>418</v>
      </c>
      <c r="C338" s="136" t="s">
        <v>419</v>
      </c>
      <c r="F338" s="84"/>
      <c r="G338" s="131">
        <v>1.8</v>
      </c>
      <c r="H338" s="132">
        <v>51</v>
      </c>
      <c r="I338" s="132">
        <v>430</v>
      </c>
      <c r="J338" s="135">
        <v>11.7</v>
      </c>
      <c r="K338" s="78"/>
      <c r="L338" s="78"/>
      <c r="M338" s="255"/>
      <c r="N338" s="255"/>
    </row>
    <row r="339" spans="1:14" s="55" customFormat="1" ht="11.1" customHeight="1" x14ac:dyDescent="0.2">
      <c r="A339" s="80"/>
      <c r="B339" s="56"/>
      <c r="C339" s="136" t="s">
        <v>420</v>
      </c>
      <c r="D339" s="261" t="s">
        <v>421</v>
      </c>
      <c r="E339" s="261"/>
      <c r="F339" s="261"/>
      <c r="G339" s="131">
        <v>1.8</v>
      </c>
      <c r="H339" s="132">
        <v>50</v>
      </c>
      <c r="I339" s="132">
        <v>380</v>
      </c>
      <c r="J339" s="135">
        <v>11.9</v>
      </c>
      <c r="K339" s="78"/>
      <c r="L339" s="78"/>
      <c r="M339" s="255"/>
      <c r="N339" s="255"/>
    </row>
    <row r="340" spans="1:14" s="128" customFormat="1" ht="11.1" customHeight="1" x14ac:dyDescent="0.2">
      <c r="B340" s="56"/>
      <c r="C340" s="136" t="s">
        <v>422</v>
      </c>
      <c r="D340" s="55" t="s">
        <v>423</v>
      </c>
      <c r="E340" s="55"/>
      <c r="F340" s="84"/>
      <c r="G340" s="145">
        <v>0</v>
      </c>
      <c r="H340" s="132">
        <v>1</v>
      </c>
      <c r="I340" s="132">
        <v>70</v>
      </c>
      <c r="J340" s="135">
        <v>19.8</v>
      </c>
      <c r="K340" s="78"/>
      <c r="L340" s="78"/>
      <c r="M340" s="255"/>
      <c r="N340" s="255"/>
    </row>
    <row r="341" spans="1:14" s="143" customFormat="1" ht="3" customHeight="1" x14ac:dyDescent="0.2">
      <c r="A341" s="55"/>
      <c r="B341" s="55"/>
      <c r="C341" s="55"/>
      <c r="D341" s="55"/>
      <c r="E341" s="55"/>
      <c r="F341" s="55"/>
      <c r="G341" s="107"/>
      <c r="H341" s="108"/>
      <c r="I341" s="79"/>
      <c r="J341" s="217"/>
      <c r="K341" s="78"/>
      <c r="L341" s="78"/>
      <c r="M341" s="255"/>
      <c r="N341" s="255"/>
    </row>
    <row r="342" spans="1:14" s="143" customFormat="1" ht="10.5" customHeight="1" x14ac:dyDescent="0.2">
      <c r="A342" s="80">
        <v>6.2</v>
      </c>
      <c r="B342" s="80" t="s">
        <v>424</v>
      </c>
      <c r="C342" s="263"/>
      <c r="D342" s="79"/>
      <c r="E342" s="79"/>
      <c r="F342" s="79"/>
      <c r="G342" s="131">
        <v>3.7</v>
      </c>
      <c r="H342" s="132">
        <v>103</v>
      </c>
      <c r="I342" s="132">
        <v>510</v>
      </c>
      <c r="J342" s="135">
        <v>8.8000000000000007</v>
      </c>
      <c r="K342" s="78"/>
      <c r="L342" s="78"/>
      <c r="M342" s="255"/>
      <c r="N342" s="255"/>
    </row>
    <row r="343" spans="1:14" s="143" customFormat="1" ht="11.1" customHeight="1" x14ac:dyDescent="0.2">
      <c r="A343" s="80"/>
      <c r="B343" s="56" t="s">
        <v>425</v>
      </c>
      <c r="C343" s="56" t="s">
        <v>426</v>
      </c>
      <c r="D343" s="79"/>
      <c r="E343" s="79"/>
      <c r="F343" s="79"/>
      <c r="G343" s="131">
        <v>3.6</v>
      </c>
      <c r="H343" s="132">
        <v>100</v>
      </c>
      <c r="I343" s="132">
        <v>500</v>
      </c>
      <c r="J343" s="135">
        <v>8.9</v>
      </c>
      <c r="K343" s="78"/>
      <c r="L343" s="78"/>
      <c r="M343" s="255"/>
      <c r="N343" s="255"/>
    </row>
    <row r="344" spans="1:14" s="143" customFormat="1" ht="11.1" customHeight="1" x14ac:dyDescent="0.2">
      <c r="A344" s="55"/>
      <c r="C344" s="56" t="s">
        <v>427</v>
      </c>
      <c r="D344" s="136" t="s">
        <v>428</v>
      </c>
      <c r="E344" s="55"/>
      <c r="F344" s="84"/>
      <c r="G344" s="131">
        <v>0.8</v>
      </c>
      <c r="H344" s="132">
        <v>23</v>
      </c>
      <c r="I344" s="132">
        <v>220</v>
      </c>
      <c r="J344" s="135">
        <v>10.3</v>
      </c>
      <c r="K344" s="78"/>
      <c r="L344" s="78"/>
      <c r="M344" s="255"/>
      <c r="N344" s="255"/>
    </row>
    <row r="345" spans="1:14" s="143" customFormat="1" ht="11.1" customHeight="1" x14ac:dyDescent="0.2">
      <c r="A345" s="55"/>
      <c r="C345" s="56" t="s">
        <v>429</v>
      </c>
      <c r="D345" s="136" t="s">
        <v>430</v>
      </c>
      <c r="E345" s="55"/>
      <c r="F345" s="84"/>
      <c r="G345" s="131">
        <v>2.7</v>
      </c>
      <c r="H345" s="132">
        <v>76</v>
      </c>
      <c r="I345" s="132">
        <v>300</v>
      </c>
      <c r="J345" s="135">
        <v>11.5</v>
      </c>
      <c r="K345" s="78"/>
      <c r="L345" s="78"/>
      <c r="M345" s="255"/>
      <c r="N345" s="255"/>
    </row>
    <row r="346" spans="1:14" s="143" customFormat="1" ht="11.1" customHeight="1" x14ac:dyDescent="0.2">
      <c r="A346" s="55"/>
      <c r="C346" s="56" t="s">
        <v>431</v>
      </c>
      <c r="D346" s="136" t="s">
        <v>432</v>
      </c>
      <c r="E346" s="55"/>
      <c r="F346" s="84"/>
      <c r="G346" s="138" t="s">
        <v>230</v>
      </c>
      <c r="H346" s="139" t="s">
        <v>230</v>
      </c>
      <c r="I346" s="139" t="s">
        <v>230</v>
      </c>
      <c r="J346" s="135" t="s">
        <v>230</v>
      </c>
      <c r="K346" s="78"/>
      <c r="L346" s="78"/>
      <c r="M346" s="255"/>
      <c r="N346" s="255"/>
    </row>
    <row r="347" spans="1:14" s="143" customFormat="1" ht="3" customHeight="1" x14ac:dyDescent="0.2">
      <c r="A347" s="55"/>
      <c r="B347" s="55"/>
      <c r="C347" s="55"/>
      <c r="D347" s="55"/>
      <c r="E347" s="55"/>
      <c r="F347" s="55"/>
      <c r="G347" s="107"/>
      <c r="H347" s="108"/>
      <c r="I347" s="79"/>
      <c r="J347" s="231"/>
      <c r="K347" s="78"/>
      <c r="L347" s="78"/>
      <c r="M347" s="255"/>
      <c r="N347" s="255"/>
    </row>
    <row r="348" spans="1:14" s="143" customFormat="1" ht="11.1" customHeight="1" x14ac:dyDescent="0.2">
      <c r="B348" s="56" t="s">
        <v>433</v>
      </c>
      <c r="C348" s="136" t="s">
        <v>434</v>
      </c>
      <c r="D348" s="79"/>
      <c r="E348" s="79"/>
      <c r="F348" s="219"/>
      <c r="G348" s="138" t="s">
        <v>230</v>
      </c>
      <c r="H348" s="139" t="s">
        <v>230</v>
      </c>
      <c r="I348" s="139" t="s">
        <v>230</v>
      </c>
      <c r="J348" s="135" t="s">
        <v>230</v>
      </c>
      <c r="K348" s="78"/>
      <c r="L348" s="78"/>
      <c r="M348" s="255"/>
      <c r="N348" s="255"/>
    </row>
    <row r="349" spans="1:14" s="143" customFormat="1" ht="4.05" customHeight="1" x14ac:dyDescent="0.2">
      <c r="A349" s="47"/>
      <c r="B349" s="45"/>
      <c r="C349" s="264"/>
      <c r="D349" s="47"/>
      <c r="E349" s="47"/>
      <c r="F349" s="48"/>
      <c r="G349" s="265"/>
      <c r="H349" s="266"/>
      <c r="I349" s="267"/>
      <c r="J349" s="268"/>
      <c r="K349" s="78"/>
      <c r="L349" s="78"/>
    </row>
    <row r="350" spans="1:14" ht="4.05" customHeight="1" x14ac:dyDescent="0.15">
      <c r="A350" s="79"/>
      <c r="B350" s="79"/>
      <c r="D350" s="79"/>
      <c r="E350" s="79"/>
      <c r="F350" s="79"/>
      <c r="I350" s="79"/>
      <c r="J350" s="79"/>
      <c r="K350" s="214"/>
      <c r="L350" s="269"/>
    </row>
    <row r="351" spans="1:14" ht="11.1" customHeight="1" x14ac:dyDescent="0.2">
      <c r="A351" s="157" t="s">
        <v>111</v>
      </c>
      <c r="B351" s="56"/>
      <c r="C351" s="56"/>
      <c r="D351" s="55"/>
      <c r="E351" s="137"/>
      <c r="F351" s="142"/>
      <c r="G351" s="241"/>
      <c r="H351" s="242"/>
      <c r="I351" s="79"/>
      <c r="J351" s="79"/>
      <c r="K351" s="214"/>
      <c r="L351" s="269"/>
    </row>
    <row r="352" spans="1:14" ht="11.1" customHeight="1" x14ac:dyDescent="0.2">
      <c r="A352" s="157" t="s">
        <v>182</v>
      </c>
      <c r="B352" s="56"/>
      <c r="C352" s="56"/>
      <c r="D352" s="55"/>
      <c r="E352" s="137"/>
      <c r="F352" s="142"/>
      <c r="G352" s="241"/>
      <c r="H352" s="242"/>
      <c r="I352" s="79"/>
      <c r="J352" s="79"/>
      <c r="K352" s="214"/>
      <c r="L352" s="269"/>
    </row>
    <row r="353" spans="1:12" ht="11.1" customHeight="1" x14ac:dyDescent="0.2">
      <c r="A353" s="157" t="s">
        <v>112</v>
      </c>
      <c r="B353" s="56"/>
      <c r="C353" s="56"/>
      <c r="D353" s="55"/>
      <c r="E353" s="137"/>
      <c r="F353" s="142"/>
      <c r="G353" s="241"/>
      <c r="H353" s="242"/>
      <c r="I353" s="79"/>
      <c r="J353" s="79"/>
      <c r="K353" s="214"/>
      <c r="L353" s="269"/>
    </row>
    <row r="354" spans="1:12" ht="11.1" customHeight="1" x14ac:dyDescent="0.15">
      <c r="A354" s="79"/>
      <c r="B354" s="79"/>
      <c r="D354" s="79"/>
      <c r="E354" s="79"/>
      <c r="F354" s="79"/>
      <c r="I354" s="79"/>
      <c r="J354" s="79"/>
      <c r="K354" s="214"/>
      <c r="L354" s="269"/>
    </row>
    <row r="355" spans="1:12" s="55" customFormat="1" ht="11.1" customHeight="1" x14ac:dyDescent="0.15">
      <c r="G355" s="249"/>
      <c r="H355" s="250"/>
      <c r="K355" s="218"/>
      <c r="L355" s="269"/>
    </row>
    <row r="356" spans="1:12" s="55" customFormat="1" ht="11.1" customHeight="1" x14ac:dyDescent="0.15">
      <c r="G356" s="249"/>
      <c r="H356" s="250"/>
      <c r="K356" s="218"/>
      <c r="L356" s="269"/>
    </row>
    <row r="357" spans="1:12" s="55" customFormat="1" ht="11.1" customHeight="1" x14ac:dyDescent="0.2">
      <c r="A357" s="245"/>
      <c r="G357" s="249"/>
      <c r="H357" s="250"/>
      <c r="K357" s="218"/>
      <c r="L357" s="269"/>
    </row>
    <row r="358" spans="1:12" s="55" customFormat="1" ht="15.75" customHeight="1" x14ac:dyDescent="0.15">
      <c r="A358" s="159" t="s">
        <v>114</v>
      </c>
      <c r="G358" s="249"/>
      <c r="H358" s="250"/>
      <c r="K358" s="218"/>
      <c r="L358" s="269"/>
    </row>
    <row r="359" spans="1:12" s="31" customFormat="1" ht="20.25" customHeight="1" x14ac:dyDescent="0.3">
      <c r="A359" s="160" t="s">
        <v>183</v>
      </c>
      <c r="B359" s="161"/>
      <c r="D359" s="32"/>
      <c r="E359" s="32"/>
      <c r="F359" s="33"/>
      <c r="G359" s="34"/>
      <c r="H359" s="35"/>
      <c r="I359" s="36"/>
      <c r="J359" s="246"/>
      <c r="K359" s="37"/>
      <c r="L359" s="269"/>
    </row>
    <row r="360" spans="1:12" s="31" customFormat="1" ht="15.75" customHeight="1" x14ac:dyDescent="0.25">
      <c r="A360" s="41" t="s">
        <v>969</v>
      </c>
      <c r="B360" s="168"/>
      <c r="C360" s="43"/>
      <c r="D360" s="44"/>
      <c r="E360" s="32"/>
      <c r="F360" s="33"/>
      <c r="G360" s="34"/>
      <c r="H360" s="35"/>
      <c r="I360" s="36"/>
      <c r="J360" s="246"/>
      <c r="K360" s="37"/>
      <c r="L360" s="269"/>
    </row>
    <row r="361" spans="1:12" ht="4.05" customHeight="1" x14ac:dyDescent="0.2">
      <c r="A361" s="71"/>
      <c r="B361" s="71"/>
      <c r="C361" s="72"/>
      <c r="D361" s="73"/>
      <c r="E361" s="73"/>
      <c r="F361" s="73"/>
      <c r="G361" s="101"/>
      <c r="H361" s="102"/>
      <c r="I361" s="103"/>
      <c r="J361" s="77"/>
      <c r="L361" s="269"/>
    </row>
    <row r="362" spans="1:12" s="55" customFormat="1" ht="4.05" customHeight="1" x14ac:dyDescent="0.2">
      <c r="A362" s="81"/>
      <c r="B362" s="81"/>
      <c r="D362" s="84"/>
      <c r="E362" s="84"/>
      <c r="F362" s="84"/>
      <c r="G362" s="249"/>
      <c r="H362" s="250"/>
      <c r="I362" s="251"/>
      <c r="J362" s="252"/>
      <c r="K362" s="53"/>
      <c r="L362" s="269"/>
    </row>
    <row r="363" spans="1:12" s="180" customFormat="1" ht="11.1" customHeight="1" x14ac:dyDescent="0.15">
      <c r="A363" s="172"/>
      <c r="B363" s="172"/>
      <c r="C363" s="173"/>
      <c r="D363" s="174"/>
      <c r="E363" s="174"/>
      <c r="F363" s="59"/>
      <c r="G363" s="60" t="s">
        <v>116</v>
      </c>
      <c r="H363" s="61" t="s">
        <v>25</v>
      </c>
      <c r="I363" s="62" t="s">
        <v>26</v>
      </c>
      <c r="J363" s="63" t="s">
        <v>117</v>
      </c>
      <c r="K363" s="179"/>
      <c r="L363" s="269"/>
    </row>
    <row r="364" spans="1:12" s="180" customFormat="1" ht="11.1" customHeight="1" x14ac:dyDescent="0.15">
      <c r="A364" s="172"/>
      <c r="B364" s="172"/>
      <c r="C364" s="181"/>
      <c r="D364" s="174"/>
      <c r="E364" s="174"/>
      <c r="F364" s="59"/>
      <c r="G364" s="67" t="s">
        <v>29</v>
      </c>
      <c r="H364" s="61" t="s">
        <v>27</v>
      </c>
      <c r="I364" s="62" t="s">
        <v>28</v>
      </c>
      <c r="J364" s="63" t="s">
        <v>118</v>
      </c>
      <c r="K364" s="179"/>
      <c r="L364" s="269"/>
    </row>
    <row r="365" spans="1:12" s="180" customFormat="1" ht="11.1" customHeight="1" x14ac:dyDescent="0.15">
      <c r="A365" s="172"/>
      <c r="B365" s="172"/>
      <c r="C365" s="181"/>
      <c r="D365" s="174"/>
      <c r="E365" s="174"/>
      <c r="F365" s="59"/>
      <c r="G365" s="60" t="s">
        <v>31</v>
      </c>
      <c r="H365" s="61" t="s">
        <v>29</v>
      </c>
      <c r="I365" s="62" t="s">
        <v>30</v>
      </c>
      <c r="J365" s="69" t="s">
        <v>119</v>
      </c>
      <c r="K365" s="179"/>
      <c r="L365" s="269"/>
    </row>
    <row r="366" spans="1:12" s="180" customFormat="1" ht="11.1" customHeight="1" x14ac:dyDescent="0.15">
      <c r="A366" s="172"/>
      <c r="B366" s="172"/>
      <c r="C366" s="181"/>
      <c r="D366" s="174"/>
      <c r="E366" s="174"/>
      <c r="F366" s="59"/>
      <c r="G366" s="67" t="s">
        <v>32</v>
      </c>
      <c r="H366" s="61" t="s">
        <v>33</v>
      </c>
      <c r="I366" s="62" t="s">
        <v>120</v>
      </c>
      <c r="J366" s="70" t="s">
        <v>121</v>
      </c>
      <c r="K366" s="179"/>
      <c r="L366" s="269"/>
    </row>
    <row r="367" spans="1:12" ht="4.05" customHeight="1" x14ac:dyDescent="0.2">
      <c r="A367" s="71"/>
      <c r="B367" s="71"/>
      <c r="C367" s="72"/>
      <c r="D367" s="73"/>
      <c r="E367" s="73"/>
      <c r="F367" s="73"/>
      <c r="G367" s="101"/>
      <c r="H367" s="102"/>
      <c r="I367" s="103"/>
      <c r="J367" s="73"/>
      <c r="L367" s="269"/>
    </row>
    <row r="368" spans="1:12" ht="4.05" customHeight="1" x14ac:dyDescent="0.2">
      <c r="B368" s="81"/>
      <c r="C368" s="82"/>
      <c r="D368" s="83"/>
      <c r="E368" s="83"/>
      <c r="F368" s="84"/>
      <c r="G368" s="85"/>
      <c r="H368" s="86"/>
      <c r="I368" s="87"/>
      <c r="J368" s="83"/>
      <c r="L368" s="269"/>
    </row>
    <row r="369" spans="1:14" s="93" customFormat="1" ht="11.1" customHeight="1" x14ac:dyDescent="0.2">
      <c r="A369" s="111" t="s">
        <v>123</v>
      </c>
      <c r="B369" s="112"/>
      <c r="C369" s="113"/>
      <c r="F369" s="114" t="s">
        <v>124</v>
      </c>
      <c r="G369" s="115"/>
      <c r="H369" s="116"/>
      <c r="I369" s="117"/>
      <c r="K369" s="53"/>
      <c r="L369" s="270"/>
    </row>
    <row r="370" spans="1:14" s="128" customFormat="1" ht="4.05" customHeight="1" x14ac:dyDescent="0.2">
      <c r="A370" s="186"/>
      <c r="B370" s="186"/>
      <c r="C370" s="187"/>
      <c r="D370" s="79"/>
      <c r="E370" s="79"/>
      <c r="G370" s="107"/>
      <c r="H370" s="108"/>
      <c r="I370" s="109"/>
      <c r="J370" s="110"/>
      <c r="K370" s="53"/>
      <c r="L370" s="269"/>
    </row>
    <row r="371" spans="1:14" s="128" customFormat="1" ht="12.75" customHeight="1" x14ac:dyDescent="0.2">
      <c r="A371" s="188">
        <v>7</v>
      </c>
      <c r="B371" s="188" t="s">
        <v>13</v>
      </c>
      <c r="C371" s="228"/>
      <c r="D371" s="121"/>
      <c r="E371" s="121"/>
      <c r="F371" s="259"/>
      <c r="G371" s="123">
        <v>81.599999999999994</v>
      </c>
      <c r="H371" s="124">
        <v>2270</v>
      </c>
      <c r="I371" s="124">
        <v>4850</v>
      </c>
      <c r="J371" s="135">
        <v>2</v>
      </c>
      <c r="K371" s="78"/>
      <c r="L371" s="78"/>
      <c r="M371" s="271"/>
      <c r="N371" s="271"/>
    </row>
    <row r="372" spans="1:14" s="55" customFormat="1" ht="6" customHeight="1" x14ac:dyDescent="0.2">
      <c r="A372" s="56"/>
      <c r="B372" s="56"/>
      <c r="C372" s="142"/>
      <c r="F372" s="84"/>
      <c r="G372" s="138"/>
      <c r="H372" s="139"/>
      <c r="I372" s="140"/>
      <c r="J372" s="135"/>
      <c r="K372" s="78"/>
      <c r="L372" s="78"/>
      <c r="M372" s="271"/>
      <c r="N372" s="271"/>
    </row>
    <row r="373" spans="1:14" ht="11.1" customHeight="1" x14ac:dyDescent="0.2">
      <c r="A373" s="80">
        <v>7.1</v>
      </c>
      <c r="B373" s="80" t="s">
        <v>435</v>
      </c>
      <c r="D373" s="79"/>
      <c r="E373" s="79"/>
      <c r="G373" s="131">
        <v>26.3</v>
      </c>
      <c r="H373" s="132">
        <v>731</v>
      </c>
      <c r="I373" s="132">
        <v>1340</v>
      </c>
      <c r="J373" s="135">
        <v>4.9000000000000004</v>
      </c>
      <c r="K373" s="78"/>
      <c r="L373" s="78"/>
      <c r="M373" s="271"/>
      <c r="N373" s="271"/>
    </row>
    <row r="374" spans="1:14" s="149" customFormat="1" ht="11.1" customHeight="1" x14ac:dyDescent="0.2">
      <c r="B374" s="56" t="s">
        <v>436</v>
      </c>
      <c r="C374" s="136" t="s">
        <v>437</v>
      </c>
      <c r="D374" s="55"/>
      <c r="E374" s="55"/>
      <c r="F374" s="84"/>
      <c r="G374" s="131">
        <v>7.9</v>
      </c>
      <c r="H374" s="132">
        <v>219</v>
      </c>
      <c r="I374" s="132">
        <v>340</v>
      </c>
      <c r="J374" s="135">
        <v>10.9</v>
      </c>
      <c r="K374" s="78"/>
      <c r="L374" s="78"/>
      <c r="M374" s="271"/>
      <c r="N374" s="271"/>
    </row>
    <row r="375" spans="1:14" s="55" customFormat="1" ht="11.1" customHeight="1" x14ac:dyDescent="0.2">
      <c r="B375" s="56"/>
      <c r="C375" s="56" t="s">
        <v>438</v>
      </c>
      <c r="D375" s="56" t="s">
        <v>439</v>
      </c>
      <c r="F375" s="84"/>
      <c r="G375" s="131">
        <v>3</v>
      </c>
      <c r="H375" s="132">
        <v>83</v>
      </c>
      <c r="I375" s="132">
        <v>60</v>
      </c>
      <c r="J375" s="135">
        <v>18.5</v>
      </c>
      <c r="K375" s="78"/>
      <c r="L375" s="78"/>
      <c r="M375" s="271"/>
      <c r="N375" s="271"/>
    </row>
    <row r="376" spans="1:14" s="55" customFormat="1" ht="11.1" customHeight="1" x14ac:dyDescent="0.2">
      <c r="B376" s="56"/>
      <c r="C376" s="56" t="s">
        <v>440</v>
      </c>
      <c r="D376" s="55" t="s">
        <v>441</v>
      </c>
      <c r="F376" s="84"/>
      <c r="G376" s="131">
        <v>4.9000000000000004</v>
      </c>
      <c r="H376" s="132">
        <v>136</v>
      </c>
      <c r="I376" s="132">
        <v>290</v>
      </c>
      <c r="J376" s="135">
        <v>13.1</v>
      </c>
      <c r="K376" s="78"/>
      <c r="L376" s="78"/>
      <c r="M376" s="271"/>
      <c r="N376" s="271"/>
    </row>
    <row r="377" spans="1:14" s="55" customFormat="1" ht="3" customHeight="1" x14ac:dyDescent="0.2">
      <c r="B377" s="56"/>
      <c r="C377" s="56"/>
      <c r="F377" s="84"/>
      <c r="G377" s="85"/>
      <c r="H377" s="86"/>
      <c r="I377" s="87"/>
      <c r="J377" s="231"/>
      <c r="K377" s="78"/>
      <c r="L377" s="78"/>
      <c r="M377" s="271"/>
      <c r="N377" s="271"/>
    </row>
    <row r="378" spans="1:14" s="55" customFormat="1" ht="11.1" customHeight="1" x14ac:dyDescent="0.2">
      <c r="B378" s="56" t="s">
        <v>442</v>
      </c>
      <c r="C378" s="56" t="s">
        <v>443</v>
      </c>
      <c r="D378" s="56"/>
      <c r="F378" s="84"/>
      <c r="G378" s="131">
        <v>17.2</v>
      </c>
      <c r="H378" s="132">
        <v>479</v>
      </c>
      <c r="I378" s="132">
        <v>1000</v>
      </c>
      <c r="J378" s="135">
        <v>5</v>
      </c>
      <c r="K378" s="78"/>
      <c r="L378" s="78"/>
      <c r="M378" s="271"/>
      <c r="N378" s="271"/>
    </row>
    <row r="379" spans="1:14" s="55" customFormat="1" ht="11.1" customHeight="1" x14ac:dyDescent="0.2">
      <c r="B379" s="56"/>
      <c r="C379" s="56" t="s">
        <v>444</v>
      </c>
      <c r="D379" s="56" t="s">
        <v>439</v>
      </c>
      <c r="F379" s="84"/>
      <c r="G379" s="131">
        <v>10.199999999999999</v>
      </c>
      <c r="H379" s="132">
        <v>284</v>
      </c>
      <c r="I379" s="132">
        <v>450</v>
      </c>
      <c r="J379" s="135">
        <v>7</v>
      </c>
      <c r="K379" s="78"/>
      <c r="L379" s="78"/>
      <c r="M379" s="271"/>
      <c r="N379" s="271"/>
    </row>
    <row r="380" spans="1:14" s="55" customFormat="1" ht="11.1" customHeight="1" x14ac:dyDescent="0.2">
      <c r="B380" s="56"/>
      <c r="C380" s="56" t="s">
        <v>445</v>
      </c>
      <c r="D380" s="55" t="s">
        <v>446</v>
      </c>
      <c r="F380" s="84"/>
      <c r="G380" s="131">
        <v>7</v>
      </c>
      <c r="H380" s="132">
        <v>195</v>
      </c>
      <c r="I380" s="132">
        <v>600</v>
      </c>
      <c r="J380" s="135">
        <v>6.2</v>
      </c>
      <c r="K380" s="78"/>
      <c r="L380" s="78"/>
      <c r="M380" s="271"/>
      <c r="N380" s="271"/>
    </row>
    <row r="381" spans="1:14" s="55" customFormat="1" ht="3" customHeight="1" x14ac:dyDescent="0.2">
      <c r="B381" s="56"/>
      <c r="C381" s="56"/>
      <c r="D381" s="56"/>
      <c r="F381" s="84"/>
      <c r="G381" s="85"/>
      <c r="H381" s="86"/>
      <c r="I381" s="87"/>
      <c r="J381" s="217"/>
      <c r="K381" s="78"/>
      <c r="L381" s="78"/>
      <c r="M381" s="271"/>
      <c r="N381" s="271"/>
    </row>
    <row r="382" spans="1:14" s="55" customFormat="1" ht="11.1" customHeight="1" x14ac:dyDescent="0.2">
      <c r="B382" s="56" t="s">
        <v>447</v>
      </c>
      <c r="C382" s="136" t="s">
        <v>448</v>
      </c>
      <c r="D382" s="56"/>
      <c r="F382" s="84"/>
      <c r="G382" s="131">
        <v>1.2</v>
      </c>
      <c r="H382" s="132">
        <v>33</v>
      </c>
      <c r="I382" s="132">
        <v>70</v>
      </c>
      <c r="J382" s="135">
        <v>41.9</v>
      </c>
      <c r="K382" s="78"/>
      <c r="L382" s="78"/>
      <c r="M382" s="271"/>
      <c r="N382" s="271"/>
    </row>
    <row r="383" spans="1:14" s="55" customFormat="1" ht="11.1" customHeight="1" x14ac:dyDescent="0.2">
      <c r="B383" s="56"/>
      <c r="C383" s="56" t="s">
        <v>449</v>
      </c>
      <c r="D383" s="56" t="s">
        <v>450</v>
      </c>
      <c r="F383" s="84"/>
      <c r="G383" s="131">
        <v>0.2</v>
      </c>
      <c r="H383" s="132">
        <v>6</v>
      </c>
      <c r="I383" s="132">
        <v>20</v>
      </c>
      <c r="J383" s="135">
        <v>26.9</v>
      </c>
      <c r="K383" s="78"/>
      <c r="L383" s="78"/>
      <c r="M383" s="271"/>
      <c r="N383" s="271"/>
    </row>
    <row r="384" spans="1:14" s="55" customFormat="1" ht="11.1" customHeight="1" x14ac:dyDescent="0.2">
      <c r="B384" s="56"/>
      <c r="C384" s="56" t="s">
        <v>451</v>
      </c>
      <c r="D384" s="56" t="s">
        <v>452</v>
      </c>
      <c r="F384" s="84"/>
      <c r="G384" s="138" t="s">
        <v>230</v>
      </c>
      <c r="H384" s="139" t="s">
        <v>230</v>
      </c>
      <c r="I384" s="139" t="s">
        <v>230</v>
      </c>
      <c r="J384" s="135" t="s">
        <v>230</v>
      </c>
      <c r="K384" s="78"/>
      <c r="L384" s="78"/>
      <c r="M384" s="271"/>
      <c r="N384" s="271"/>
    </row>
    <row r="385" spans="1:14" s="55" customFormat="1" ht="11.1" customHeight="1" x14ac:dyDescent="0.2">
      <c r="B385" s="56"/>
      <c r="C385" s="56" t="s">
        <v>453</v>
      </c>
      <c r="D385" s="56" t="s">
        <v>454</v>
      </c>
      <c r="F385" s="84"/>
      <c r="G385" s="131">
        <v>0.9</v>
      </c>
      <c r="H385" s="132">
        <v>24</v>
      </c>
      <c r="I385" s="132">
        <v>40</v>
      </c>
      <c r="J385" s="135">
        <v>56.1</v>
      </c>
      <c r="K385" s="78"/>
      <c r="L385" s="78"/>
      <c r="M385" s="271"/>
      <c r="N385" s="271"/>
    </row>
    <row r="386" spans="1:14" s="55" customFormat="1" ht="3" customHeight="1" x14ac:dyDescent="0.2">
      <c r="A386" s="56"/>
      <c r="B386" s="56"/>
      <c r="C386" s="56"/>
      <c r="F386" s="84"/>
      <c r="G386" s="85"/>
      <c r="H386" s="86"/>
      <c r="I386" s="87"/>
      <c r="J386" s="231"/>
      <c r="K386" s="78"/>
      <c r="L386" s="78"/>
      <c r="M386" s="271"/>
      <c r="N386" s="271"/>
    </row>
    <row r="387" spans="1:14" ht="11.1" customHeight="1" x14ac:dyDescent="0.2">
      <c r="A387" s="80">
        <v>7.2</v>
      </c>
      <c r="B387" s="80" t="s">
        <v>455</v>
      </c>
      <c r="C387" s="80"/>
      <c r="D387" s="79"/>
      <c r="E387" s="79"/>
      <c r="G387" s="131">
        <v>33.6</v>
      </c>
      <c r="H387" s="132">
        <v>935</v>
      </c>
      <c r="I387" s="132">
        <v>4280</v>
      </c>
      <c r="J387" s="135">
        <v>1.7</v>
      </c>
      <c r="K387" s="78"/>
      <c r="L387" s="78"/>
      <c r="M387" s="271"/>
      <c r="N387" s="271"/>
    </row>
    <row r="388" spans="1:14" s="55" customFormat="1" ht="11.1" customHeight="1" x14ac:dyDescent="0.2">
      <c r="B388" s="56" t="s">
        <v>456</v>
      </c>
      <c r="C388" s="136" t="s">
        <v>457</v>
      </c>
      <c r="F388" s="84"/>
      <c r="G388" s="131">
        <v>2.4</v>
      </c>
      <c r="H388" s="132">
        <v>67</v>
      </c>
      <c r="I388" s="132">
        <v>450</v>
      </c>
      <c r="J388" s="135">
        <v>9.3000000000000007</v>
      </c>
      <c r="K388" s="78"/>
      <c r="L388" s="78"/>
      <c r="M388" s="271"/>
      <c r="N388" s="271"/>
    </row>
    <row r="389" spans="1:14" s="55" customFormat="1" ht="11.1" customHeight="1" x14ac:dyDescent="0.2">
      <c r="B389" s="56"/>
      <c r="C389" s="136" t="s">
        <v>458</v>
      </c>
      <c r="D389" s="56" t="s">
        <v>459</v>
      </c>
      <c r="F389" s="84"/>
      <c r="G389" s="131">
        <v>0.2</v>
      </c>
      <c r="H389" s="132">
        <v>5</v>
      </c>
      <c r="I389" s="132">
        <v>100</v>
      </c>
      <c r="J389" s="135">
        <v>17.5</v>
      </c>
      <c r="K389" s="78"/>
      <c r="L389" s="78"/>
      <c r="M389" s="271"/>
      <c r="N389" s="271"/>
    </row>
    <row r="390" spans="1:14" s="55" customFormat="1" ht="11.1" customHeight="1" x14ac:dyDescent="0.2">
      <c r="B390" s="56"/>
      <c r="C390" s="136" t="s">
        <v>460</v>
      </c>
      <c r="D390" s="56" t="s">
        <v>461</v>
      </c>
      <c r="F390" s="84"/>
      <c r="G390" s="131">
        <v>1.9</v>
      </c>
      <c r="H390" s="132">
        <v>53</v>
      </c>
      <c r="I390" s="132">
        <v>260</v>
      </c>
      <c r="J390" s="135">
        <v>10.9</v>
      </c>
      <c r="K390" s="78"/>
      <c r="L390" s="78"/>
      <c r="M390" s="271"/>
      <c r="N390" s="271"/>
    </row>
    <row r="391" spans="1:14" s="55" customFormat="1" ht="11.1" customHeight="1" x14ac:dyDescent="0.2">
      <c r="B391" s="56"/>
      <c r="C391" s="56" t="s">
        <v>462</v>
      </c>
      <c r="D391" s="56" t="s">
        <v>463</v>
      </c>
      <c r="F391" s="84"/>
      <c r="G391" s="256">
        <v>0.1</v>
      </c>
      <c r="H391" s="203">
        <v>2</v>
      </c>
      <c r="I391" s="132">
        <v>20</v>
      </c>
      <c r="J391" s="135">
        <v>47.8</v>
      </c>
      <c r="K391" s="78"/>
      <c r="L391" s="78"/>
      <c r="M391" s="271"/>
      <c r="N391" s="271"/>
    </row>
    <row r="392" spans="1:14" s="55" customFormat="1" ht="11.1" customHeight="1" x14ac:dyDescent="0.2">
      <c r="B392" s="56"/>
      <c r="C392" s="56" t="s">
        <v>464</v>
      </c>
      <c r="D392" s="56" t="s">
        <v>465</v>
      </c>
      <c r="F392" s="84"/>
      <c r="G392" s="131">
        <v>0.2</v>
      </c>
      <c r="H392" s="132">
        <v>6</v>
      </c>
      <c r="I392" s="132">
        <v>90</v>
      </c>
      <c r="J392" s="135">
        <v>22.5</v>
      </c>
      <c r="K392" s="78"/>
      <c r="L392" s="78"/>
      <c r="M392" s="271"/>
      <c r="N392" s="271"/>
    </row>
    <row r="393" spans="1:14" s="55" customFormat="1" ht="3" customHeight="1" x14ac:dyDescent="0.2">
      <c r="A393" s="56"/>
      <c r="B393" s="56"/>
      <c r="C393" s="56"/>
      <c r="F393" s="84"/>
      <c r="G393" s="85"/>
      <c r="H393" s="86"/>
      <c r="I393" s="87"/>
      <c r="J393" s="231"/>
      <c r="K393" s="78"/>
      <c r="L393" s="78"/>
      <c r="M393" s="271"/>
      <c r="N393" s="271"/>
    </row>
    <row r="394" spans="1:14" s="55" customFormat="1" ht="11.1" customHeight="1" x14ac:dyDescent="0.2">
      <c r="B394" s="56" t="s">
        <v>466</v>
      </c>
      <c r="C394" s="56" t="s">
        <v>467</v>
      </c>
      <c r="D394" s="56"/>
      <c r="E394" s="56"/>
      <c r="F394" s="84"/>
      <c r="G394" s="131">
        <v>22.3</v>
      </c>
      <c r="H394" s="132">
        <v>619</v>
      </c>
      <c r="I394" s="132">
        <v>3490</v>
      </c>
      <c r="J394" s="135">
        <v>1.7</v>
      </c>
      <c r="K394" s="78"/>
      <c r="L394" s="78"/>
      <c r="M394" s="271"/>
      <c r="N394" s="271"/>
    </row>
    <row r="395" spans="1:14" s="55" customFormat="1" ht="11.1" customHeight="1" x14ac:dyDescent="0.2">
      <c r="B395" s="56"/>
      <c r="C395" s="56" t="s">
        <v>468</v>
      </c>
      <c r="D395" s="56" t="s">
        <v>469</v>
      </c>
      <c r="F395" s="84"/>
      <c r="G395" s="131">
        <v>13.6</v>
      </c>
      <c r="H395" s="132">
        <v>377</v>
      </c>
      <c r="I395" s="132">
        <v>2550</v>
      </c>
      <c r="J395" s="135">
        <v>2.2000000000000002</v>
      </c>
      <c r="K395" s="78"/>
      <c r="L395" s="78"/>
      <c r="M395" s="271"/>
      <c r="N395" s="271"/>
    </row>
    <row r="396" spans="1:14" s="55" customFormat="1" ht="11.1" customHeight="1" x14ac:dyDescent="0.2">
      <c r="B396" s="56"/>
      <c r="C396" s="136" t="s">
        <v>470</v>
      </c>
      <c r="D396" s="56" t="s">
        <v>471</v>
      </c>
      <c r="F396" s="84"/>
      <c r="G396" s="131">
        <v>8.6</v>
      </c>
      <c r="H396" s="132">
        <v>239</v>
      </c>
      <c r="I396" s="132">
        <v>1460</v>
      </c>
      <c r="J396" s="135">
        <v>2.9</v>
      </c>
      <c r="K396" s="78"/>
      <c r="L396" s="78"/>
      <c r="M396" s="271"/>
      <c r="N396" s="271"/>
    </row>
    <row r="397" spans="1:14" s="55" customFormat="1" ht="11.1" customHeight="1" x14ac:dyDescent="0.2">
      <c r="B397" s="56"/>
      <c r="C397" s="136" t="s">
        <v>472</v>
      </c>
      <c r="D397" s="56" t="s">
        <v>473</v>
      </c>
      <c r="F397" s="84"/>
      <c r="G397" s="131">
        <v>0.1</v>
      </c>
      <c r="H397" s="132">
        <v>3</v>
      </c>
      <c r="I397" s="132">
        <v>60</v>
      </c>
      <c r="J397" s="135">
        <v>21.5</v>
      </c>
      <c r="K397" s="78"/>
      <c r="L397" s="78"/>
      <c r="M397" s="271"/>
      <c r="N397" s="271"/>
    </row>
    <row r="398" spans="1:14" s="55" customFormat="1" ht="3" customHeight="1" x14ac:dyDescent="0.2">
      <c r="B398" s="56"/>
      <c r="C398" s="56"/>
      <c r="D398" s="56"/>
      <c r="F398" s="84"/>
      <c r="G398" s="85"/>
      <c r="H398" s="86"/>
      <c r="I398" s="87"/>
      <c r="J398" s="231"/>
      <c r="K398" s="78"/>
      <c r="L398" s="78"/>
      <c r="M398" s="271"/>
      <c r="N398" s="271"/>
    </row>
    <row r="399" spans="1:14" s="55" customFormat="1" ht="11.1" customHeight="1" x14ac:dyDescent="0.2">
      <c r="B399" s="56" t="s">
        <v>474</v>
      </c>
      <c r="C399" s="56" t="s">
        <v>475</v>
      </c>
      <c r="D399" s="56"/>
      <c r="F399" s="84"/>
      <c r="G399" s="131">
        <v>6.2</v>
      </c>
      <c r="H399" s="132">
        <v>173</v>
      </c>
      <c r="I399" s="132">
        <v>2960</v>
      </c>
      <c r="J399" s="135">
        <v>3.7</v>
      </c>
      <c r="K399" s="78"/>
      <c r="L399" s="78"/>
      <c r="M399" s="271"/>
      <c r="N399" s="271"/>
    </row>
    <row r="400" spans="1:14" s="55" customFormat="1" ht="11.1" customHeight="1" x14ac:dyDescent="0.2">
      <c r="B400" s="56"/>
      <c r="C400" s="56" t="s">
        <v>476</v>
      </c>
      <c r="D400" s="56" t="s">
        <v>477</v>
      </c>
      <c r="F400" s="84"/>
      <c r="G400" s="131">
        <v>6.2</v>
      </c>
      <c r="H400" s="132">
        <v>171</v>
      </c>
      <c r="I400" s="132">
        <v>2950</v>
      </c>
      <c r="J400" s="135">
        <v>3.7</v>
      </c>
      <c r="K400" s="78"/>
      <c r="L400" s="78"/>
      <c r="M400" s="271"/>
      <c r="N400" s="271"/>
    </row>
    <row r="401" spans="1:14" s="55" customFormat="1" ht="11.1" customHeight="1" x14ac:dyDescent="0.2">
      <c r="B401" s="56"/>
      <c r="C401" s="56" t="s">
        <v>478</v>
      </c>
      <c r="D401" s="56" t="s">
        <v>479</v>
      </c>
      <c r="F401" s="84"/>
      <c r="G401" s="145">
        <v>0</v>
      </c>
      <c r="H401" s="132">
        <v>1</v>
      </c>
      <c r="I401" s="132">
        <v>40</v>
      </c>
      <c r="J401" s="135">
        <v>21.8</v>
      </c>
      <c r="K401" s="78"/>
      <c r="L401" s="78"/>
      <c r="M401" s="271"/>
      <c r="N401" s="271"/>
    </row>
    <row r="402" spans="1:14" s="55" customFormat="1" ht="3" customHeight="1" x14ac:dyDescent="0.2">
      <c r="B402" s="56"/>
      <c r="C402" s="56"/>
      <c r="F402" s="84"/>
      <c r="G402" s="85"/>
      <c r="H402" s="86"/>
      <c r="I402" s="87"/>
      <c r="J402" s="231"/>
      <c r="K402" s="78"/>
      <c r="L402" s="78"/>
      <c r="M402" s="271"/>
      <c r="N402" s="271"/>
    </row>
    <row r="403" spans="1:14" s="55" customFormat="1" ht="11.1" customHeight="1" x14ac:dyDescent="0.2">
      <c r="B403" s="56" t="s">
        <v>480</v>
      </c>
      <c r="C403" s="56" t="s">
        <v>481</v>
      </c>
      <c r="F403" s="84"/>
      <c r="G403" s="131">
        <v>2.8</v>
      </c>
      <c r="H403" s="132">
        <v>77</v>
      </c>
      <c r="I403" s="132">
        <v>2010</v>
      </c>
      <c r="J403" s="135">
        <v>6.1</v>
      </c>
      <c r="K403" s="78"/>
      <c r="L403" s="78"/>
      <c r="M403" s="271"/>
      <c r="N403" s="271"/>
    </row>
    <row r="404" spans="1:14" s="55" customFormat="1" ht="11.1" customHeight="1" x14ac:dyDescent="0.2">
      <c r="B404" s="56"/>
      <c r="C404" s="56" t="s">
        <v>482</v>
      </c>
      <c r="D404" s="55" t="s">
        <v>483</v>
      </c>
      <c r="F404" s="84"/>
      <c r="G404" s="131">
        <v>0.4</v>
      </c>
      <c r="H404" s="132">
        <v>12</v>
      </c>
      <c r="I404" s="132">
        <v>670</v>
      </c>
      <c r="J404" s="135">
        <v>8.1</v>
      </c>
      <c r="K404" s="78"/>
      <c r="L404" s="78"/>
      <c r="M404" s="271"/>
      <c r="N404" s="271"/>
    </row>
    <row r="405" spans="1:14" s="55" customFormat="1" ht="11.1" customHeight="1" x14ac:dyDescent="0.2">
      <c r="B405" s="56"/>
      <c r="C405" s="56" t="s">
        <v>484</v>
      </c>
      <c r="D405" s="56" t="s">
        <v>485</v>
      </c>
      <c r="F405" s="84"/>
      <c r="G405" s="131">
        <v>0.7</v>
      </c>
      <c r="H405" s="132">
        <v>20</v>
      </c>
      <c r="I405" s="132">
        <v>330</v>
      </c>
      <c r="J405" s="135">
        <v>9.4</v>
      </c>
      <c r="K405" s="78"/>
      <c r="L405" s="78"/>
      <c r="M405" s="271"/>
      <c r="N405" s="271"/>
    </row>
    <row r="406" spans="1:14" s="55" customFormat="1" ht="11.1" customHeight="1" x14ac:dyDescent="0.2">
      <c r="B406" s="56"/>
      <c r="C406" s="56" t="s">
        <v>486</v>
      </c>
      <c r="D406" s="56" t="s">
        <v>487</v>
      </c>
      <c r="F406" s="84"/>
      <c r="G406" s="131">
        <v>1</v>
      </c>
      <c r="H406" s="132">
        <v>29</v>
      </c>
      <c r="I406" s="132">
        <v>1200</v>
      </c>
      <c r="J406" s="135">
        <v>7</v>
      </c>
      <c r="K406" s="78"/>
      <c r="L406" s="78"/>
      <c r="M406" s="271"/>
      <c r="N406" s="271"/>
    </row>
    <row r="407" spans="1:14" s="55" customFormat="1" ht="11.1" customHeight="1" x14ac:dyDescent="0.2">
      <c r="B407" s="56"/>
      <c r="C407" s="56" t="s">
        <v>488</v>
      </c>
      <c r="D407" s="56" t="s">
        <v>489</v>
      </c>
      <c r="F407" s="84"/>
      <c r="G407" s="131">
        <v>0.3</v>
      </c>
      <c r="H407" s="132">
        <v>9</v>
      </c>
      <c r="I407" s="132">
        <v>30</v>
      </c>
      <c r="J407" s="135">
        <v>25</v>
      </c>
      <c r="K407" s="78"/>
      <c r="L407" s="78"/>
      <c r="M407" s="271"/>
      <c r="N407" s="271"/>
    </row>
    <row r="408" spans="1:14" s="55" customFormat="1" ht="11.1" customHeight="1" x14ac:dyDescent="0.2">
      <c r="B408" s="56"/>
      <c r="C408" s="56" t="s">
        <v>490</v>
      </c>
      <c r="D408" s="55" t="s">
        <v>491</v>
      </c>
      <c r="F408" s="84"/>
      <c r="G408" s="131">
        <v>0.2</v>
      </c>
      <c r="H408" s="132">
        <v>6</v>
      </c>
      <c r="I408" s="132">
        <v>290</v>
      </c>
      <c r="J408" s="135">
        <v>35.6</v>
      </c>
      <c r="K408" s="78"/>
      <c r="L408" s="78"/>
      <c r="M408" s="271"/>
      <c r="N408" s="271"/>
    </row>
    <row r="409" spans="1:14" ht="3" customHeight="1" x14ac:dyDescent="0.2">
      <c r="G409" s="85"/>
      <c r="K409" s="78"/>
      <c r="L409" s="78"/>
      <c r="M409" s="271"/>
      <c r="N409" s="271"/>
    </row>
    <row r="410" spans="1:14" ht="11.1" customHeight="1" x14ac:dyDescent="0.2">
      <c r="A410" s="80">
        <v>7.3</v>
      </c>
      <c r="B410" s="129" t="s">
        <v>492</v>
      </c>
      <c r="D410" s="79"/>
      <c r="E410" s="79"/>
      <c r="G410" s="131">
        <v>21.7</v>
      </c>
      <c r="H410" s="132">
        <v>604</v>
      </c>
      <c r="I410" s="132">
        <v>2640</v>
      </c>
      <c r="J410" s="135">
        <v>3.3</v>
      </c>
      <c r="K410" s="78"/>
      <c r="L410" s="78"/>
      <c r="M410" s="271"/>
      <c r="N410" s="271"/>
    </row>
    <row r="411" spans="1:14" ht="11.1" customHeight="1" x14ac:dyDescent="0.2">
      <c r="A411" s="55"/>
      <c r="B411" s="56" t="s">
        <v>493</v>
      </c>
      <c r="C411" s="136" t="s">
        <v>494</v>
      </c>
      <c r="D411" s="55"/>
      <c r="E411" s="55"/>
      <c r="F411" s="84"/>
      <c r="G411" s="131">
        <v>4.5999999999999996</v>
      </c>
      <c r="H411" s="132">
        <v>129</v>
      </c>
      <c r="I411" s="132">
        <v>900</v>
      </c>
      <c r="J411" s="135">
        <v>6.1</v>
      </c>
      <c r="K411" s="78"/>
      <c r="L411" s="78"/>
      <c r="M411" s="271"/>
      <c r="N411" s="271"/>
    </row>
    <row r="412" spans="1:14" ht="11.1" customHeight="1" x14ac:dyDescent="0.2">
      <c r="A412" s="55"/>
      <c r="B412" s="56"/>
      <c r="C412" s="56" t="s">
        <v>495</v>
      </c>
      <c r="D412" s="56" t="s">
        <v>496</v>
      </c>
      <c r="E412" s="55"/>
      <c r="F412" s="84"/>
      <c r="G412" s="131">
        <v>1.8</v>
      </c>
      <c r="H412" s="132">
        <v>49</v>
      </c>
      <c r="I412" s="132">
        <v>220</v>
      </c>
      <c r="J412" s="135">
        <v>11</v>
      </c>
      <c r="K412" s="78"/>
      <c r="L412" s="78"/>
      <c r="M412" s="271"/>
      <c r="N412" s="271"/>
    </row>
    <row r="413" spans="1:14" ht="11.1" customHeight="1" x14ac:dyDescent="0.2">
      <c r="A413" s="55"/>
      <c r="B413" s="56"/>
      <c r="C413" s="56" t="s">
        <v>497</v>
      </c>
      <c r="D413" s="56" t="s">
        <v>498</v>
      </c>
      <c r="E413" s="55"/>
      <c r="F413" s="84"/>
      <c r="G413" s="131">
        <v>2.9</v>
      </c>
      <c r="H413" s="132">
        <v>80</v>
      </c>
      <c r="I413" s="132">
        <v>760</v>
      </c>
      <c r="J413" s="135">
        <v>6.8</v>
      </c>
      <c r="K413" s="78"/>
      <c r="L413" s="78"/>
      <c r="M413" s="271"/>
      <c r="N413" s="271"/>
    </row>
    <row r="414" spans="1:14" ht="3" customHeight="1" x14ac:dyDescent="0.2">
      <c r="G414" s="85"/>
      <c r="J414" s="217"/>
      <c r="K414" s="78"/>
      <c r="L414" s="78"/>
      <c r="M414" s="271"/>
      <c r="N414" s="271"/>
    </row>
    <row r="415" spans="1:14" s="55" customFormat="1" ht="11.1" customHeight="1" x14ac:dyDescent="0.2">
      <c r="A415" s="186"/>
      <c r="B415" s="272" t="s">
        <v>499</v>
      </c>
      <c r="C415" s="136" t="s">
        <v>500</v>
      </c>
      <c r="F415" s="84"/>
      <c r="G415" s="131">
        <v>1.5</v>
      </c>
      <c r="H415" s="132">
        <v>43</v>
      </c>
      <c r="I415" s="132">
        <v>790</v>
      </c>
      <c r="J415" s="135">
        <v>6.1</v>
      </c>
      <c r="K415" s="78"/>
      <c r="L415" s="78"/>
      <c r="M415" s="271"/>
      <c r="N415" s="271"/>
    </row>
    <row r="416" spans="1:14" s="55" customFormat="1" ht="11.1" customHeight="1" x14ac:dyDescent="0.2">
      <c r="A416" s="81"/>
      <c r="B416" s="56"/>
      <c r="C416" s="56" t="s">
        <v>501</v>
      </c>
      <c r="D416" s="55" t="s">
        <v>496</v>
      </c>
      <c r="F416" s="84"/>
      <c r="G416" s="131">
        <v>0.6</v>
      </c>
      <c r="H416" s="132">
        <v>18</v>
      </c>
      <c r="I416" s="132">
        <v>200</v>
      </c>
      <c r="J416" s="135">
        <v>9.6999999999999993</v>
      </c>
      <c r="K416" s="78"/>
      <c r="L416" s="78"/>
      <c r="M416" s="271"/>
      <c r="N416" s="271"/>
    </row>
    <row r="417" spans="1:14" s="55" customFormat="1" ht="11.1" customHeight="1" x14ac:dyDescent="0.2">
      <c r="A417" s="186"/>
      <c r="B417" s="56"/>
      <c r="C417" s="56" t="s">
        <v>502</v>
      </c>
      <c r="D417" s="55" t="s">
        <v>498</v>
      </c>
      <c r="F417" s="84"/>
      <c r="G417" s="131">
        <v>0.9</v>
      </c>
      <c r="H417" s="132">
        <v>25</v>
      </c>
      <c r="I417" s="132">
        <v>670</v>
      </c>
      <c r="J417" s="135">
        <v>6.1</v>
      </c>
      <c r="K417" s="78"/>
      <c r="L417" s="78"/>
      <c r="M417" s="271"/>
      <c r="N417" s="271"/>
    </row>
    <row r="418" spans="1:14" s="55" customFormat="1" ht="3" customHeight="1" x14ac:dyDescent="0.2">
      <c r="A418" s="80"/>
      <c r="B418" s="129"/>
      <c r="D418" s="79"/>
      <c r="E418" s="79"/>
      <c r="F418" s="219"/>
      <c r="G418" s="85"/>
      <c r="H418" s="86"/>
      <c r="I418" s="87"/>
      <c r="J418" s="217"/>
      <c r="K418" s="78"/>
      <c r="L418" s="78"/>
      <c r="M418" s="271"/>
      <c r="N418" s="271"/>
    </row>
    <row r="419" spans="1:14" ht="11.1" customHeight="1" x14ac:dyDescent="0.2">
      <c r="A419" s="79"/>
      <c r="B419" s="56" t="s">
        <v>503</v>
      </c>
      <c r="C419" s="56" t="s">
        <v>504</v>
      </c>
      <c r="D419" s="56"/>
      <c r="E419" s="55"/>
      <c r="F419" s="84"/>
      <c r="G419" s="131">
        <v>0.6</v>
      </c>
      <c r="H419" s="132">
        <v>16</v>
      </c>
      <c r="I419" s="132">
        <v>80</v>
      </c>
      <c r="J419" s="135">
        <v>13.5</v>
      </c>
      <c r="K419" s="78"/>
      <c r="L419" s="78"/>
      <c r="M419" s="271"/>
      <c r="N419" s="271"/>
    </row>
    <row r="420" spans="1:14" s="55" customFormat="1" ht="11.1" customHeight="1" x14ac:dyDescent="0.2">
      <c r="B420" s="56"/>
      <c r="C420" s="136" t="s">
        <v>505</v>
      </c>
      <c r="D420" s="56" t="s">
        <v>506</v>
      </c>
      <c r="F420" s="84"/>
      <c r="G420" s="131">
        <v>0.2</v>
      </c>
      <c r="H420" s="132">
        <v>5</v>
      </c>
      <c r="I420" s="132">
        <v>40</v>
      </c>
      <c r="J420" s="135">
        <v>19.5</v>
      </c>
      <c r="K420" s="78"/>
      <c r="L420" s="78"/>
      <c r="M420" s="271"/>
      <c r="N420" s="271"/>
    </row>
    <row r="421" spans="1:14" s="55" customFormat="1" ht="11.1" customHeight="1" x14ac:dyDescent="0.2">
      <c r="B421" s="56"/>
      <c r="C421" s="136" t="s">
        <v>507</v>
      </c>
      <c r="D421" s="56" t="s">
        <v>508</v>
      </c>
      <c r="F421" s="84"/>
      <c r="G421" s="131">
        <v>0.4</v>
      </c>
      <c r="H421" s="132">
        <v>11</v>
      </c>
      <c r="I421" s="132">
        <v>40</v>
      </c>
      <c r="J421" s="135">
        <v>17.600000000000001</v>
      </c>
      <c r="K421" s="78"/>
      <c r="L421" s="78"/>
      <c r="M421" s="271"/>
      <c r="N421" s="271"/>
    </row>
    <row r="422" spans="1:14" s="55" customFormat="1" ht="3" customHeight="1" x14ac:dyDescent="0.2">
      <c r="G422" s="85"/>
      <c r="H422" s="108"/>
      <c r="I422" s="79"/>
      <c r="J422" s="217"/>
      <c r="K422" s="78"/>
      <c r="L422" s="78"/>
      <c r="M422" s="271"/>
      <c r="N422" s="271"/>
    </row>
    <row r="423" spans="1:14" s="55" customFormat="1" ht="11.1" customHeight="1" x14ac:dyDescent="0.2">
      <c r="A423" s="56"/>
      <c r="B423" s="56" t="s">
        <v>509</v>
      </c>
      <c r="C423" s="136" t="s">
        <v>510</v>
      </c>
      <c r="D423" s="56"/>
      <c r="F423" s="84"/>
      <c r="G423" s="131">
        <v>15</v>
      </c>
      <c r="H423" s="132">
        <v>417</v>
      </c>
      <c r="I423" s="132">
        <v>1850</v>
      </c>
      <c r="J423" s="135">
        <v>4.0999999999999996</v>
      </c>
      <c r="K423" s="78"/>
      <c r="L423" s="78"/>
      <c r="M423" s="271"/>
      <c r="N423" s="271"/>
    </row>
    <row r="424" spans="1:14" s="55" customFormat="1" ht="11.1" customHeight="1" x14ac:dyDescent="0.2">
      <c r="B424" s="56"/>
      <c r="C424" s="56" t="s">
        <v>511</v>
      </c>
      <c r="D424" s="55" t="s">
        <v>512</v>
      </c>
      <c r="F424" s="84"/>
      <c r="G424" s="131">
        <v>0.3</v>
      </c>
      <c r="H424" s="132">
        <v>9</v>
      </c>
      <c r="I424" s="132">
        <v>120</v>
      </c>
      <c r="J424" s="135">
        <v>14.1</v>
      </c>
      <c r="K424" s="78"/>
      <c r="L424" s="78"/>
      <c r="M424" s="271"/>
      <c r="N424" s="271"/>
    </row>
    <row r="425" spans="1:14" s="55" customFormat="1" ht="11.1" customHeight="1" x14ac:dyDescent="0.2">
      <c r="B425" s="56"/>
      <c r="C425" s="56" t="s">
        <v>513</v>
      </c>
      <c r="D425" s="55" t="s">
        <v>514</v>
      </c>
      <c r="F425" s="84"/>
      <c r="G425" s="131">
        <v>6.8</v>
      </c>
      <c r="H425" s="132">
        <v>189</v>
      </c>
      <c r="I425" s="132">
        <v>670</v>
      </c>
      <c r="J425" s="135">
        <v>6.3</v>
      </c>
      <c r="K425" s="78"/>
      <c r="L425" s="78"/>
      <c r="M425" s="271"/>
      <c r="N425" s="271"/>
    </row>
    <row r="426" spans="1:14" s="55" customFormat="1" ht="11.1" customHeight="1" x14ac:dyDescent="0.2">
      <c r="B426" s="56"/>
      <c r="C426" s="136" t="s">
        <v>515</v>
      </c>
      <c r="D426" s="55" t="s">
        <v>516</v>
      </c>
      <c r="F426" s="84"/>
      <c r="G426" s="202">
        <v>0</v>
      </c>
      <c r="H426" s="203">
        <v>1</v>
      </c>
      <c r="I426" s="132">
        <v>20</v>
      </c>
      <c r="J426" s="135">
        <v>47.9</v>
      </c>
      <c r="K426" s="78"/>
      <c r="L426" s="78"/>
      <c r="M426" s="271"/>
      <c r="N426" s="271"/>
    </row>
    <row r="427" spans="1:14" s="143" customFormat="1" ht="11.1" customHeight="1" x14ac:dyDescent="0.2">
      <c r="A427" s="55"/>
      <c r="B427" s="56"/>
      <c r="C427" s="136" t="s">
        <v>517</v>
      </c>
      <c r="D427" s="56" t="s">
        <v>518</v>
      </c>
      <c r="E427" s="55"/>
      <c r="F427" s="84"/>
      <c r="G427" s="131">
        <v>1.4</v>
      </c>
      <c r="H427" s="132">
        <v>39</v>
      </c>
      <c r="I427" s="132">
        <v>630</v>
      </c>
      <c r="J427" s="135">
        <v>6.3</v>
      </c>
      <c r="K427" s="78"/>
      <c r="L427" s="78"/>
      <c r="M427" s="271"/>
      <c r="N427" s="271"/>
    </row>
    <row r="428" spans="1:14" s="55" customFormat="1" ht="11.1" customHeight="1" x14ac:dyDescent="0.2">
      <c r="B428" s="56"/>
      <c r="C428" s="56" t="s">
        <v>519</v>
      </c>
      <c r="D428" s="56" t="s">
        <v>520</v>
      </c>
      <c r="F428" s="84"/>
      <c r="G428" s="131">
        <v>0.2</v>
      </c>
      <c r="H428" s="132">
        <v>5</v>
      </c>
      <c r="I428" s="132">
        <v>310</v>
      </c>
      <c r="J428" s="135">
        <v>15.1</v>
      </c>
      <c r="K428" s="78"/>
      <c r="L428" s="78"/>
      <c r="M428" s="271"/>
      <c r="N428" s="271"/>
    </row>
    <row r="429" spans="1:14" s="55" customFormat="1" ht="11.1" customHeight="1" x14ac:dyDescent="0.2">
      <c r="B429" s="56"/>
      <c r="C429" s="56" t="s">
        <v>521</v>
      </c>
      <c r="D429" s="56" t="s">
        <v>522</v>
      </c>
      <c r="F429" s="84"/>
      <c r="G429" s="131">
        <v>0.3</v>
      </c>
      <c r="H429" s="132">
        <v>8</v>
      </c>
      <c r="I429" s="132">
        <v>30</v>
      </c>
      <c r="J429" s="135">
        <v>28.2</v>
      </c>
      <c r="K429" s="78"/>
      <c r="L429" s="78"/>
      <c r="M429" s="271"/>
      <c r="N429" s="271"/>
    </row>
    <row r="430" spans="1:14" s="55" customFormat="1" ht="11.1" customHeight="1" x14ac:dyDescent="0.2">
      <c r="A430" s="56"/>
      <c r="C430" s="56" t="s">
        <v>523</v>
      </c>
      <c r="D430" s="56" t="s">
        <v>524</v>
      </c>
      <c r="F430" s="84"/>
      <c r="G430" s="131">
        <v>5.7</v>
      </c>
      <c r="H430" s="132">
        <v>159</v>
      </c>
      <c r="I430" s="132">
        <v>460</v>
      </c>
      <c r="J430" s="135">
        <v>6</v>
      </c>
      <c r="K430" s="78"/>
      <c r="L430" s="78"/>
      <c r="M430" s="271"/>
      <c r="N430" s="271"/>
    </row>
    <row r="431" spans="1:14" s="55" customFormat="1" ht="11.1" customHeight="1" x14ac:dyDescent="0.2">
      <c r="A431" s="56"/>
      <c r="C431" s="56" t="s">
        <v>525</v>
      </c>
      <c r="D431" s="56" t="s">
        <v>526</v>
      </c>
      <c r="F431" s="84"/>
      <c r="G431" s="131">
        <v>0.2</v>
      </c>
      <c r="H431" s="132">
        <v>6</v>
      </c>
      <c r="I431" s="132">
        <v>60</v>
      </c>
      <c r="J431" s="135">
        <v>26.2</v>
      </c>
      <c r="K431" s="78"/>
      <c r="L431" s="78"/>
      <c r="M431" s="271"/>
      <c r="N431" s="271"/>
    </row>
    <row r="432" spans="1:14" s="55" customFormat="1" ht="4.05" customHeight="1" x14ac:dyDescent="0.15">
      <c r="A432" s="47"/>
      <c r="B432" s="47"/>
      <c r="C432" s="47"/>
      <c r="D432" s="47"/>
      <c r="E432" s="47"/>
      <c r="F432" s="47"/>
      <c r="G432" s="49"/>
      <c r="H432" s="50"/>
      <c r="I432" s="47"/>
      <c r="J432" s="274"/>
      <c r="K432" s="275"/>
      <c r="L432" s="269"/>
    </row>
    <row r="433" spans="1:12" s="55" customFormat="1" ht="4.05" customHeight="1" x14ac:dyDescent="0.2">
      <c r="B433" s="56"/>
      <c r="C433" s="136"/>
      <c r="D433" s="144"/>
      <c r="F433" s="84"/>
      <c r="G433" s="241"/>
      <c r="H433" s="242"/>
      <c r="I433" s="243"/>
      <c r="K433" s="275"/>
      <c r="L433" s="269"/>
    </row>
    <row r="434" spans="1:12" s="55" customFormat="1" ht="11.1" customHeight="1" x14ac:dyDescent="0.2">
      <c r="A434" s="157" t="s">
        <v>111</v>
      </c>
      <c r="B434" s="56"/>
      <c r="C434" s="56"/>
      <c r="E434" s="137"/>
      <c r="F434" s="142"/>
      <c r="G434" s="241"/>
      <c r="H434" s="242"/>
      <c r="I434" s="243"/>
      <c r="K434" s="275"/>
      <c r="L434" s="269"/>
    </row>
    <row r="435" spans="1:12" s="55" customFormat="1" ht="11.1" customHeight="1" x14ac:dyDescent="0.2">
      <c r="A435" s="157" t="s">
        <v>182</v>
      </c>
      <c r="B435" s="56"/>
      <c r="C435" s="56"/>
      <c r="E435" s="137"/>
      <c r="F435" s="142"/>
      <c r="G435" s="241"/>
      <c r="H435" s="242"/>
      <c r="I435" s="243"/>
      <c r="K435" s="275"/>
      <c r="L435" s="269"/>
    </row>
    <row r="436" spans="1:12" s="55" customFormat="1" ht="11.1" customHeight="1" x14ac:dyDescent="0.2">
      <c r="A436" s="157" t="s">
        <v>112</v>
      </c>
      <c r="B436" s="56"/>
      <c r="C436" s="56"/>
      <c r="E436" s="137"/>
      <c r="F436" s="142"/>
      <c r="G436" s="241"/>
      <c r="H436" s="242"/>
      <c r="I436" s="243"/>
      <c r="K436" s="275"/>
      <c r="L436" s="269"/>
    </row>
    <row r="437" spans="1:12" s="55" customFormat="1" ht="11.1" customHeight="1" x14ac:dyDescent="0.2">
      <c r="B437" s="56"/>
      <c r="C437" s="136"/>
      <c r="D437" s="144"/>
      <c r="F437" s="84"/>
      <c r="G437" s="241"/>
      <c r="H437" s="242"/>
      <c r="I437" s="243"/>
      <c r="K437" s="275"/>
      <c r="L437" s="269"/>
    </row>
    <row r="438" spans="1:12" s="55" customFormat="1" ht="11.1" customHeight="1" x14ac:dyDescent="0.2">
      <c r="B438" s="56"/>
      <c r="C438" s="136"/>
      <c r="D438" s="144"/>
      <c r="F438" s="84"/>
      <c r="G438" s="241"/>
      <c r="H438" s="242"/>
      <c r="I438" s="243"/>
      <c r="K438" s="275"/>
      <c r="L438" s="269"/>
    </row>
    <row r="439" spans="1:12" s="55" customFormat="1" ht="11.1" customHeight="1" x14ac:dyDescent="0.15">
      <c r="A439" s="56"/>
      <c r="G439" s="249"/>
      <c r="H439" s="250"/>
      <c r="K439" s="218"/>
      <c r="L439" s="269"/>
    </row>
    <row r="440" spans="1:12" s="55" customFormat="1" ht="11.1" customHeight="1" x14ac:dyDescent="0.15">
      <c r="A440" s="56"/>
      <c r="G440" s="249"/>
      <c r="H440" s="250"/>
      <c r="K440" s="218"/>
      <c r="L440" s="269"/>
    </row>
    <row r="441" spans="1:12" s="55" customFormat="1" ht="15.75" customHeight="1" x14ac:dyDescent="0.15">
      <c r="A441" s="159" t="s">
        <v>114</v>
      </c>
      <c r="G441" s="249"/>
      <c r="H441" s="250"/>
      <c r="K441" s="218"/>
      <c r="L441" s="269"/>
    </row>
    <row r="442" spans="1:12" s="31" customFormat="1" ht="20.25" customHeight="1" x14ac:dyDescent="0.3">
      <c r="A442" s="160" t="s">
        <v>183</v>
      </c>
      <c r="B442" s="161"/>
      <c r="D442" s="32"/>
      <c r="E442" s="32"/>
      <c r="F442" s="33"/>
      <c r="G442" s="34"/>
      <c r="H442" s="35"/>
      <c r="I442" s="36"/>
      <c r="J442" s="246"/>
      <c r="K442" s="37"/>
      <c r="L442" s="269"/>
    </row>
    <row r="443" spans="1:12" ht="15.75" customHeight="1" x14ac:dyDescent="0.25">
      <c r="A443" s="41" t="s">
        <v>969</v>
      </c>
      <c r="B443" s="81"/>
      <c r="C443" s="192"/>
      <c r="D443" s="247"/>
      <c r="L443" s="269"/>
    </row>
    <row r="444" spans="1:12" ht="4.05" customHeight="1" x14ac:dyDescent="0.3">
      <c r="A444" s="248"/>
      <c r="B444" s="71"/>
      <c r="C444" s="72"/>
      <c r="D444" s="73"/>
      <c r="E444" s="73"/>
      <c r="F444" s="73"/>
      <c r="G444" s="101"/>
      <c r="H444" s="102"/>
      <c r="I444" s="103"/>
      <c r="J444" s="77"/>
      <c r="L444" s="269"/>
    </row>
    <row r="445" spans="1:12" s="55" customFormat="1" ht="4.05" customHeight="1" x14ac:dyDescent="0.2">
      <c r="A445" s="81"/>
      <c r="B445" s="81"/>
      <c r="D445" s="84"/>
      <c r="E445" s="84"/>
      <c r="F445" s="84"/>
      <c r="G445" s="249"/>
      <c r="H445" s="250"/>
      <c r="I445" s="251"/>
      <c r="J445" s="252"/>
      <c r="K445" s="53"/>
      <c r="L445" s="269"/>
    </row>
    <row r="446" spans="1:12" s="180" customFormat="1" ht="11.1" customHeight="1" x14ac:dyDescent="0.15">
      <c r="A446" s="172"/>
      <c r="B446" s="172"/>
      <c r="C446" s="173"/>
      <c r="D446" s="174"/>
      <c r="E446" s="174"/>
      <c r="F446" s="59"/>
      <c r="G446" s="60" t="s">
        <v>116</v>
      </c>
      <c r="H446" s="61" t="s">
        <v>25</v>
      </c>
      <c r="I446" s="62" t="s">
        <v>26</v>
      </c>
      <c r="J446" s="63" t="s">
        <v>117</v>
      </c>
      <c r="K446" s="179"/>
      <c r="L446" s="269"/>
    </row>
    <row r="447" spans="1:12" s="180" customFormat="1" ht="11.1" customHeight="1" x14ac:dyDescent="0.15">
      <c r="A447" s="172"/>
      <c r="B447" s="172"/>
      <c r="C447" s="181"/>
      <c r="D447" s="174"/>
      <c r="E447" s="174"/>
      <c r="F447" s="59"/>
      <c r="G447" s="67" t="s">
        <v>29</v>
      </c>
      <c r="H447" s="61" t="s">
        <v>27</v>
      </c>
      <c r="I447" s="62" t="s">
        <v>28</v>
      </c>
      <c r="J447" s="63" t="s">
        <v>118</v>
      </c>
      <c r="K447" s="179"/>
      <c r="L447" s="269"/>
    </row>
    <row r="448" spans="1:12" s="180" customFormat="1" ht="11.1" customHeight="1" x14ac:dyDescent="0.15">
      <c r="A448" s="172"/>
      <c r="B448" s="172"/>
      <c r="C448" s="181"/>
      <c r="D448" s="174"/>
      <c r="E448" s="174"/>
      <c r="F448" s="59"/>
      <c r="G448" s="60" t="s">
        <v>31</v>
      </c>
      <c r="H448" s="61" t="s">
        <v>29</v>
      </c>
      <c r="I448" s="62" t="s">
        <v>30</v>
      </c>
      <c r="J448" s="69" t="s">
        <v>119</v>
      </c>
      <c r="K448" s="179"/>
      <c r="L448" s="269"/>
    </row>
    <row r="449" spans="1:14" s="180" customFormat="1" ht="11.1" customHeight="1" x14ac:dyDescent="0.15">
      <c r="A449" s="172"/>
      <c r="B449" s="172"/>
      <c r="C449" s="181"/>
      <c r="D449" s="174"/>
      <c r="E449" s="174"/>
      <c r="F449" s="59"/>
      <c r="G449" s="67" t="s">
        <v>32</v>
      </c>
      <c r="H449" s="61" t="s">
        <v>33</v>
      </c>
      <c r="I449" s="62" t="s">
        <v>120</v>
      </c>
      <c r="J449" s="70" t="s">
        <v>121</v>
      </c>
      <c r="K449" s="179"/>
      <c r="L449" s="269"/>
    </row>
    <row r="450" spans="1:14" ht="4.05" customHeight="1" x14ac:dyDescent="0.2">
      <c r="A450" s="71"/>
      <c r="B450" s="71"/>
      <c r="C450" s="72"/>
      <c r="D450" s="73"/>
      <c r="E450" s="73"/>
      <c r="F450" s="73"/>
      <c r="G450" s="101"/>
      <c r="H450" s="102"/>
      <c r="I450" s="103"/>
      <c r="J450" s="73"/>
      <c r="L450" s="269"/>
    </row>
    <row r="451" spans="1:14" ht="4.05" customHeight="1" x14ac:dyDescent="0.2">
      <c r="B451" s="81"/>
      <c r="C451" s="82"/>
      <c r="D451" s="83"/>
      <c r="E451" s="83"/>
      <c r="F451" s="84"/>
      <c r="G451" s="85"/>
      <c r="H451" s="86"/>
      <c r="I451" s="87"/>
      <c r="J451" s="83"/>
      <c r="L451" s="269"/>
    </row>
    <row r="452" spans="1:14" s="93" customFormat="1" ht="11.1" customHeight="1" x14ac:dyDescent="0.2">
      <c r="A452" s="111" t="s">
        <v>123</v>
      </c>
      <c r="B452" s="112"/>
      <c r="C452" s="113"/>
      <c r="F452" s="114" t="s">
        <v>124</v>
      </c>
      <c r="G452" s="115"/>
      <c r="H452" s="116"/>
      <c r="I452" s="117"/>
      <c r="K452" s="53"/>
      <c r="L452" s="270"/>
    </row>
    <row r="453" spans="1:14" s="128" customFormat="1" ht="4.05" customHeight="1" x14ac:dyDescent="0.2">
      <c r="A453" s="186"/>
      <c r="B453" s="186"/>
      <c r="C453" s="187"/>
      <c r="D453" s="79"/>
      <c r="E453" s="79"/>
      <c r="G453" s="107"/>
      <c r="H453" s="108"/>
      <c r="I453" s="109"/>
      <c r="J453" s="110"/>
      <c r="K453" s="53"/>
      <c r="L453" s="269"/>
    </row>
    <row r="454" spans="1:14" s="128" customFormat="1" ht="12.75" customHeight="1" x14ac:dyDescent="0.25">
      <c r="A454" s="276">
        <v>8</v>
      </c>
      <c r="B454" s="277" t="s">
        <v>527</v>
      </c>
      <c r="C454" s="188"/>
      <c r="D454" s="121"/>
      <c r="E454" s="121"/>
      <c r="F454" s="259"/>
      <c r="G454" s="123">
        <v>21.4</v>
      </c>
      <c r="H454" s="124">
        <v>594</v>
      </c>
      <c r="I454" s="124">
        <v>5300</v>
      </c>
      <c r="J454" s="125">
        <v>1.5</v>
      </c>
      <c r="K454" s="78"/>
      <c r="L454" s="78"/>
      <c r="M454" s="271"/>
      <c r="N454" s="271"/>
    </row>
    <row r="455" spans="1:14" s="55" customFormat="1" ht="6" customHeight="1" x14ac:dyDescent="0.2">
      <c r="A455" s="56"/>
      <c r="B455" s="56"/>
      <c r="F455" s="84"/>
      <c r="G455" s="85"/>
      <c r="H455" s="86"/>
      <c r="I455" s="87"/>
      <c r="J455" s="231"/>
      <c r="K455" s="78"/>
      <c r="L455" s="78"/>
      <c r="M455" s="271"/>
      <c r="N455" s="271"/>
    </row>
    <row r="456" spans="1:14" ht="11.1" customHeight="1" x14ac:dyDescent="0.2">
      <c r="A456" s="80">
        <v>8.1</v>
      </c>
      <c r="B456" s="80" t="s">
        <v>528</v>
      </c>
      <c r="C456" s="80"/>
      <c r="D456" s="79"/>
      <c r="E456" s="79"/>
      <c r="G456" s="131">
        <v>0.7</v>
      </c>
      <c r="H456" s="132">
        <v>18</v>
      </c>
      <c r="I456" s="132">
        <v>830</v>
      </c>
      <c r="J456" s="135">
        <v>8</v>
      </c>
      <c r="K456" s="78"/>
      <c r="L456" s="78"/>
      <c r="M456" s="271"/>
      <c r="N456" s="271"/>
    </row>
    <row r="457" spans="1:14" ht="3" customHeight="1" x14ac:dyDescent="0.2">
      <c r="B457" s="129"/>
      <c r="C457" s="55"/>
      <c r="D457" s="79"/>
      <c r="E457" s="79"/>
      <c r="G457" s="85"/>
      <c r="H457" s="86"/>
      <c r="I457" s="87"/>
      <c r="J457" s="217"/>
      <c r="K457" s="78"/>
      <c r="L457" s="78"/>
      <c r="M457" s="271"/>
      <c r="N457" s="271"/>
    </row>
    <row r="458" spans="1:14" ht="11.1" customHeight="1" x14ac:dyDescent="0.2">
      <c r="A458" s="80">
        <v>8.1999999999999993</v>
      </c>
      <c r="B458" s="129" t="s">
        <v>529</v>
      </c>
      <c r="D458" s="79"/>
      <c r="E458" s="79"/>
      <c r="G458" s="131">
        <v>1.5</v>
      </c>
      <c r="H458" s="132">
        <v>42</v>
      </c>
      <c r="I458" s="132">
        <v>230</v>
      </c>
      <c r="J458" s="135">
        <v>17</v>
      </c>
      <c r="K458" s="78"/>
      <c r="L458" s="78"/>
      <c r="M458" s="271"/>
      <c r="N458" s="271"/>
    </row>
    <row r="459" spans="1:14" s="55" customFormat="1" ht="11.1" customHeight="1" x14ac:dyDescent="0.2">
      <c r="A459" s="56"/>
      <c r="B459" s="56" t="s">
        <v>530</v>
      </c>
      <c r="C459" s="136" t="s">
        <v>531</v>
      </c>
      <c r="F459" s="84"/>
      <c r="G459" s="202">
        <v>0</v>
      </c>
      <c r="H459" s="203">
        <v>1</v>
      </c>
      <c r="I459" s="132">
        <v>20</v>
      </c>
      <c r="J459" s="135">
        <v>27.2</v>
      </c>
      <c r="K459" s="78"/>
      <c r="L459" s="78"/>
      <c r="M459" s="271"/>
      <c r="N459" s="271"/>
    </row>
    <row r="460" spans="1:14" s="55" customFormat="1" ht="11.1" customHeight="1" x14ac:dyDescent="0.2">
      <c r="A460" s="56"/>
      <c r="B460" s="56" t="s">
        <v>532</v>
      </c>
      <c r="C460" s="136" t="s">
        <v>533</v>
      </c>
      <c r="F460" s="84"/>
      <c r="G460" s="131">
        <v>1.5</v>
      </c>
      <c r="H460" s="132">
        <v>41</v>
      </c>
      <c r="I460" s="132">
        <v>210</v>
      </c>
      <c r="J460" s="135">
        <v>17.600000000000001</v>
      </c>
      <c r="K460" s="78"/>
      <c r="L460" s="78"/>
      <c r="M460" s="271"/>
      <c r="N460" s="271"/>
    </row>
    <row r="461" spans="1:14" s="55" customFormat="1" ht="11.1" customHeight="1" x14ac:dyDescent="0.2">
      <c r="A461" s="56"/>
      <c r="B461" s="56" t="s">
        <v>534</v>
      </c>
      <c r="C461" s="136" t="s">
        <v>535</v>
      </c>
      <c r="F461" s="84"/>
      <c r="G461" s="138" t="s">
        <v>367</v>
      </c>
      <c r="H461" s="139" t="s">
        <v>367</v>
      </c>
      <c r="I461" s="139" t="s">
        <v>367</v>
      </c>
      <c r="J461" s="135" t="s">
        <v>230</v>
      </c>
      <c r="K461" s="78"/>
      <c r="L461" s="78"/>
      <c r="M461" s="271"/>
      <c r="N461" s="271"/>
    </row>
    <row r="462" spans="1:14" s="55" customFormat="1" ht="3" customHeight="1" x14ac:dyDescent="0.2">
      <c r="A462" s="80"/>
      <c r="B462" s="129"/>
      <c r="D462" s="79"/>
      <c r="E462" s="79"/>
      <c r="F462" s="219"/>
      <c r="G462" s="85"/>
      <c r="H462" s="86"/>
      <c r="I462" s="87"/>
      <c r="J462" s="231"/>
      <c r="K462" s="78"/>
      <c r="L462" s="78"/>
      <c r="M462" s="271"/>
      <c r="N462" s="271"/>
    </row>
    <row r="463" spans="1:14" ht="11.1" customHeight="1" x14ac:dyDescent="0.2">
      <c r="A463" s="80">
        <v>8.3000000000000007</v>
      </c>
      <c r="B463" s="80" t="s">
        <v>536</v>
      </c>
      <c r="D463" s="79"/>
      <c r="E463" s="79"/>
      <c r="G463" s="131">
        <v>8.4</v>
      </c>
      <c r="H463" s="132">
        <v>232</v>
      </c>
      <c r="I463" s="132">
        <v>4070</v>
      </c>
      <c r="J463" s="135">
        <v>1.5</v>
      </c>
      <c r="K463" s="78"/>
      <c r="L463" s="78"/>
      <c r="M463" s="271"/>
      <c r="N463" s="271"/>
    </row>
    <row r="464" spans="1:14" s="55" customFormat="1" ht="11.1" customHeight="1" x14ac:dyDescent="0.2">
      <c r="B464" s="56" t="s">
        <v>537</v>
      </c>
      <c r="C464" s="56" t="s">
        <v>538</v>
      </c>
      <c r="D464" s="56"/>
      <c r="E464" s="56"/>
      <c r="F464" s="84"/>
      <c r="G464" s="131">
        <v>0.6</v>
      </c>
      <c r="H464" s="132">
        <v>17</v>
      </c>
      <c r="I464" s="132">
        <v>520</v>
      </c>
      <c r="J464" s="135">
        <v>5.9</v>
      </c>
      <c r="K464" s="78"/>
      <c r="L464" s="78"/>
      <c r="M464" s="271"/>
      <c r="N464" s="271"/>
    </row>
    <row r="465" spans="1:14" s="55" customFormat="1" ht="11.1" customHeight="1" x14ac:dyDescent="0.2">
      <c r="B465" s="56" t="s">
        <v>539</v>
      </c>
      <c r="C465" s="56" t="s">
        <v>540</v>
      </c>
      <c r="F465" s="84"/>
      <c r="G465" s="138" t="s">
        <v>230</v>
      </c>
      <c r="H465" s="139" t="s">
        <v>230</v>
      </c>
      <c r="I465" s="139" t="s">
        <v>230</v>
      </c>
      <c r="J465" s="135" t="s">
        <v>230</v>
      </c>
      <c r="K465" s="78"/>
      <c r="L465" s="78"/>
      <c r="M465" s="271"/>
      <c r="N465" s="271"/>
    </row>
    <row r="466" spans="1:14" s="55" customFormat="1" ht="11.1" customHeight="1" x14ac:dyDescent="0.2">
      <c r="B466" s="56" t="s">
        <v>541</v>
      </c>
      <c r="C466" s="56" t="s">
        <v>542</v>
      </c>
      <c r="D466" s="56"/>
      <c r="E466" s="56"/>
      <c r="F466" s="84"/>
      <c r="G466" s="131">
        <v>7.5</v>
      </c>
      <c r="H466" s="132">
        <v>208</v>
      </c>
      <c r="I466" s="132">
        <v>3690</v>
      </c>
      <c r="J466" s="135">
        <v>1.6</v>
      </c>
      <c r="K466" s="78"/>
      <c r="L466" s="78"/>
      <c r="M466" s="271"/>
      <c r="N466" s="271"/>
    </row>
    <row r="467" spans="1:14" s="55" customFormat="1" ht="11.1" customHeight="1" x14ac:dyDescent="0.2">
      <c r="B467" s="56" t="s">
        <v>543</v>
      </c>
      <c r="C467" s="56" t="s">
        <v>544</v>
      </c>
      <c r="D467" s="56"/>
      <c r="E467" s="56"/>
      <c r="F467" s="84"/>
      <c r="G467" s="131">
        <v>0.2</v>
      </c>
      <c r="H467" s="132">
        <v>7</v>
      </c>
      <c r="I467" s="132">
        <v>180</v>
      </c>
      <c r="J467" s="135">
        <v>10.6</v>
      </c>
      <c r="K467" s="78"/>
      <c r="L467" s="78"/>
      <c r="M467" s="271"/>
      <c r="N467" s="271"/>
    </row>
    <row r="468" spans="1:14" s="55" customFormat="1" ht="3" customHeight="1" x14ac:dyDescent="0.2">
      <c r="B468" s="56"/>
      <c r="C468" s="56"/>
      <c r="D468" s="56"/>
      <c r="E468" s="56"/>
      <c r="F468" s="84"/>
      <c r="G468" s="85"/>
      <c r="H468" s="86"/>
      <c r="I468" s="87"/>
      <c r="J468" s="231"/>
      <c r="K468" s="78"/>
      <c r="L468" s="78"/>
      <c r="M468" s="271"/>
      <c r="N468" s="271"/>
    </row>
    <row r="469" spans="1:14" s="55" customFormat="1" ht="11.1" customHeight="1" x14ac:dyDescent="0.2">
      <c r="A469" s="80">
        <v>8.4</v>
      </c>
      <c r="B469" s="80" t="s">
        <v>545</v>
      </c>
      <c r="C469" s="56"/>
      <c r="D469" s="56"/>
      <c r="E469" s="56"/>
      <c r="F469" s="84"/>
      <c r="G469" s="131">
        <v>0.7</v>
      </c>
      <c r="H469" s="132">
        <v>19</v>
      </c>
      <c r="I469" s="132">
        <v>540</v>
      </c>
      <c r="J469" s="135">
        <v>5.4</v>
      </c>
      <c r="K469" s="78"/>
      <c r="L469" s="78"/>
      <c r="M469" s="271"/>
      <c r="N469" s="271"/>
    </row>
    <row r="470" spans="1:14" ht="3" customHeight="1" x14ac:dyDescent="0.2">
      <c r="A470" s="56"/>
      <c r="B470" s="56"/>
      <c r="C470" s="56"/>
      <c r="D470" s="55"/>
      <c r="E470" s="55"/>
      <c r="F470" s="84"/>
      <c r="G470" s="85"/>
      <c r="H470" s="278"/>
      <c r="I470" s="87"/>
      <c r="J470" s="231"/>
      <c r="K470" s="78"/>
      <c r="L470" s="78"/>
      <c r="M470" s="271"/>
      <c r="N470" s="271"/>
    </row>
    <row r="471" spans="1:14" s="55" customFormat="1" ht="11.1" customHeight="1" x14ac:dyDescent="0.2">
      <c r="A471" s="80">
        <v>8.5</v>
      </c>
      <c r="B471" s="80" t="s">
        <v>546</v>
      </c>
      <c r="C471" s="56"/>
      <c r="D471" s="56"/>
      <c r="E471" s="56"/>
      <c r="F471" s="84"/>
      <c r="G471" s="131">
        <v>10.1</v>
      </c>
      <c r="H471" s="132">
        <v>282</v>
      </c>
      <c r="I471" s="132">
        <v>4340</v>
      </c>
      <c r="J471" s="135">
        <v>1</v>
      </c>
      <c r="K471" s="78"/>
      <c r="L471" s="78"/>
      <c r="M471" s="271"/>
      <c r="N471" s="271"/>
    </row>
    <row r="472" spans="1:14" ht="4.05" customHeight="1" x14ac:dyDescent="0.2">
      <c r="A472" s="45"/>
      <c r="B472" s="45"/>
      <c r="C472" s="45"/>
      <c r="D472" s="47"/>
      <c r="E472" s="47"/>
      <c r="F472" s="48"/>
      <c r="G472" s="74"/>
      <c r="H472" s="279"/>
      <c r="I472" s="76"/>
      <c r="J472" s="258"/>
      <c r="K472" s="78"/>
      <c r="L472" s="78"/>
      <c r="M472" s="271"/>
      <c r="N472" s="271"/>
    </row>
    <row r="473" spans="1:14" s="229" customFormat="1" ht="4.05" customHeight="1" x14ac:dyDescent="0.2">
      <c r="A473" s="56"/>
      <c r="B473" s="56"/>
      <c r="C473" s="56"/>
      <c r="D473" s="56"/>
      <c r="E473" s="56"/>
      <c r="F473" s="84"/>
      <c r="G473" s="85"/>
      <c r="H473" s="280"/>
      <c r="I473" s="87"/>
      <c r="J473" s="231"/>
      <c r="K473" s="78"/>
      <c r="L473" s="78"/>
      <c r="M473" s="271"/>
      <c r="N473" s="271"/>
    </row>
    <row r="474" spans="1:14" s="128" customFormat="1" ht="12.75" customHeight="1" x14ac:dyDescent="0.25">
      <c r="A474" s="188">
        <v>9</v>
      </c>
      <c r="B474" s="281" t="s">
        <v>547</v>
      </c>
      <c r="C474" s="188"/>
      <c r="D474" s="188"/>
      <c r="E474" s="188"/>
      <c r="F474" s="259"/>
      <c r="G474" s="123">
        <v>74.8</v>
      </c>
      <c r="H474" s="124">
        <v>2080</v>
      </c>
      <c r="I474" s="124">
        <v>5370</v>
      </c>
      <c r="J474" s="125">
        <v>2.6</v>
      </c>
      <c r="K474" s="78"/>
      <c r="L474" s="78"/>
      <c r="M474" s="271"/>
      <c r="N474" s="271"/>
    </row>
    <row r="475" spans="1:14" s="128" customFormat="1" ht="6" customHeight="1" x14ac:dyDescent="0.2">
      <c r="A475" s="80"/>
      <c r="B475" s="129"/>
      <c r="C475" s="56"/>
      <c r="D475" s="79"/>
      <c r="E475" s="79"/>
      <c r="F475" s="219"/>
      <c r="G475" s="85"/>
      <c r="H475" s="86"/>
      <c r="I475" s="87"/>
      <c r="J475" s="217"/>
      <c r="K475" s="78"/>
      <c r="L475" s="78"/>
      <c r="M475" s="271"/>
      <c r="N475" s="271"/>
    </row>
    <row r="476" spans="1:14" ht="11.1" customHeight="1" x14ac:dyDescent="0.2">
      <c r="A476" s="80">
        <v>9.1</v>
      </c>
      <c r="B476" s="129" t="s">
        <v>548</v>
      </c>
      <c r="C476" s="80"/>
      <c r="D476" s="79"/>
      <c r="E476" s="79"/>
      <c r="G476" s="131">
        <v>4.5</v>
      </c>
      <c r="H476" s="132">
        <v>125</v>
      </c>
      <c r="I476" s="132">
        <v>960</v>
      </c>
      <c r="J476" s="135">
        <v>9.6</v>
      </c>
      <c r="K476" s="78"/>
      <c r="L476" s="78"/>
      <c r="M476" s="271"/>
      <c r="N476" s="271"/>
    </row>
    <row r="477" spans="1:14" s="55" customFormat="1" ht="11.1" customHeight="1" x14ac:dyDescent="0.2">
      <c r="A477" s="56"/>
      <c r="B477" s="56" t="s">
        <v>549</v>
      </c>
      <c r="C477" s="56" t="s">
        <v>550</v>
      </c>
      <c r="F477" s="84"/>
      <c r="G477" s="131">
        <v>1.1000000000000001</v>
      </c>
      <c r="H477" s="132">
        <v>30</v>
      </c>
      <c r="I477" s="132">
        <v>430</v>
      </c>
      <c r="J477" s="135">
        <v>9.6999999999999993</v>
      </c>
      <c r="K477" s="78"/>
      <c r="L477" s="78"/>
      <c r="M477" s="271"/>
      <c r="N477" s="271"/>
    </row>
    <row r="478" spans="1:14" s="55" customFormat="1" ht="11.1" customHeight="1" x14ac:dyDescent="0.2">
      <c r="A478" s="56"/>
      <c r="C478" s="56" t="s">
        <v>551</v>
      </c>
      <c r="D478" s="56" t="s">
        <v>552</v>
      </c>
      <c r="E478" s="56"/>
      <c r="F478" s="84"/>
      <c r="G478" s="131">
        <v>0.3</v>
      </c>
      <c r="H478" s="132">
        <v>9</v>
      </c>
      <c r="I478" s="132">
        <v>70</v>
      </c>
      <c r="J478" s="135">
        <v>21.8</v>
      </c>
      <c r="K478" s="78"/>
      <c r="L478" s="78"/>
      <c r="M478" s="271"/>
      <c r="N478" s="271"/>
    </row>
    <row r="479" spans="1:14" s="55" customFormat="1" ht="11.1" customHeight="1" x14ac:dyDescent="0.2">
      <c r="A479" s="56"/>
      <c r="C479" s="56" t="s">
        <v>553</v>
      </c>
      <c r="D479" s="56" t="s">
        <v>554</v>
      </c>
      <c r="E479" s="56"/>
      <c r="F479" s="84"/>
      <c r="G479" s="131">
        <v>0.8</v>
      </c>
      <c r="H479" s="132">
        <v>21</v>
      </c>
      <c r="I479" s="132">
        <v>380</v>
      </c>
      <c r="J479" s="135">
        <v>10.9</v>
      </c>
      <c r="K479" s="78"/>
      <c r="L479" s="78"/>
      <c r="M479" s="271"/>
      <c r="N479" s="271"/>
    </row>
    <row r="480" spans="1:14" s="55" customFormat="1" ht="3" customHeight="1" x14ac:dyDescent="0.2">
      <c r="A480" s="56"/>
      <c r="B480" s="136"/>
      <c r="C480" s="56"/>
      <c r="F480" s="84"/>
      <c r="G480" s="85"/>
      <c r="H480" s="86"/>
      <c r="I480" s="87"/>
      <c r="J480" s="217"/>
      <c r="K480" s="78"/>
      <c r="L480" s="78"/>
      <c r="M480" s="271"/>
      <c r="N480" s="271"/>
    </row>
    <row r="481" spans="1:14" s="55" customFormat="1" ht="11.1" customHeight="1" x14ac:dyDescent="0.2">
      <c r="B481" s="56" t="s">
        <v>555</v>
      </c>
      <c r="C481" s="136" t="s">
        <v>556</v>
      </c>
      <c r="F481" s="84"/>
      <c r="G481" s="131">
        <v>2.9</v>
      </c>
      <c r="H481" s="132">
        <v>80</v>
      </c>
      <c r="I481" s="132">
        <v>600</v>
      </c>
      <c r="J481" s="135">
        <v>11</v>
      </c>
      <c r="L481" s="78"/>
      <c r="M481" s="271"/>
      <c r="N481" s="271"/>
    </row>
    <row r="482" spans="1:14" s="55" customFormat="1" ht="11.1" customHeight="1" x14ac:dyDescent="0.2">
      <c r="A482" s="56"/>
      <c r="C482" s="136" t="s">
        <v>557</v>
      </c>
      <c r="D482" s="56" t="s">
        <v>558</v>
      </c>
      <c r="E482" s="56"/>
      <c r="F482" s="84"/>
      <c r="G482" s="131">
        <v>0.7</v>
      </c>
      <c r="H482" s="132">
        <v>19</v>
      </c>
      <c r="I482" s="132">
        <v>50</v>
      </c>
      <c r="J482" s="135">
        <v>26.3</v>
      </c>
      <c r="K482" s="282"/>
      <c r="L482" s="78"/>
      <c r="M482" s="271"/>
      <c r="N482" s="271"/>
    </row>
    <row r="483" spans="1:14" s="55" customFormat="1" ht="11.1" customHeight="1" x14ac:dyDescent="0.2">
      <c r="A483" s="56"/>
      <c r="C483" s="136" t="s">
        <v>559</v>
      </c>
      <c r="D483" s="56" t="s">
        <v>560</v>
      </c>
      <c r="E483" s="56"/>
      <c r="F483" s="84"/>
      <c r="G483" s="138" t="s">
        <v>367</v>
      </c>
      <c r="H483" s="139" t="s">
        <v>367</v>
      </c>
      <c r="I483" s="139" t="s">
        <v>367</v>
      </c>
      <c r="J483" s="135" t="s">
        <v>230</v>
      </c>
      <c r="K483" s="78"/>
      <c r="L483" s="78"/>
      <c r="M483" s="271"/>
      <c r="N483" s="271"/>
    </row>
    <row r="484" spans="1:14" s="55" customFormat="1" ht="11.1" customHeight="1" x14ac:dyDescent="0.2">
      <c r="A484" s="56"/>
      <c r="C484" s="56" t="s">
        <v>561</v>
      </c>
      <c r="D484" s="55" t="s">
        <v>562</v>
      </c>
      <c r="F484" s="84"/>
      <c r="G484" s="138" t="s">
        <v>367</v>
      </c>
      <c r="H484" s="139" t="s">
        <v>367</v>
      </c>
      <c r="I484" s="139" t="s">
        <v>367</v>
      </c>
      <c r="J484" s="135" t="s">
        <v>230</v>
      </c>
      <c r="K484" s="78"/>
      <c r="L484" s="78"/>
      <c r="M484" s="271"/>
      <c r="N484" s="271"/>
    </row>
    <row r="485" spans="1:14" s="55" customFormat="1" ht="11.1" customHeight="1" x14ac:dyDescent="0.2">
      <c r="A485" s="56"/>
      <c r="C485" s="56" t="s">
        <v>563</v>
      </c>
      <c r="D485" s="55" t="s">
        <v>564</v>
      </c>
      <c r="F485" s="84"/>
      <c r="G485" s="138" t="s">
        <v>230</v>
      </c>
      <c r="H485" s="139" t="s">
        <v>230</v>
      </c>
      <c r="I485" s="139" t="s">
        <v>230</v>
      </c>
      <c r="J485" s="135" t="s">
        <v>230</v>
      </c>
      <c r="K485" s="78"/>
      <c r="L485" s="78"/>
      <c r="M485" s="271"/>
      <c r="N485" s="271"/>
    </row>
    <row r="486" spans="1:14" s="55" customFormat="1" ht="11.1" customHeight="1" x14ac:dyDescent="0.2">
      <c r="A486" s="56"/>
      <c r="C486" s="56" t="s">
        <v>565</v>
      </c>
      <c r="D486" s="55" t="s">
        <v>566</v>
      </c>
      <c r="F486" s="84"/>
      <c r="G486" s="138" t="s">
        <v>230</v>
      </c>
      <c r="H486" s="139" t="s">
        <v>230</v>
      </c>
      <c r="I486" s="139" t="s">
        <v>230</v>
      </c>
      <c r="J486" s="135" t="s">
        <v>230</v>
      </c>
      <c r="K486" s="78"/>
      <c r="L486" s="78"/>
      <c r="M486" s="271"/>
      <c r="N486" s="271"/>
    </row>
    <row r="487" spans="1:14" s="55" customFormat="1" ht="11.1" customHeight="1" x14ac:dyDescent="0.2">
      <c r="A487" s="56"/>
      <c r="C487" s="56" t="s">
        <v>567</v>
      </c>
      <c r="D487" s="56" t="s">
        <v>568</v>
      </c>
      <c r="E487" s="56"/>
      <c r="F487" s="84"/>
      <c r="G487" s="131">
        <v>0.2</v>
      </c>
      <c r="H487" s="132">
        <v>7</v>
      </c>
      <c r="I487" s="132">
        <v>220</v>
      </c>
      <c r="J487" s="135">
        <v>10.3</v>
      </c>
      <c r="K487" s="78"/>
      <c r="L487" s="78"/>
      <c r="M487" s="271"/>
      <c r="N487" s="271"/>
    </row>
    <row r="488" spans="1:14" s="55" customFormat="1" ht="11.1" customHeight="1" x14ac:dyDescent="0.2">
      <c r="A488" s="56"/>
      <c r="C488" s="56" t="s">
        <v>569</v>
      </c>
      <c r="D488" s="56" t="s">
        <v>570</v>
      </c>
      <c r="E488" s="56"/>
      <c r="F488" s="84"/>
      <c r="G488" s="131">
        <v>1.8</v>
      </c>
      <c r="H488" s="132">
        <v>50</v>
      </c>
      <c r="I488" s="132">
        <v>300</v>
      </c>
      <c r="J488" s="135">
        <v>13.9</v>
      </c>
      <c r="K488" s="78"/>
      <c r="L488" s="78"/>
      <c r="M488" s="271"/>
      <c r="N488" s="271"/>
    </row>
    <row r="489" spans="1:14" s="55" customFormat="1" ht="11.1" customHeight="1" x14ac:dyDescent="0.2">
      <c r="A489" s="56"/>
      <c r="C489" s="56" t="s">
        <v>571</v>
      </c>
      <c r="D489" s="55" t="s">
        <v>572</v>
      </c>
      <c r="F489" s="84"/>
      <c r="G489" s="131">
        <v>0.1</v>
      </c>
      <c r="H489" s="132">
        <v>2</v>
      </c>
      <c r="I489" s="132">
        <v>40</v>
      </c>
      <c r="J489" s="135">
        <v>29.4</v>
      </c>
      <c r="K489" s="78"/>
      <c r="L489" s="78"/>
      <c r="M489" s="271"/>
      <c r="N489" s="271"/>
    </row>
    <row r="490" spans="1:14" s="55" customFormat="1" ht="11.1" customHeight="1" x14ac:dyDescent="0.2">
      <c r="A490" s="56"/>
      <c r="C490" s="56" t="s">
        <v>573</v>
      </c>
      <c r="D490" s="56" t="s">
        <v>574</v>
      </c>
      <c r="E490" s="56"/>
      <c r="F490" s="84"/>
      <c r="G490" s="256">
        <v>0.1</v>
      </c>
      <c r="H490" s="203">
        <v>3</v>
      </c>
      <c r="I490" s="132">
        <v>20</v>
      </c>
      <c r="J490" s="135">
        <v>38.799999999999997</v>
      </c>
      <c r="K490" s="78"/>
      <c r="L490" s="78"/>
      <c r="M490" s="271"/>
      <c r="N490" s="271"/>
    </row>
    <row r="491" spans="1:14" s="55" customFormat="1" ht="3" customHeight="1" x14ac:dyDescent="0.2">
      <c r="A491" s="56"/>
      <c r="B491" s="56"/>
      <c r="F491" s="84"/>
      <c r="G491" s="85"/>
      <c r="H491" s="86"/>
      <c r="I491" s="87"/>
      <c r="J491" s="231"/>
      <c r="K491" s="78"/>
      <c r="L491" s="78"/>
      <c r="M491" s="271"/>
      <c r="N491" s="271"/>
    </row>
    <row r="492" spans="1:14" s="55" customFormat="1" ht="11.1" customHeight="1" x14ac:dyDescent="0.2">
      <c r="B492" s="56" t="s">
        <v>575</v>
      </c>
      <c r="C492" s="56" t="s">
        <v>576</v>
      </c>
      <c r="F492" s="84"/>
      <c r="G492" s="131">
        <v>0.5</v>
      </c>
      <c r="H492" s="132">
        <v>14</v>
      </c>
      <c r="I492" s="132">
        <v>50</v>
      </c>
      <c r="J492" s="135">
        <v>48.9</v>
      </c>
      <c r="K492" s="78"/>
      <c r="L492" s="78"/>
      <c r="M492" s="271"/>
      <c r="N492" s="271"/>
    </row>
    <row r="493" spans="1:14" s="55" customFormat="1" ht="11.1" customHeight="1" x14ac:dyDescent="0.2">
      <c r="B493" s="56"/>
      <c r="C493" s="56" t="s">
        <v>577</v>
      </c>
      <c r="D493" s="55" t="s">
        <v>578</v>
      </c>
      <c r="F493" s="84"/>
      <c r="G493" s="131">
        <v>0.4</v>
      </c>
      <c r="H493" s="132">
        <v>12</v>
      </c>
      <c r="I493" s="132">
        <v>30</v>
      </c>
      <c r="J493" s="135">
        <v>55.2</v>
      </c>
      <c r="K493" s="78"/>
      <c r="L493" s="78"/>
      <c r="M493" s="271"/>
      <c r="N493" s="271"/>
    </row>
    <row r="494" spans="1:14" s="55" customFormat="1" ht="11.1" customHeight="1" x14ac:dyDescent="0.2">
      <c r="B494" s="56"/>
      <c r="C494" s="56" t="s">
        <v>579</v>
      </c>
      <c r="D494" s="55" t="s">
        <v>580</v>
      </c>
      <c r="F494" s="84"/>
      <c r="G494" s="138" t="s">
        <v>230</v>
      </c>
      <c r="H494" s="139" t="s">
        <v>230</v>
      </c>
      <c r="I494" s="139" t="s">
        <v>230</v>
      </c>
      <c r="J494" s="135" t="s">
        <v>230</v>
      </c>
      <c r="K494" s="78"/>
      <c r="L494" s="78"/>
      <c r="M494" s="271"/>
      <c r="N494" s="271"/>
    </row>
    <row r="495" spans="1:14" s="55" customFormat="1" ht="11.1" customHeight="1" x14ac:dyDescent="0.2">
      <c r="C495" s="56" t="s">
        <v>581</v>
      </c>
      <c r="D495" s="56" t="s">
        <v>582</v>
      </c>
      <c r="F495" s="84"/>
      <c r="G495" s="138" t="s">
        <v>230</v>
      </c>
      <c r="H495" s="139" t="s">
        <v>230</v>
      </c>
      <c r="I495" s="139" t="s">
        <v>230</v>
      </c>
      <c r="J495" s="135" t="s">
        <v>230</v>
      </c>
      <c r="K495" s="78"/>
      <c r="L495" s="78"/>
      <c r="M495" s="271"/>
      <c r="N495" s="271"/>
    </row>
    <row r="496" spans="1:14" ht="3" customHeight="1" x14ac:dyDescent="0.2">
      <c r="G496" s="85"/>
      <c r="J496" s="231"/>
      <c r="K496" s="78"/>
      <c r="L496" s="78"/>
      <c r="M496" s="271"/>
      <c r="N496" s="271"/>
    </row>
    <row r="497" spans="1:14" ht="11.1" customHeight="1" x14ac:dyDescent="0.2">
      <c r="A497" s="80">
        <v>9.1999999999999993</v>
      </c>
      <c r="B497" s="129" t="s">
        <v>583</v>
      </c>
      <c r="C497" s="80"/>
      <c r="D497" s="79"/>
      <c r="E497" s="79"/>
      <c r="G497" s="131">
        <v>2</v>
      </c>
      <c r="H497" s="132">
        <v>54</v>
      </c>
      <c r="I497" s="132">
        <v>110</v>
      </c>
      <c r="J497" s="135">
        <v>19.7</v>
      </c>
      <c r="K497" s="78"/>
      <c r="L497" s="78"/>
      <c r="M497" s="271"/>
      <c r="N497" s="271"/>
    </row>
    <row r="498" spans="1:14" s="55" customFormat="1" ht="11.1" customHeight="1" x14ac:dyDescent="0.2">
      <c r="B498" s="56" t="s">
        <v>584</v>
      </c>
      <c r="C498" s="55" t="s">
        <v>585</v>
      </c>
      <c r="F498" s="84"/>
      <c r="G498" s="256">
        <v>0.4</v>
      </c>
      <c r="H498" s="203">
        <v>10</v>
      </c>
      <c r="I498" s="132">
        <v>10</v>
      </c>
      <c r="J498" s="135">
        <v>42.4</v>
      </c>
      <c r="K498" s="78"/>
      <c r="L498" s="78"/>
      <c r="M498" s="271"/>
      <c r="N498" s="271"/>
    </row>
    <row r="499" spans="1:14" s="55" customFormat="1" ht="11.1" customHeight="1" x14ac:dyDescent="0.2">
      <c r="B499" s="56" t="s">
        <v>586</v>
      </c>
      <c r="C499" s="56" t="s">
        <v>587</v>
      </c>
      <c r="F499" s="84"/>
      <c r="G499" s="131">
        <v>0.5</v>
      </c>
      <c r="H499" s="132">
        <v>13</v>
      </c>
      <c r="I499" s="132">
        <v>20</v>
      </c>
      <c r="J499" s="135">
        <v>31.4</v>
      </c>
      <c r="K499" s="78"/>
      <c r="L499" s="78"/>
      <c r="M499" s="271"/>
      <c r="N499" s="271"/>
    </row>
    <row r="500" spans="1:14" s="55" customFormat="1" ht="11.1" customHeight="1" x14ac:dyDescent="0.2">
      <c r="B500" s="56" t="s">
        <v>588</v>
      </c>
      <c r="C500" s="55" t="s">
        <v>589</v>
      </c>
      <c r="F500" s="84"/>
      <c r="G500" s="138" t="s">
        <v>230</v>
      </c>
      <c r="H500" s="139" t="s">
        <v>230</v>
      </c>
      <c r="I500" s="139" t="s">
        <v>230</v>
      </c>
      <c r="J500" s="135" t="s">
        <v>230</v>
      </c>
      <c r="K500" s="78"/>
      <c r="L500" s="78"/>
      <c r="M500" s="271"/>
      <c r="N500" s="271"/>
    </row>
    <row r="501" spans="1:14" s="55" customFormat="1" ht="11.1" customHeight="1" x14ac:dyDescent="0.2">
      <c r="B501" s="56" t="s">
        <v>590</v>
      </c>
      <c r="C501" s="56" t="s">
        <v>591</v>
      </c>
      <c r="F501" s="84"/>
      <c r="G501" s="131">
        <v>0.3</v>
      </c>
      <c r="H501" s="132">
        <v>7</v>
      </c>
      <c r="I501" s="132">
        <v>40</v>
      </c>
      <c r="J501" s="135">
        <v>29.4</v>
      </c>
      <c r="K501" s="78"/>
      <c r="L501" s="78"/>
      <c r="M501" s="271"/>
      <c r="N501" s="271"/>
    </row>
    <row r="502" spans="1:14" s="55" customFormat="1" ht="11.1" customHeight="1" x14ac:dyDescent="0.2">
      <c r="B502" s="56" t="s">
        <v>592</v>
      </c>
      <c r="C502" s="55" t="s">
        <v>593</v>
      </c>
      <c r="F502" s="84"/>
      <c r="G502" s="138" t="s">
        <v>230</v>
      </c>
      <c r="H502" s="139" t="s">
        <v>230</v>
      </c>
      <c r="I502" s="139" t="s">
        <v>230</v>
      </c>
      <c r="J502" s="135" t="s">
        <v>230</v>
      </c>
      <c r="K502" s="78"/>
      <c r="L502" s="78"/>
      <c r="M502" s="271"/>
      <c r="N502" s="271"/>
    </row>
    <row r="503" spans="1:14" s="143" customFormat="1" ht="11.1" customHeight="1" x14ac:dyDescent="0.2">
      <c r="A503" s="55"/>
      <c r="B503" s="56" t="s">
        <v>594</v>
      </c>
      <c r="C503" s="56" t="s">
        <v>595</v>
      </c>
      <c r="D503" s="55"/>
      <c r="E503" s="55"/>
      <c r="F503" s="55"/>
      <c r="G503" s="131">
        <v>0.3</v>
      </c>
      <c r="H503" s="132">
        <v>7</v>
      </c>
      <c r="I503" s="132">
        <v>30</v>
      </c>
      <c r="J503" s="135">
        <v>44</v>
      </c>
      <c r="K503" s="78"/>
      <c r="L503" s="78"/>
      <c r="M503" s="271"/>
      <c r="N503" s="271"/>
    </row>
    <row r="504" spans="1:14" s="143" customFormat="1" ht="11.1" customHeight="1" x14ac:dyDescent="0.2">
      <c r="A504" s="55"/>
      <c r="B504" s="136" t="s">
        <v>596</v>
      </c>
      <c r="C504" s="55" t="s">
        <v>597</v>
      </c>
      <c r="D504" s="55"/>
      <c r="E504" s="55"/>
      <c r="F504" s="84"/>
      <c r="G504" s="138" t="s">
        <v>230</v>
      </c>
      <c r="H504" s="139" t="s">
        <v>230</v>
      </c>
      <c r="I504" s="139" t="s">
        <v>230</v>
      </c>
      <c r="J504" s="135" t="s">
        <v>230</v>
      </c>
      <c r="K504" s="78"/>
      <c r="L504" s="78"/>
      <c r="M504" s="271"/>
      <c r="N504" s="271"/>
    </row>
    <row r="505" spans="1:14" s="143" customFormat="1" ht="11.1" customHeight="1" x14ac:dyDescent="0.2">
      <c r="A505" s="55"/>
      <c r="B505" s="136" t="s">
        <v>598</v>
      </c>
      <c r="C505" s="55" t="s">
        <v>599</v>
      </c>
      <c r="D505" s="55"/>
      <c r="E505" s="55"/>
      <c r="F505" s="84"/>
      <c r="G505" s="138" t="s">
        <v>230</v>
      </c>
      <c r="H505" s="139" t="s">
        <v>230</v>
      </c>
      <c r="I505" s="139" t="s">
        <v>230</v>
      </c>
      <c r="J505" s="135" t="s">
        <v>230</v>
      </c>
      <c r="K505" s="78"/>
      <c r="L505" s="78"/>
      <c r="M505" s="271"/>
      <c r="N505" s="271"/>
    </row>
    <row r="506" spans="1:14" ht="3" customHeight="1" x14ac:dyDescent="0.2">
      <c r="A506" s="56"/>
      <c r="B506" s="56"/>
      <c r="C506" s="55"/>
      <c r="D506" s="55"/>
      <c r="E506" s="55"/>
      <c r="F506" s="84"/>
      <c r="G506" s="85"/>
      <c r="H506" s="86"/>
      <c r="I506" s="87"/>
      <c r="J506" s="231"/>
      <c r="K506" s="78"/>
      <c r="L506" s="78"/>
      <c r="M506" s="271"/>
      <c r="N506" s="271"/>
    </row>
    <row r="507" spans="1:14" ht="11.1" customHeight="1" x14ac:dyDescent="0.2">
      <c r="A507" s="80">
        <v>9.3000000000000007</v>
      </c>
      <c r="B507" s="80" t="s">
        <v>600</v>
      </c>
      <c r="D507" s="79"/>
      <c r="E507" s="79"/>
      <c r="G507" s="131">
        <v>15.5</v>
      </c>
      <c r="H507" s="132">
        <v>432</v>
      </c>
      <c r="I507" s="132">
        <v>3780</v>
      </c>
      <c r="J507" s="135">
        <v>4.3</v>
      </c>
      <c r="K507" s="78"/>
      <c r="L507" s="78"/>
      <c r="M507" s="271"/>
      <c r="N507" s="271"/>
    </row>
    <row r="508" spans="1:14" s="55" customFormat="1" ht="11.1" customHeight="1" x14ac:dyDescent="0.2">
      <c r="B508" s="56" t="s">
        <v>601</v>
      </c>
      <c r="C508" s="136" t="s">
        <v>602</v>
      </c>
      <c r="F508" s="84"/>
      <c r="G508" s="131">
        <v>3.2</v>
      </c>
      <c r="H508" s="132">
        <v>89</v>
      </c>
      <c r="I508" s="132">
        <v>1440</v>
      </c>
      <c r="J508" s="135">
        <v>6.1</v>
      </c>
      <c r="K508" s="78"/>
      <c r="L508" s="78"/>
      <c r="M508" s="271"/>
      <c r="N508" s="271"/>
    </row>
    <row r="509" spans="1:14" s="55" customFormat="1" ht="3" customHeight="1" x14ac:dyDescent="0.2">
      <c r="A509" s="56"/>
      <c r="B509" s="56"/>
      <c r="F509" s="84"/>
      <c r="G509" s="85"/>
      <c r="H509" s="86"/>
      <c r="I509" s="87"/>
      <c r="J509" s="231"/>
      <c r="K509" s="78"/>
      <c r="L509" s="78"/>
      <c r="M509" s="271"/>
      <c r="N509" s="271"/>
    </row>
    <row r="510" spans="1:14" s="55" customFormat="1" ht="11.1" customHeight="1" x14ac:dyDescent="0.2">
      <c r="B510" s="56" t="s">
        <v>603</v>
      </c>
      <c r="C510" s="56" t="s">
        <v>604</v>
      </c>
      <c r="F510" s="84"/>
      <c r="G510" s="131">
        <v>1</v>
      </c>
      <c r="H510" s="132">
        <v>28</v>
      </c>
      <c r="I510" s="132">
        <v>280</v>
      </c>
      <c r="J510" s="135">
        <v>11.8</v>
      </c>
      <c r="K510" s="78"/>
      <c r="L510" s="78"/>
      <c r="M510" s="271"/>
      <c r="N510" s="271"/>
    </row>
    <row r="511" spans="1:14" s="55" customFormat="1" ht="11.1" customHeight="1" x14ac:dyDescent="0.2">
      <c r="B511" s="56"/>
      <c r="C511" s="136" t="s">
        <v>605</v>
      </c>
      <c r="D511" s="56" t="s">
        <v>606</v>
      </c>
      <c r="E511" s="56"/>
      <c r="F511" s="84"/>
      <c r="G511" s="131">
        <v>0.7</v>
      </c>
      <c r="H511" s="132">
        <v>18</v>
      </c>
      <c r="I511" s="132">
        <v>250</v>
      </c>
      <c r="J511" s="135">
        <v>11</v>
      </c>
      <c r="K511" s="78"/>
      <c r="L511" s="78"/>
      <c r="M511" s="271"/>
      <c r="N511" s="271"/>
    </row>
    <row r="512" spans="1:14" s="149" customFormat="1" ht="11.1" customHeight="1" x14ac:dyDescent="0.2">
      <c r="B512" s="56"/>
      <c r="C512" s="136" t="s">
        <v>607</v>
      </c>
      <c r="D512" s="56" t="s">
        <v>608</v>
      </c>
      <c r="E512" s="56"/>
      <c r="F512" s="84"/>
      <c r="G512" s="131">
        <v>0.3</v>
      </c>
      <c r="H512" s="132">
        <v>9</v>
      </c>
      <c r="I512" s="132">
        <v>50</v>
      </c>
      <c r="J512" s="135">
        <v>24.5</v>
      </c>
      <c r="K512" s="78"/>
      <c r="L512" s="78"/>
      <c r="M512" s="271"/>
      <c r="N512" s="271"/>
    </row>
    <row r="513" spans="1:14" s="55" customFormat="1" ht="3" customHeight="1" x14ac:dyDescent="0.2">
      <c r="A513" s="56"/>
      <c r="B513" s="56"/>
      <c r="F513" s="84"/>
      <c r="G513" s="85"/>
      <c r="H513" s="86"/>
      <c r="I513" s="87"/>
      <c r="J513" s="231"/>
      <c r="K513" s="78"/>
      <c r="L513" s="78"/>
      <c r="M513" s="271"/>
      <c r="N513" s="271"/>
    </row>
    <row r="514" spans="1:14" s="55" customFormat="1" ht="11.1" customHeight="1" x14ac:dyDescent="0.2">
      <c r="B514" s="56" t="s">
        <v>609</v>
      </c>
      <c r="C514" s="56" t="s">
        <v>610</v>
      </c>
      <c r="D514" s="56"/>
      <c r="E514" s="56"/>
      <c r="F514" s="84"/>
      <c r="G514" s="131">
        <v>1.7</v>
      </c>
      <c r="H514" s="132">
        <v>47</v>
      </c>
      <c r="I514" s="132">
        <v>400</v>
      </c>
      <c r="J514" s="135">
        <v>19.100000000000001</v>
      </c>
      <c r="K514" s="78"/>
      <c r="L514" s="78"/>
      <c r="M514" s="271"/>
      <c r="N514" s="271"/>
    </row>
    <row r="515" spans="1:14" s="55" customFormat="1" ht="3" customHeight="1" x14ac:dyDescent="0.2">
      <c r="B515" s="56"/>
      <c r="C515" s="56"/>
      <c r="D515" s="56"/>
      <c r="E515" s="56"/>
      <c r="F515" s="84"/>
      <c r="G515" s="85"/>
      <c r="H515" s="86"/>
      <c r="I515" s="87"/>
      <c r="J515" s="231"/>
      <c r="K515" s="78"/>
      <c r="L515" s="78"/>
      <c r="M515" s="271"/>
      <c r="N515" s="271"/>
    </row>
    <row r="516" spans="1:14" s="55" customFormat="1" ht="11.1" customHeight="1" x14ac:dyDescent="0.2">
      <c r="B516" s="56" t="s">
        <v>611</v>
      </c>
      <c r="C516" s="56" t="s">
        <v>612</v>
      </c>
      <c r="F516" s="84"/>
      <c r="G516" s="131">
        <v>2.8</v>
      </c>
      <c r="H516" s="132">
        <v>78</v>
      </c>
      <c r="I516" s="132">
        <v>1890</v>
      </c>
      <c r="J516" s="135">
        <v>3.6</v>
      </c>
      <c r="K516" s="78"/>
      <c r="L516" s="78"/>
      <c r="M516" s="271"/>
      <c r="N516" s="271"/>
    </row>
    <row r="517" spans="1:14" s="55" customFormat="1" ht="11.1" customHeight="1" x14ac:dyDescent="0.2">
      <c r="B517" s="56"/>
      <c r="C517" s="56" t="s">
        <v>613</v>
      </c>
      <c r="D517" s="55" t="s">
        <v>614</v>
      </c>
      <c r="F517" s="84"/>
      <c r="G517" s="131">
        <v>0.1</v>
      </c>
      <c r="H517" s="132">
        <v>2</v>
      </c>
      <c r="I517" s="132">
        <v>40</v>
      </c>
      <c r="J517" s="135">
        <v>29.2</v>
      </c>
      <c r="K517" s="78"/>
      <c r="L517" s="78"/>
      <c r="M517" s="271"/>
      <c r="N517" s="271"/>
    </row>
    <row r="518" spans="1:14" s="55" customFormat="1" ht="11.1" customHeight="1" x14ac:dyDescent="0.2">
      <c r="B518" s="56"/>
      <c r="C518" s="56" t="s">
        <v>615</v>
      </c>
      <c r="D518" s="55" t="s">
        <v>616</v>
      </c>
      <c r="F518" s="84"/>
      <c r="G518" s="131">
        <v>2.5</v>
      </c>
      <c r="H518" s="132">
        <v>71</v>
      </c>
      <c r="I518" s="132">
        <v>1800</v>
      </c>
      <c r="J518" s="135">
        <v>3.9</v>
      </c>
      <c r="K518" s="78"/>
      <c r="L518" s="78"/>
      <c r="M518" s="271"/>
      <c r="N518" s="271"/>
    </row>
    <row r="519" spans="1:14" s="55" customFormat="1" ht="11.1" customHeight="1" x14ac:dyDescent="0.2">
      <c r="B519" s="56"/>
      <c r="C519" s="56" t="s">
        <v>617</v>
      </c>
      <c r="D519" s="56" t="s">
        <v>618</v>
      </c>
      <c r="E519" s="56"/>
      <c r="F519" s="84"/>
      <c r="G519" s="131">
        <v>0.1</v>
      </c>
      <c r="H519" s="132">
        <v>4</v>
      </c>
      <c r="I519" s="132">
        <v>130</v>
      </c>
      <c r="J519" s="135">
        <v>12.3</v>
      </c>
      <c r="K519" s="78"/>
      <c r="L519" s="78"/>
      <c r="M519" s="271"/>
      <c r="N519" s="271"/>
    </row>
    <row r="520" spans="1:14" s="55" customFormat="1" ht="11.1" customHeight="1" x14ac:dyDescent="0.2">
      <c r="B520" s="56"/>
      <c r="C520" s="56" t="s">
        <v>619</v>
      </c>
      <c r="D520" s="56" t="s">
        <v>620</v>
      </c>
      <c r="E520" s="56"/>
      <c r="F520" s="84"/>
      <c r="G520" s="145">
        <v>0</v>
      </c>
      <c r="H520" s="132">
        <v>1</v>
      </c>
      <c r="I520" s="132">
        <v>60</v>
      </c>
      <c r="J520" s="135">
        <v>17.7</v>
      </c>
      <c r="K520" s="78"/>
      <c r="L520" s="78"/>
      <c r="M520" s="271"/>
      <c r="N520" s="271"/>
    </row>
    <row r="521" spans="1:14" s="55" customFormat="1" ht="3" customHeight="1" x14ac:dyDescent="0.2">
      <c r="B521" s="56"/>
      <c r="C521" s="56"/>
      <c r="D521" s="144"/>
      <c r="E521" s="144"/>
      <c r="F521" s="84"/>
      <c r="G521" s="85"/>
      <c r="H521" s="139"/>
      <c r="I521" s="140"/>
      <c r="J521" s="135"/>
      <c r="K521" s="78"/>
      <c r="L521" s="78"/>
      <c r="M521" s="271"/>
      <c r="N521" s="271"/>
    </row>
    <row r="522" spans="1:14" s="55" customFormat="1" ht="11.1" customHeight="1" x14ac:dyDescent="0.2">
      <c r="B522" s="56" t="s">
        <v>621</v>
      </c>
      <c r="C522" s="56" t="s">
        <v>622</v>
      </c>
      <c r="F522" s="84"/>
      <c r="G522" s="131">
        <v>6.8</v>
      </c>
      <c r="H522" s="132">
        <v>190</v>
      </c>
      <c r="I522" s="132">
        <v>2200</v>
      </c>
      <c r="J522" s="135">
        <v>7.2</v>
      </c>
      <c r="K522" s="78"/>
      <c r="L522" s="78"/>
      <c r="M522" s="271"/>
      <c r="N522" s="271"/>
    </row>
    <row r="523" spans="1:14" s="55" customFormat="1" ht="11.1" customHeight="1" x14ac:dyDescent="0.2">
      <c r="B523" s="56"/>
      <c r="C523" s="136" t="s">
        <v>623</v>
      </c>
      <c r="D523" s="56" t="s">
        <v>624</v>
      </c>
      <c r="E523" s="56"/>
      <c r="F523" s="84"/>
      <c r="G523" s="131">
        <v>2.9</v>
      </c>
      <c r="H523" s="132">
        <v>82</v>
      </c>
      <c r="I523" s="132">
        <v>2030</v>
      </c>
      <c r="J523" s="135">
        <v>3.8</v>
      </c>
      <c r="K523" s="78"/>
      <c r="L523" s="78"/>
      <c r="M523" s="271"/>
      <c r="N523" s="271"/>
    </row>
    <row r="524" spans="1:14" s="55" customFormat="1" ht="11.1" customHeight="1" x14ac:dyDescent="0.2">
      <c r="B524" s="56"/>
      <c r="C524" s="136" t="s">
        <v>625</v>
      </c>
      <c r="D524" s="56" t="s">
        <v>626</v>
      </c>
      <c r="E524" s="56"/>
      <c r="F524" s="84"/>
      <c r="G524" s="131">
        <v>1.2</v>
      </c>
      <c r="H524" s="132">
        <v>35</v>
      </c>
      <c r="I524" s="132">
        <v>740</v>
      </c>
      <c r="J524" s="135">
        <v>10.199999999999999</v>
      </c>
      <c r="K524" s="78"/>
      <c r="L524" s="78"/>
      <c r="M524" s="271"/>
      <c r="N524" s="271"/>
    </row>
    <row r="525" spans="1:14" s="55" customFormat="1" ht="11.1" customHeight="1" x14ac:dyDescent="0.2">
      <c r="B525" s="56"/>
      <c r="C525" s="56" t="s">
        <v>627</v>
      </c>
      <c r="D525" s="56" t="s">
        <v>628</v>
      </c>
      <c r="E525" s="56"/>
      <c r="F525" s="84"/>
      <c r="G525" s="131">
        <v>2.7</v>
      </c>
      <c r="H525" s="132">
        <v>74</v>
      </c>
      <c r="I525" s="132">
        <v>290</v>
      </c>
      <c r="J525" s="135">
        <v>17.3</v>
      </c>
      <c r="K525" s="78"/>
      <c r="L525" s="78"/>
      <c r="M525" s="271"/>
      <c r="N525" s="271"/>
    </row>
    <row r="526" spans="1:14" s="55" customFormat="1" ht="4.05" customHeight="1" x14ac:dyDescent="0.2">
      <c r="A526" s="47"/>
      <c r="B526" s="45"/>
      <c r="C526" s="45"/>
      <c r="D526" s="226"/>
      <c r="E526" s="226"/>
      <c r="F526" s="48"/>
      <c r="G526" s="283"/>
      <c r="H526" s="284"/>
      <c r="I526" s="285"/>
      <c r="J526" s="268"/>
      <c r="K526" s="218"/>
      <c r="L526" s="269"/>
    </row>
    <row r="527" spans="1:14" s="55" customFormat="1" ht="4.05" customHeight="1" x14ac:dyDescent="0.2">
      <c r="B527" s="56"/>
      <c r="C527" s="56"/>
      <c r="D527" s="144"/>
      <c r="E527" s="144"/>
      <c r="F527" s="84"/>
      <c r="G527" s="138"/>
      <c r="H527" s="139"/>
      <c r="I527" s="140"/>
      <c r="J527" s="286"/>
      <c r="K527" s="218"/>
      <c r="L527" s="269"/>
    </row>
    <row r="528" spans="1:14" s="55" customFormat="1" ht="11.1" customHeight="1" x14ac:dyDescent="0.2">
      <c r="A528" s="157" t="s">
        <v>111</v>
      </c>
      <c r="B528" s="56"/>
      <c r="C528" s="56"/>
      <c r="E528" s="137"/>
      <c r="F528" s="142"/>
      <c r="G528" s="138"/>
      <c r="H528" s="139"/>
      <c r="I528" s="140"/>
      <c r="J528" s="286"/>
      <c r="K528" s="218"/>
      <c r="L528" s="269"/>
    </row>
    <row r="529" spans="1:12" s="55" customFormat="1" ht="11.1" customHeight="1" x14ac:dyDescent="0.2">
      <c r="A529" s="157" t="s">
        <v>182</v>
      </c>
      <c r="B529" s="56"/>
      <c r="C529" s="56"/>
      <c r="E529" s="137"/>
      <c r="F529" s="142"/>
      <c r="G529" s="138"/>
      <c r="H529" s="139"/>
      <c r="I529" s="140"/>
      <c r="J529" s="286"/>
      <c r="K529" s="218"/>
      <c r="L529" s="269"/>
    </row>
    <row r="530" spans="1:12" s="55" customFormat="1" ht="11.1" customHeight="1" x14ac:dyDescent="0.2">
      <c r="A530" s="157" t="s">
        <v>112</v>
      </c>
      <c r="B530" s="56"/>
      <c r="C530" s="56"/>
      <c r="E530" s="137"/>
      <c r="F530" s="142"/>
      <c r="G530" s="138"/>
      <c r="H530" s="139"/>
      <c r="I530" s="140"/>
      <c r="J530" s="286"/>
      <c r="K530" s="218"/>
      <c r="L530" s="269"/>
    </row>
    <row r="531" spans="1:12" s="143" customFormat="1" ht="13.5" customHeight="1" x14ac:dyDescent="0.2">
      <c r="A531" s="157" t="s">
        <v>629</v>
      </c>
      <c r="B531" s="287"/>
      <c r="C531" s="287"/>
      <c r="D531" s="287"/>
      <c r="E531" s="287"/>
      <c r="F531" s="137"/>
      <c r="G531" s="138"/>
      <c r="H531" s="288"/>
      <c r="I531" s="140"/>
      <c r="J531" s="244"/>
    </row>
    <row r="532" spans="1:12" s="143" customFormat="1" ht="11.1" customHeight="1" x14ac:dyDescent="0.2">
      <c r="A532" s="157" t="s">
        <v>630</v>
      </c>
      <c r="B532" s="287"/>
      <c r="C532" s="287"/>
      <c r="D532" s="287"/>
      <c r="E532" s="287"/>
      <c r="F532" s="137"/>
      <c r="G532" s="138"/>
      <c r="H532" s="288"/>
      <c r="I532" s="140"/>
      <c r="J532" s="244"/>
    </row>
    <row r="533" spans="1:12" s="143" customFormat="1" ht="13.5" customHeight="1" x14ac:dyDescent="0.2">
      <c r="A533" s="157" t="s">
        <v>631</v>
      </c>
      <c r="B533" s="287"/>
      <c r="C533" s="287"/>
      <c r="D533" s="287"/>
      <c r="E533" s="287"/>
      <c r="F533" s="137"/>
      <c r="G533" s="138"/>
      <c r="H533" s="288"/>
      <c r="I533" s="140"/>
      <c r="J533" s="244"/>
    </row>
    <row r="534" spans="1:12" s="143" customFormat="1" ht="13.5" customHeight="1" x14ac:dyDescent="0.2">
      <c r="A534" s="157" t="s">
        <v>632</v>
      </c>
      <c r="B534" s="287"/>
      <c r="C534" s="287"/>
      <c r="D534" s="287"/>
      <c r="E534" s="287"/>
      <c r="F534" s="137"/>
      <c r="G534" s="138"/>
      <c r="H534" s="288"/>
      <c r="I534" s="140"/>
      <c r="J534" s="244"/>
    </row>
    <row r="535" spans="1:12" s="143" customFormat="1" ht="13.5" customHeight="1" x14ac:dyDescent="0.2">
      <c r="A535" s="157" t="s">
        <v>633</v>
      </c>
      <c r="B535" s="287"/>
      <c r="C535" s="287"/>
      <c r="D535" s="287"/>
      <c r="E535" s="287"/>
      <c r="F535" s="137"/>
      <c r="G535" s="138"/>
      <c r="H535" s="288"/>
      <c r="I535" s="140"/>
      <c r="J535" s="244"/>
    </row>
    <row r="536" spans="1:12" s="143" customFormat="1" ht="13.5" customHeight="1" x14ac:dyDescent="0.2">
      <c r="A536" s="157" t="s">
        <v>634</v>
      </c>
      <c r="B536" s="287"/>
      <c r="C536" s="287"/>
      <c r="D536" s="287"/>
      <c r="E536" s="287"/>
      <c r="F536" s="137"/>
      <c r="G536" s="138"/>
      <c r="H536" s="288"/>
      <c r="I536" s="140"/>
      <c r="J536" s="244"/>
    </row>
    <row r="537" spans="1:12" s="143" customFormat="1" ht="11.1" customHeight="1" x14ac:dyDescent="0.2">
      <c r="A537" s="157" t="s">
        <v>635</v>
      </c>
      <c r="B537" s="287"/>
      <c r="C537" s="287"/>
      <c r="D537" s="287"/>
      <c r="E537" s="287"/>
      <c r="F537" s="137"/>
      <c r="G537" s="138"/>
      <c r="H537" s="288"/>
      <c r="I537" s="140"/>
      <c r="J537" s="244"/>
    </row>
    <row r="538" spans="1:12" s="55" customFormat="1" ht="11.1" customHeight="1" x14ac:dyDescent="0.2">
      <c r="B538" s="56"/>
      <c r="C538" s="56"/>
      <c r="D538" s="144"/>
      <c r="E538" s="144"/>
      <c r="F538" s="84"/>
      <c r="G538" s="138"/>
      <c r="H538" s="139"/>
      <c r="I538" s="140"/>
      <c r="J538" s="286"/>
      <c r="K538" s="218"/>
      <c r="L538" s="269"/>
    </row>
    <row r="539" spans="1:12" s="55" customFormat="1" ht="11.1" customHeight="1" x14ac:dyDescent="0.2">
      <c r="A539" s="158"/>
      <c r="B539" s="56"/>
      <c r="C539" s="56"/>
      <c r="D539" s="144"/>
      <c r="E539" s="144"/>
      <c r="F539" s="84"/>
      <c r="G539" s="138"/>
      <c r="H539" s="139"/>
      <c r="I539" s="140"/>
      <c r="J539" s="244"/>
      <c r="K539" s="218"/>
      <c r="L539" s="269"/>
    </row>
    <row r="540" spans="1:12" s="55" customFormat="1" ht="11.1" customHeight="1" x14ac:dyDescent="0.2">
      <c r="A540" s="158"/>
      <c r="B540" s="56"/>
      <c r="C540" s="56"/>
      <c r="D540" s="144"/>
      <c r="E540" s="144"/>
      <c r="F540" s="84"/>
      <c r="G540" s="138"/>
      <c r="H540" s="139"/>
      <c r="I540" s="140"/>
      <c r="J540" s="244"/>
      <c r="K540" s="218"/>
      <c r="L540" s="269"/>
    </row>
    <row r="541" spans="1:12" s="55" customFormat="1" ht="11.1" customHeight="1" x14ac:dyDescent="0.2">
      <c r="B541" s="56"/>
      <c r="C541" s="56"/>
      <c r="D541" s="144"/>
      <c r="E541" s="144"/>
      <c r="F541" s="84"/>
      <c r="G541" s="138"/>
      <c r="H541" s="139"/>
      <c r="I541" s="140"/>
      <c r="J541" s="244"/>
      <c r="K541" s="218"/>
      <c r="L541" s="269"/>
    </row>
    <row r="542" spans="1:12" s="55" customFormat="1" ht="15.75" customHeight="1" x14ac:dyDescent="0.15">
      <c r="A542" s="159" t="s">
        <v>114</v>
      </c>
      <c r="B542" s="56"/>
      <c r="C542" s="56"/>
      <c r="D542" s="144"/>
      <c r="E542" s="144"/>
      <c r="F542" s="84"/>
      <c r="G542" s="227"/>
      <c r="H542" s="289"/>
      <c r="I542" s="290"/>
      <c r="J542" s="291"/>
      <c r="K542" s="218"/>
      <c r="L542" s="269"/>
    </row>
    <row r="543" spans="1:12" s="31" customFormat="1" ht="20.25" customHeight="1" x14ac:dyDescent="0.3">
      <c r="A543" s="160" t="s">
        <v>183</v>
      </c>
      <c r="B543" s="161"/>
      <c r="D543" s="32"/>
      <c r="E543" s="32"/>
      <c r="F543" s="33"/>
      <c r="G543" s="164"/>
      <c r="H543" s="165"/>
      <c r="I543" s="166"/>
      <c r="J543" s="292"/>
      <c r="K543" s="37"/>
      <c r="L543" s="269"/>
    </row>
    <row r="544" spans="1:12" s="31" customFormat="1" ht="15.75" customHeight="1" x14ac:dyDescent="0.25">
      <c r="A544" s="41" t="s">
        <v>969</v>
      </c>
      <c r="B544" s="168"/>
      <c r="C544" s="43"/>
      <c r="D544" s="44"/>
      <c r="E544" s="32"/>
      <c r="F544" s="33"/>
      <c r="G544" s="164"/>
      <c r="H544" s="165"/>
      <c r="I544" s="166"/>
      <c r="J544" s="292"/>
      <c r="K544" s="37"/>
      <c r="L544" s="269"/>
    </row>
    <row r="545" spans="1:14" ht="4.05" customHeight="1" x14ac:dyDescent="0.2">
      <c r="A545" s="71"/>
      <c r="B545" s="71"/>
      <c r="C545" s="72"/>
      <c r="D545" s="73"/>
      <c r="E545" s="73"/>
      <c r="F545" s="73"/>
      <c r="G545" s="101"/>
      <c r="H545" s="102"/>
      <c r="I545" s="103"/>
      <c r="J545" s="52"/>
      <c r="L545" s="269"/>
    </row>
    <row r="546" spans="1:14" s="55" customFormat="1" ht="4.05" customHeight="1" x14ac:dyDescent="0.2">
      <c r="A546" s="81"/>
      <c r="B546" s="81"/>
      <c r="D546" s="84"/>
      <c r="E546" s="84"/>
      <c r="F546" s="84"/>
      <c r="H546" s="250"/>
      <c r="K546" s="53"/>
      <c r="L546" s="269"/>
    </row>
    <row r="547" spans="1:14" s="180" customFormat="1" ht="11.1" customHeight="1" x14ac:dyDescent="0.15">
      <c r="A547" s="172"/>
      <c r="B547" s="172"/>
      <c r="C547" s="173"/>
      <c r="D547" s="174"/>
      <c r="E547" s="174"/>
      <c r="F547" s="59"/>
      <c r="G547" s="60" t="s">
        <v>116</v>
      </c>
      <c r="H547" s="61" t="s">
        <v>25</v>
      </c>
      <c r="I547" s="60" t="s">
        <v>26</v>
      </c>
      <c r="J547" s="60" t="s">
        <v>117</v>
      </c>
      <c r="K547" s="179"/>
      <c r="L547" s="269"/>
    </row>
    <row r="548" spans="1:14" s="180" customFormat="1" ht="11.1" customHeight="1" x14ac:dyDescent="0.15">
      <c r="A548" s="172"/>
      <c r="B548" s="172"/>
      <c r="C548" s="181"/>
      <c r="D548" s="174"/>
      <c r="E548" s="174"/>
      <c r="F548" s="59"/>
      <c r="G548" s="60" t="s">
        <v>29</v>
      </c>
      <c r="H548" s="61" t="s">
        <v>27</v>
      </c>
      <c r="I548" s="60" t="s">
        <v>28</v>
      </c>
      <c r="J548" s="60" t="s">
        <v>118</v>
      </c>
      <c r="K548" s="179"/>
      <c r="L548" s="269"/>
    </row>
    <row r="549" spans="1:14" s="180" customFormat="1" ht="11.1" customHeight="1" x14ac:dyDescent="0.15">
      <c r="A549" s="172"/>
      <c r="B549" s="172"/>
      <c r="C549" s="181"/>
      <c r="D549" s="174"/>
      <c r="E549" s="174"/>
      <c r="F549" s="59"/>
      <c r="G549" s="60" t="s">
        <v>31</v>
      </c>
      <c r="H549" s="61" t="s">
        <v>29</v>
      </c>
      <c r="I549" s="60" t="s">
        <v>30</v>
      </c>
      <c r="J549" s="60" t="s">
        <v>119</v>
      </c>
      <c r="K549" s="179"/>
      <c r="L549" s="269"/>
    </row>
    <row r="550" spans="1:14" s="180" customFormat="1" ht="11.1" customHeight="1" x14ac:dyDescent="0.15">
      <c r="A550" s="172"/>
      <c r="B550" s="172"/>
      <c r="C550" s="181"/>
      <c r="D550" s="174"/>
      <c r="E550" s="174"/>
      <c r="F550" s="59"/>
      <c r="G550" s="60" t="s">
        <v>32</v>
      </c>
      <c r="H550" s="61" t="s">
        <v>33</v>
      </c>
      <c r="I550" s="60" t="s">
        <v>120</v>
      </c>
      <c r="J550" s="60" t="s">
        <v>121</v>
      </c>
      <c r="K550" s="179"/>
      <c r="L550" s="269"/>
    </row>
    <row r="551" spans="1:14" ht="4.05" customHeight="1" x14ac:dyDescent="0.2">
      <c r="A551" s="71"/>
      <c r="B551" s="71"/>
      <c r="C551" s="72"/>
      <c r="D551" s="73"/>
      <c r="E551" s="73"/>
      <c r="F551" s="73"/>
      <c r="G551" s="74"/>
      <c r="H551" s="75"/>
      <c r="I551" s="76"/>
      <c r="J551" s="293"/>
      <c r="L551" s="269"/>
    </row>
    <row r="552" spans="1:14" ht="4.05" customHeight="1" x14ac:dyDescent="0.2">
      <c r="B552" s="81"/>
      <c r="C552" s="82"/>
      <c r="D552" s="83"/>
      <c r="E552" s="83"/>
      <c r="F552" s="84"/>
      <c r="G552" s="294"/>
      <c r="H552" s="295"/>
      <c r="I552" s="296"/>
      <c r="J552" s="128"/>
      <c r="L552" s="269"/>
    </row>
    <row r="553" spans="1:14" s="93" customFormat="1" ht="11.1" customHeight="1" x14ac:dyDescent="0.2">
      <c r="A553" s="111" t="s">
        <v>123</v>
      </c>
      <c r="B553" s="112"/>
      <c r="C553" s="113"/>
      <c r="F553" s="114" t="s">
        <v>124</v>
      </c>
      <c r="G553" s="107"/>
      <c r="H553" s="108"/>
      <c r="I553" s="109"/>
      <c r="J553" s="110"/>
      <c r="K553" s="53"/>
      <c r="L553" s="270"/>
    </row>
    <row r="554" spans="1:14" s="55" customFormat="1" ht="4.05" customHeight="1" x14ac:dyDescent="0.15">
      <c r="B554" s="56"/>
      <c r="C554" s="56"/>
      <c r="D554" s="144"/>
      <c r="E554" s="144"/>
      <c r="F554" s="84"/>
      <c r="G554" s="85"/>
      <c r="H554" s="86"/>
      <c r="I554" s="87"/>
      <c r="J554" s="231"/>
      <c r="K554" s="218"/>
      <c r="L554" s="269"/>
    </row>
    <row r="555" spans="1:14" s="55" customFormat="1" ht="12.75" customHeight="1" x14ac:dyDescent="0.15">
      <c r="A555" s="188">
        <v>9</v>
      </c>
      <c r="B555" s="188" t="s">
        <v>636</v>
      </c>
      <c r="C555" s="297"/>
      <c r="D555" s="297"/>
      <c r="E555" s="297"/>
      <c r="F555" s="84"/>
      <c r="G555" s="85"/>
      <c r="H555" s="86"/>
      <c r="I555" s="87"/>
      <c r="J555" s="286"/>
      <c r="K555" s="218"/>
      <c r="L555" s="269"/>
    </row>
    <row r="556" spans="1:14" s="55" customFormat="1" ht="6" customHeight="1" x14ac:dyDescent="0.15">
      <c r="A556" s="186"/>
      <c r="B556" s="186"/>
      <c r="C556" s="56"/>
      <c r="D556" s="56"/>
      <c r="E556" s="56"/>
      <c r="F556" s="84"/>
      <c r="G556" s="85"/>
      <c r="H556" s="86"/>
      <c r="I556" s="87"/>
      <c r="J556" s="231"/>
      <c r="K556" s="218"/>
      <c r="L556" s="269"/>
    </row>
    <row r="557" spans="1:14" ht="11.1" customHeight="1" x14ac:dyDescent="0.2">
      <c r="A557" s="80">
        <v>9.4</v>
      </c>
      <c r="B557" s="80" t="s">
        <v>637</v>
      </c>
      <c r="C557" s="80"/>
      <c r="D557" s="79"/>
      <c r="E557" s="79"/>
      <c r="F557" s="298"/>
      <c r="G557" s="131">
        <v>19.8</v>
      </c>
      <c r="H557" s="132">
        <v>550</v>
      </c>
      <c r="I557" s="132">
        <v>5030</v>
      </c>
      <c r="J557" s="135">
        <v>3.5</v>
      </c>
      <c r="K557" s="78"/>
      <c r="L557" s="78"/>
      <c r="M557" s="255"/>
      <c r="N557" s="255"/>
    </row>
    <row r="558" spans="1:14" s="55" customFormat="1" ht="11.1" customHeight="1" x14ac:dyDescent="0.2">
      <c r="B558" s="56" t="s">
        <v>638</v>
      </c>
      <c r="C558" s="136" t="s">
        <v>639</v>
      </c>
      <c r="F558" s="84"/>
      <c r="G558" s="131">
        <v>7.8</v>
      </c>
      <c r="H558" s="132">
        <v>217</v>
      </c>
      <c r="I558" s="132">
        <v>2070</v>
      </c>
      <c r="J558" s="135">
        <v>7.9</v>
      </c>
      <c r="K558" s="78"/>
      <c r="L558" s="78"/>
      <c r="M558" s="255"/>
      <c r="N558" s="255"/>
    </row>
    <row r="559" spans="1:14" s="55" customFormat="1" ht="11.1" customHeight="1" x14ac:dyDescent="0.2">
      <c r="B559" s="56"/>
      <c r="C559" s="136" t="s">
        <v>640</v>
      </c>
      <c r="D559" s="55" t="s">
        <v>641</v>
      </c>
      <c r="F559" s="84"/>
      <c r="G559" s="131">
        <v>0.8</v>
      </c>
      <c r="H559" s="132">
        <v>22</v>
      </c>
      <c r="I559" s="132">
        <v>170</v>
      </c>
      <c r="J559" s="135">
        <v>19.8</v>
      </c>
      <c r="K559" s="78"/>
      <c r="L559" s="78"/>
      <c r="M559" s="255"/>
      <c r="N559" s="255"/>
    </row>
    <row r="560" spans="1:14" s="55" customFormat="1" ht="11.1" customHeight="1" x14ac:dyDescent="0.2">
      <c r="B560" s="56"/>
      <c r="C560" s="136" t="s">
        <v>642</v>
      </c>
      <c r="D560" s="55" t="s">
        <v>643</v>
      </c>
      <c r="F560" s="84"/>
      <c r="G560" s="131">
        <v>1.8</v>
      </c>
      <c r="H560" s="132">
        <v>49</v>
      </c>
      <c r="I560" s="132">
        <v>790</v>
      </c>
      <c r="J560" s="135">
        <v>14.3</v>
      </c>
      <c r="K560" s="78"/>
      <c r="L560" s="78"/>
      <c r="M560" s="255"/>
      <c r="N560" s="255"/>
    </row>
    <row r="561" spans="1:14" s="55" customFormat="1" ht="11.1" customHeight="1" x14ac:dyDescent="0.2">
      <c r="B561" s="56"/>
      <c r="C561" s="136" t="s">
        <v>644</v>
      </c>
      <c r="D561" s="55" t="s">
        <v>645</v>
      </c>
      <c r="F561" s="84"/>
      <c r="G561" s="131">
        <v>2.8</v>
      </c>
      <c r="H561" s="132">
        <v>78</v>
      </c>
      <c r="I561" s="132">
        <v>1010</v>
      </c>
      <c r="J561" s="135">
        <v>16.3</v>
      </c>
      <c r="K561" s="78"/>
      <c r="L561" s="78"/>
      <c r="M561" s="255"/>
      <c r="N561" s="255"/>
    </row>
    <row r="562" spans="1:14" s="55" customFormat="1" ht="11.1" customHeight="1" x14ac:dyDescent="0.2">
      <c r="B562" s="56"/>
      <c r="C562" s="136" t="s">
        <v>646</v>
      </c>
      <c r="D562" s="55" t="s">
        <v>647</v>
      </c>
      <c r="F562" s="84"/>
      <c r="G562" s="131">
        <v>2.4</v>
      </c>
      <c r="H562" s="132">
        <v>67</v>
      </c>
      <c r="I562" s="132">
        <v>760</v>
      </c>
      <c r="J562" s="135">
        <v>6.6</v>
      </c>
      <c r="K562" s="78"/>
      <c r="L562" s="78"/>
      <c r="M562" s="255"/>
      <c r="N562" s="255"/>
    </row>
    <row r="563" spans="1:14" s="55" customFormat="1" ht="11.1" customHeight="1" x14ac:dyDescent="0.2">
      <c r="B563" s="56"/>
      <c r="C563" s="136" t="s">
        <v>648</v>
      </c>
      <c r="D563" s="55" t="s">
        <v>649</v>
      </c>
      <c r="F563" s="84"/>
      <c r="G563" s="145">
        <v>0</v>
      </c>
      <c r="H563" s="132">
        <v>1</v>
      </c>
      <c r="I563" s="132">
        <v>30</v>
      </c>
      <c r="J563" s="135">
        <v>26.4</v>
      </c>
      <c r="K563" s="78"/>
      <c r="L563" s="78"/>
      <c r="M563" s="255"/>
      <c r="N563" s="255"/>
    </row>
    <row r="564" spans="1:14" s="55" customFormat="1" ht="3" customHeight="1" x14ac:dyDescent="0.2">
      <c r="A564" s="56"/>
      <c r="B564" s="136"/>
      <c r="F564" s="84"/>
      <c r="G564" s="85"/>
      <c r="H564" s="86"/>
      <c r="I564" s="87"/>
      <c r="J564" s="231"/>
      <c r="K564" s="78"/>
      <c r="L564" s="78"/>
      <c r="M564" s="255"/>
      <c r="N564" s="255"/>
    </row>
    <row r="565" spans="1:14" s="55" customFormat="1" ht="11.1" customHeight="1" x14ac:dyDescent="0.2">
      <c r="B565" s="56" t="s">
        <v>650</v>
      </c>
      <c r="C565" s="136" t="s">
        <v>651</v>
      </c>
      <c r="F565" s="84"/>
      <c r="G565" s="131">
        <v>3.3</v>
      </c>
      <c r="H565" s="132">
        <v>93</v>
      </c>
      <c r="I565" s="132">
        <v>940</v>
      </c>
      <c r="J565" s="135">
        <v>5.6</v>
      </c>
      <c r="K565" s="78"/>
      <c r="L565" s="78"/>
      <c r="M565" s="255"/>
      <c r="N565" s="255"/>
    </row>
    <row r="566" spans="1:14" s="55" customFormat="1" ht="11.1" customHeight="1" x14ac:dyDescent="0.2">
      <c r="B566" s="56"/>
      <c r="C566" s="136" t="s">
        <v>652</v>
      </c>
      <c r="D566" s="55" t="s">
        <v>653</v>
      </c>
      <c r="F566" s="84"/>
      <c r="G566" s="131">
        <v>0.8</v>
      </c>
      <c r="H566" s="132">
        <v>23</v>
      </c>
      <c r="I566" s="132">
        <v>470</v>
      </c>
      <c r="J566" s="135">
        <v>7.2</v>
      </c>
      <c r="K566" s="78"/>
      <c r="L566" s="78"/>
      <c r="M566" s="255"/>
      <c r="N566" s="255"/>
    </row>
    <row r="567" spans="1:14" s="55" customFormat="1" ht="11.1" customHeight="1" x14ac:dyDescent="0.2">
      <c r="B567" s="56"/>
      <c r="C567" s="56" t="s">
        <v>654</v>
      </c>
      <c r="D567" s="56" t="s">
        <v>655</v>
      </c>
      <c r="E567" s="56"/>
      <c r="F567" s="84"/>
      <c r="G567" s="131">
        <v>1.7</v>
      </c>
      <c r="H567" s="132">
        <v>48</v>
      </c>
      <c r="I567" s="132">
        <v>330</v>
      </c>
      <c r="J567" s="135">
        <v>8.3000000000000007</v>
      </c>
      <c r="K567" s="78"/>
      <c r="L567" s="78"/>
      <c r="M567" s="255"/>
      <c r="N567" s="255"/>
    </row>
    <row r="568" spans="1:14" s="55" customFormat="1" ht="11.1" customHeight="1" x14ac:dyDescent="0.2">
      <c r="B568" s="56"/>
      <c r="C568" s="56" t="s">
        <v>656</v>
      </c>
      <c r="D568" s="56" t="s">
        <v>657</v>
      </c>
      <c r="E568" s="56"/>
      <c r="F568" s="84"/>
      <c r="G568" s="131">
        <v>0.8</v>
      </c>
      <c r="H568" s="132">
        <v>22</v>
      </c>
      <c r="I568" s="132">
        <v>260</v>
      </c>
      <c r="J568" s="135">
        <v>12.4</v>
      </c>
      <c r="K568" s="78"/>
      <c r="L568" s="78"/>
      <c r="M568" s="255"/>
      <c r="N568" s="255"/>
    </row>
    <row r="569" spans="1:14" s="55" customFormat="1" ht="3" customHeight="1" x14ac:dyDescent="0.2">
      <c r="B569" s="56"/>
      <c r="C569" s="56"/>
      <c r="F569" s="84"/>
      <c r="G569" s="85"/>
      <c r="H569" s="86"/>
      <c r="I569" s="87"/>
      <c r="J569" s="231"/>
      <c r="K569" s="78"/>
      <c r="L569" s="78"/>
      <c r="M569" s="255"/>
      <c r="N569" s="255"/>
    </row>
    <row r="570" spans="1:14" s="149" customFormat="1" ht="11.1" customHeight="1" x14ac:dyDescent="0.2">
      <c r="B570" s="56" t="s">
        <v>658</v>
      </c>
      <c r="C570" s="56" t="s">
        <v>659</v>
      </c>
      <c r="D570" s="56"/>
      <c r="E570" s="56"/>
      <c r="F570" s="84"/>
      <c r="G570" s="131">
        <v>4.7</v>
      </c>
      <c r="H570" s="132">
        <v>129</v>
      </c>
      <c r="I570" s="132">
        <v>4580</v>
      </c>
      <c r="J570" s="135">
        <v>1.6</v>
      </c>
      <c r="K570" s="78"/>
      <c r="L570" s="78"/>
      <c r="M570" s="255"/>
      <c r="N570" s="255"/>
    </row>
    <row r="571" spans="1:14" s="55" customFormat="1" ht="11.1" customHeight="1" x14ac:dyDescent="0.2">
      <c r="B571" s="56"/>
      <c r="C571" s="56" t="s">
        <v>660</v>
      </c>
      <c r="D571" s="56" t="s">
        <v>661</v>
      </c>
      <c r="E571" s="56"/>
      <c r="F571" s="84"/>
      <c r="G571" s="131">
        <v>2.2000000000000002</v>
      </c>
      <c r="H571" s="132">
        <v>60</v>
      </c>
      <c r="I571" s="132">
        <v>4280</v>
      </c>
      <c r="J571" s="135">
        <v>0.6</v>
      </c>
      <c r="K571" s="78"/>
      <c r="L571" s="78"/>
      <c r="M571" s="255"/>
      <c r="N571" s="255"/>
    </row>
    <row r="572" spans="1:14" s="55" customFormat="1" ht="11.1" customHeight="1" x14ac:dyDescent="0.2">
      <c r="B572" s="56"/>
      <c r="C572" s="56" t="s">
        <v>662</v>
      </c>
      <c r="D572" s="55" t="s">
        <v>663</v>
      </c>
      <c r="F572" s="84"/>
      <c r="G572" s="131">
        <v>1.4</v>
      </c>
      <c r="H572" s="132">
        <v>39</v>
      </c>
      <c r="I572" s="132">
        <v>700</v>
      </c>
      <c r="J572" s="135">
        <v>4.5999999999999996</v>
      </c>
      <c r="K572" s="78"/>
      <c r="L572" s="78"/>
      <c r="M572" s="255"/>
      <c r="N572" s="255"/>
    </row>
    <row r="573" spans="1:14" s="55" customFormat="1" ht="11.1" customHeight="1" x14ac:dyDescent="0.2">
      <c r="B573" s="56"/>
      <c r="C573" s="56" t="s">
        <v>664</v>
      </c>
      <c r="D573" s="56" t="s">
        <v>665</v>
      </c>
      <c r="E573" s="56"/>
      <c r="F573" s="84"/>
      <c r="G573" s="138" t="s">
        <v>230</v>
      </c>
      <c r="H573" s="139" t="s">
        <v>230</v>
      </c>
      <c r="I573" s="139" t="s">
        <v>230</v>
      </c>
      <c r="J573" s="135" t="s">
        <v>230</v>
      </c>
      <c r="K573" s="78"/>
      <c r="L573" s="78"/>
      <c r="M573" s="255"/>
      <c r="N573" s="255"/>
    </row>
    <row r="574" spans="1:14" s="55" customFormat="1" ht="11.1" customHeight="1" x14ac:dyDescent="0.2">
      <c r="B574" s="56"/>
      <c r="C574" s="56" t="s">
        <v>666</v>
      </c>
      <c r="D574" s="55" t="s">
        <v>667</v>
      </c>
      <c r="F574" s="84"/>
      <c r="G574" s="131">
        <v>0.1</v>
      </c>
      <c r="H574" s="132">
        <v>4</v>
      </c>
      <c r="I574" s="132">
        <v>170</v>
      </c>
      <c r="J574" s="135">
        <v>13.1</v>
      </c>
      <c r="K574" s="78"/>
      <c r="L574" s="78"/>
      <c r="M574" s="255"/>
      <c r="N574" s="255"/>
    </row>
    <row r="575" spans="1:14" s="55" customFormat="1" ht="11.1" customHeight="1" x14ac:dyDescent="0.2">
      <c r="B575" s="56"/>
      <c r="C575" s="56" t="s">
        <v>668</v>
      </c>
      <c r="D575" s="56" t="s">
        <v>669</v>
      </c>
      <c r="E575" s="56"/>
      <c r="F575" s="84"/>
      <c r="G575" s="138" t="s">
        <v>230</v>
      </c>
      <c r="H575" s="139" t="s">
        <v>230</v>
      </c>
      <c r="I575" s="139" t="s">
        <v>230</v>
      </c>
      <c r="J575" s="135" t="s">
        <v>230</v>
      </c>
      <c r="K575" s="78"/>
      <c r="L575" s="78"/>
      <c r="M575" s="255"/>
      <c r="N575" s="255"/>
    </row>
    <row r="576" spans="1:14" s="55" customFormat="1" ht="11.1" customHeight="1" x14ac:dyDescent="0.2">
      <c r="B576" s="56"/>
      <c r="C576" s="56" t="s">
        <v>670</v>
      </c>
      <c r="D576" s="56" t="s">
        <v>671</v>
      </c>
      <c r="E576" s="56"/>
      <c r="F576" s="84"/>
      <c r="G576" s="131">
        <v>0.9</v>
      </c>
      <c r="H576" s="132">
        <v>26</v>
      </c>
      <c r="I576" s="132">
        <v>1400</v>
      </c>
      <c r="J576" s="135">
        <v>3.7</v>
      </c>
      <c r="K576" s="78"/>
      <c r="L576" s="78"/>
      <c r="M576" s="255"/>
      <c r="N576" s="255"/>
    </row>
    <row r="577" spans="1:14" s="55" customFormat="1" ht="3" customHeight="1" x14ac:dyDescent="0.2">
      <c r="B577" s="56"/>
      <c r="C577" s="56"/>
      <c r="F577" s="84"/>
      <c r="G577" s="85"/>
      <c r="H577" s="86"/>
      <c r="I577" s="87"/>
      <c r="J577" s="231"/>
      <c r="K577" s="78"/>
      <c r="L577" s="78"/>
      <c r="M577" s="255"/>
      <c r="N577" s="255"/>
    </row>
    <row r="578" spans="1:14" s="55" customFormat="1" ht="11.1" customHeight="1" x14ac:dyDescent="0.2">
      <c r="B578" s="56" t="s">
        <v>672</v>
      </c>
      <c r="C578" s="56" t="s">
        <v>673</v>
      </c>
      <c r="F578" s="84"/>
      <c r="G578" s="131">
        <v>1.4</v>
      </c>
      <c r="H578" s="132">
        <v>40</v>
      </c>
      <c r="I578" s="132">
        <v>1080</v>
      </c>
      <c r="J578" s="135">
        <v>6.4</v>
      </c>
      <c r="K578" s="78"/>
      <c r="L578" s="78"/>
      <c r="M578" s="255"/>
      <c r="N578" s="255"/>
    </row>
    <row r="579" spans="1:14" s="55" customFormat="1" ht="11.1" customHeight="1" x14ac:dyDescent="0.2">
      <c r="B579" s="56"/>
      <c r="C579" s="56" t="s">
        <v>674</v>
      </c>
      <c r="D579" s="56" t="s">
        <v>675</v>
      </c>
      <c r="E579" s="56"/>
      <c r="F579" s="84"/>
      <c r="G579" s="131">
        <v>0.8</v>
      </c>
      <c r="H579" s="132">
        <v>21</v>
      </c>
      <c r="I579" s="132">
        <v>420</v>
      </c>
      <c r="J579" s="135">
        <v>8.9</v>
      </c>
      <c r="K579" s="78"/>
      <c r="L579" s="78"/>
      <c r="M579" s="255"/>
      <c r="N579" s="255"/>
    </row>
    <row r="580" spans="1:14" s="55" customFormat="1" ht="11.1" customHeight="1" x14ac:dyDescent="0.2">
      <c r="B580" s="56"/>
      <c r="C580" s="136" t="s">
        <v>676</v>
      </c>
      <c r="D580" s="55" t="s">
        <v>677</v>
      </c>
      <c r="F580" s="84"/>
      <c r="G580" s="131">
        <v>0.2</v>
      </c>
      <c r="H580" s="132">
        <v>7</v>
      </c>
      <c r="I580" s="132">
        <v>160</v>
      </c>
      <c r="J580" s="135">
        <v>22.1</v>
      </c>
      <c r="K580" s="78"/>
      <c r="L580" s="78"/>
      <c r="M580" s="255"/>
      <c r="N580" s="255"/>
    </row>
    <row r="581" spans="1:14" s="55" customFormat="1" ht="11.1" customHeight="1" x14ac:dyDescent="0.2">
      <c r="B581" s="56"/>
      <c r="C581" s="136" t="s">
        <v>678</v>
      </c>
      <c r="D581" s="55" t="s">
        <v>679</v>
      </c>
      <c r="F581" s="84"/>
      <c r="G581" s="131">
        <v>0.4</v>
      </c>
      <c r="H581" s="132">
        <v>12</v>
      </c>
      <c r="I581" s="132">
        <v>620</v>
      </c>
      <c r="J581" s="135">
        <v>8.8000000000000007</v>
      </c>
      <c r="K581" s="78"/>
      <c r="L581" s="78"/>
      <c r="M581" s="255"/>
      <c r="N581" s="255"/>
    </row>
    <row r="582" spans="1:14" s="55" customFormat="1" ht="3" customHeight="1" x14ac:dyDescent="0.2">
      <c r="A582" s="56"/>
      <c r="B582" s="136"/>
      <c r="F582" s="84"/>
      <c r="G582" s="107"/>
      <c r="H582" s="86"/>
      <c r="I582" s="87"/>
      <c r="J582" s="231"/>
      <c r="K582" s="78"/>
      <c r="L582" s="78"/>
      <c r="M582" s="255"/>
      <c r="N582" s="255"/>
    </row>
    <row r="583" spans="1:14" s="55" customFormat="1" ht="11.1" customHeight="1" x14ac:dyDescent="0.2">
      <c r="B583" s="56" t="s">
        <v>680</v>
      </c>
      <c r="C583" s="136" t="s">
        <v>681</v>
      </c>
      <c r="F583" s="84"/>
      <c r="G583" s="107"/>
      <c r="H583" s="108"/>
      <c r="I583" s="109"/>
      <c r="J583" s="231"/>
      <c r="K583" s="78"/>
      <c r="L583" s="78"/>
      <c r="M583" s="255"/>
      <c r="N583" s="255"/>
    </row>
    <row r="584" spans="1:14" s="55" customFormat="1" ht="11.1" customHeight="1" x14ac:dyDescent="0.2">
      <c r="B584" s="56"/>
      <c r="C584" s="136" t="s">
        <v>682</v>
      </c>
      <c r="F584" s="84"/>
      <c r="G584" s="131">
        <v>0.2</v>
      </c>
      <c r="H584" s="132">
        <v>4</v>
      </c>
      <c r="I584" s="132">
        <v>130</v>
      </c>
      <c r="J584" s="135">
        <v>14.3</v>
      </c>
      <c r="K584" s="78"/>
      <c r="L584" s="78"/>
      <c r="M584" s="255"/>
      <c r="N584" s="255"/>
    </row>
    <row r="585" spans="1:14" s="55" customFormat="1" ht="3" customHeight="1" x14ac:dyDescent="0.2">
      <c r="A585" s="80"/>
      <c r="B585" s="80"/>
      <c r="C585" s="79"/>
      <c r="D585" s="219"/>
      <c r="E585" s="219"/>
      <c r="F585" s="219"/>
      <c r="G585" s="107"/>
      <c r="H585" s="108"/>
      <c r="I585" s="109"/>
      <c r="J585" s="231"/>
      <c r="K585" s="78"/>
      <c r="L585" s="78"/>
      <c r="M585" s="255"/>
      <c r="N585" s="255"/>
    </row>
    <row r="586" spans="1:14" s="55" customFormat="1" ht="11.1" customHeight="1" x14ac:dyDescent="0.2">
      <c r="A586" s="56"/>
      <c r="B586" s="56" t="s">
        <v>683</v>
      </c>
      <c r="C586" s="136" t="s">
        <v>684</v>
      </c>
      <c r="F586" s="84"/>
      <c r="G586" s="131">
        <v>2.4</v>
      </c>
      <c r="H586" s="132">
        <v>67</v>
      </c>
      <c r="I586" s="132">
        <v>1820</v>
      </c>
      <c r="J586" s="135">
        <v>4.8</v>
      </c>
      <c r="K586" s="78"/>
      <c r="L586" s="78"/>
      <c r="M586" s="255"/>
      <c r="N586" s="255"/>
    </row>
    <row r="587" spans="1:14" s="55" customFormat="1" ht="11.1" customHeight="1" x14ac:dyDescent="0.2">
      <c r="A587" s="56"/>
      <c r="B587" s="56"/>
      <c r="C587" s="56" t="s">
        <v>685</v>
      </c>
      <c r="D587" s="84" t="s">
        <v>686</v>
      </c>
      <c r="E587" s="84"/>
      <c r="F587" s="84"/>
      <c r="G587" s="202">
        <v>0</v>
      </c>
      <c r="H587" s="203">
        <v>1</v>
      </c>
      <c r="I587" s="132">
        <v>20</v>
      </c>
      <c r="J587" s="135">
        <v>35.200000000000003</v>
      </c>
      <c r="K587" s="78"/>
      <c r="L587" s="78"/>
      <c r="M587" s="255"/>
      <c r="N587" s="255"/>
    </row>
    <row r="588" spans="1:14" s="55" customFormat="1" ht="11.1" customHeight="1" x14ac:dyDescent="0.2">
      <c r="A588" s="56"/>
      <c r="B588" s="56"/>
      <c r="C588" s="56" t="s">
        <v>687</v>
      </c>
      <c r="D588" s="56" t="s">
        <v>688</v>
      </c>
      <c r="E588" s="56"/>
      <c r="F588" s="84"/>
      <c r="G588" s="131">
        <v>0.2</v>
      </c>
      <c r="H588" s="132">
        <v>5</v>
      </c>
      <c r="I588" s="132">
        <v>80</v>
      </c>
      <c r="J588" s="135">
        <v>22.7</v>
      </c>
      <c r="K588" s="78"/>
      <c r="L588" s="78"/>
      <c r="M588" s="255"/>
      <c r="N588" s="255"/>
    </row>
    <row r="589" spans="1:14" s="55" customFormat="1" ht="11.1" customHeight="1" x14ac:dyDescent="0.2">
      <c r="A589" s="56"/>
      <c r="C589" s="136" t="s">
        <v>689</v>
      </c>
      <c r="D589" s="55" t="s">
        <v>690</v>
      </c>
      <c r="F589" s="84"/>
      <c r="G589" s="131">
        <v>1.7</v>
      </c>
      <c r="H589" s="132">
        <v>46</v>
      </c>
      <c r="I589" s="132">
        <v>1570</v>
      </c>
      <c r="J589" s="135">
        <v>4.0999999999999996</v>
      </c>
      <c r="K589" s="78"/>
      <c r="L589" s="78"/>
      <c r="M589" s="255"/>
      <c r="N589" s="255"/>
    </row>
    <row r="590" spans="1:14" s="55" customFormat="1" ht="11.1" customHeight="1" x14ac:dyDescent="0.2">
      <c r="A590" s="56"/>
      <c r="C590" s="136" t="s">
        <v>691</v>
      </c>
      <c r="D590" s="55" t="s">
        <v>692</v>
      </c>
      <c r="F590" s="84"/>
      <c r="G590" s="131">
        <v>0.5</v>
      </c>
      <c r="H590" s="132">
        <v>14</v>
      </c>
      <c r="I590" s="132">
        <v>430</v>
      </c>
      <c r="J590" s="135">
        <v>13.1</v>
      </c>
      <c r="K590" s="78"/>
      <c r="L590" s="78"/>
      <c r="M590" s="255"/>
      <c r="N590" s="255"/>
    </row>
    <row r="591" spans="1:14" ht="3" customHeight="1" x14ac:dyDescent="0.2">
      <c r="A591" s="56"/>
      <c r="B591" s="56"/>
      <c r="C591" s="55"/>
      <c r="D591" s="55"/>
      <c r="E591" s="55"/>
      <c r="F591" s="84"/>
      <c r="G591" s="85"/>
      <c r="H591" s="86"/>
      <c r="I591" s="87"/>
      <c r="J591" s="231"/>
      <c r="K591" s="78"/>
      <c r="L591" s="78"/>
      <c r="M591" s="255"/>
      <c r="N591" s="255"/>
    </row>
    <row r="592" spans="1:14" ht="11.1" customHeight="1" x14ac:dyDescent="0.2">
      <c r="A592" s="80">
        <v>9.5</v>
      </c>
      <c r="B592" s="80" t="s">
        <v>693</v>
      </c>
      <c r="D592" s="79"/>
      <c r="E592" s="79"/>
      <c r="G592" s="131">
        <v>5.5</v>
      </c>
      <c r="H592" s="132">
        <v>152</v>
      </c>
      <c r="I592" s="132">
        <v>3910</v>
      </c>
      <c r="J592" s="135">
        <v>4.4000000000000004</v>
      </c>
      <c r="K592" s="78"/>
      <c r="L592" s="78"/>
      <c r="M592" s="255"/>
      <c r="N592" s="255"/>
    </row>
    <row r="593" spans="1:14" s="143" customFormat="1" ht="11.1" customHeight="1" x14ac:dyDescent="0.2">
      <c r="A593" s="55"/>
      <c r="B593" s="56" t="s">
        <v>694</v>
      </c>
      <c r="C593" s="143" t="s">
        <v>695</v>
      </c>
      <c r="D593" s="55"/>
      <c r="E593" s="55"/>
      <c r="F593" s="84"/>
      <c r="G593" s="131">
        <v>1.2</v>
      </c>
      <c r="H593" s="132">
        <v>34</v>
      </c>
      <c r="I593" s="132">
        <v>1000</v>
      </c>
      <c r="J593" s="135">
        <v>5.5</v>
      </c>
      <c r="K593" s="78"/>
      <c r="L593" s="78"/>
      <c r="M593" s="255"/>
      <c r="N593" s="255"/>
    </row>
    <row r="594" spans="1:14" s="55" customFormat="1" ht="11.1" customHeight="1" x14ac:dyDescent="0.2">
      <c r="A594" s="56"/>
      <c r="B594" s="55" t="s">
        <v>696</v>
      </c>
      <c r="C594" s="56" t="s">
        <v>697</v>
      </c>
      <c r="E594" s="56"/>
      <c r="F594" s="84"/>
      <c r="G594" s="131">
        <v>1.1000000000000001</v>
      </c>
      <c r="H594" s="132">
        <v>30</v>
      </c>
      <c r="I594" s="132">
        <v>1300</v>
      </c>
      <c r="J594" s="135">
        <v>19.7</v>
      </c>
      <c r="K594" s="78"/>
      <c r="L594" s="78"/>
      <c r="M594" s="255"/>
      <c r="N594" s="255"/>
    </row>
    <row r="595" spans="1:14" s="55" customFormat="1" ht="11.1" customHeight="1" x14ac:dyDescent="0.2">
      <c r="A595" s="56"/>
      <c r="B595" s="55" t="s">
        <v>698</v>
      </c>
      <c r="C595" s="56" t="s">
        <v>699</v>
      </c>
      <c r="E595" s="56"/>
      <c r="F595" s="84"/>
      <c r="G595" s="131">
        <v>1.3</v>
      </c>
      <c r="H595" s="132">
        <v>35</v>
      </c>
      <c r="I595" s="132">
        <v>2170</v>
      </c>
      <c r="J595" s="135">
        <v>4.2</v>
      </c>
      <c r="K595" s="78"/>
      <c r="L595" s="78"/>
      <c r="M595" s="255"/>
      <c r="N595" s="255"/>
    </row>
    <row r="596" spans="1:14" s="55" customFormat="1" ht="11.1" customHeight="1" x14ac:dyDescent="0.2">
      <c r="A596" s="56"/>
      <c r="B596" s="55" t="s">
        <v>700</v>
      </c>
      <c r="C596" s="56" t="s">
        <v>701</v>
      </c>
      <c r="E596" s="56"/>
      <c r="F596" s="84"/>
      <c r="G596" s="131">
        <v>1.2</v>
      </c>
      <c r="H596" s="132">
        <v>34</v>
      </c>
      <c r="I596" s="132">
        <v>1710</v>
      </c>
      <c r="J596" s="135">
        <v>3.8</v>
      </c>
      <c r="K596" s="78"/>
      <c r="L596" s="78"/>
      <c r="M596" s="255"/>
      <c r="N596" s="255"/>
    </row>
    <row r="597" spans="1:14" s="55" customFormat="1" ht="11.25" customHeight="1" x14ac:dyDescent="0.2">
      <c r="A597" s="56"/>
      <c r="B597" s="55" t="s">
        <v>702</v>
      </c>
      <c r="C597" s="56" t="s">
        <v>703</v>
      </c>
      <c r="F597" s="84"/>
      <c r="G597" s="131">
        <v>0.7</v>
      </c>
      <c r="H597" s="132">
        <v>19</v>
      </c>
      <c r="I597" s="132">
        <v>1290</v>
      </c>
      <c r="J597" s="135">
        <v>6.3</v>
      </c>
      <c r="K597" s="78"/>
      <c r="L597" s="78"/>
      <c r="M597" s="255"/>
      <c r="N597" s="255"/>
    </row>
    <row r="598" spans="1:14" s="55" customFormat="1" ht="3" customHeight="1" x14ac:dyDescent="0.2">
      <c r="A598" s="56"/>
      <c r="B598" s="56"/>
      <c r="C598" s="56"/>
      <c r="F598" s="84"/>
      <c r="G598" s="85"/>
      <c r="H598" s="108"/>
      <c r="I598" s="87"/>
      <c r="J598" s="231"/>
      <c r="K598" s="78"/>
      <c r="L598" s="78"/>
      <c r="M598" s="255"/>
      <c r="N598" s="255"/>
    </row>
    <row r="599" spans="1:14" ht="11.1" customHeight="1" x14ac:dyDescent="0.2">
      <c r="A599" s="80">
        <v>9.6</v>
      </c>
      <c r="B599" s="129" t="s">
        <v>704</v>
      </c>
      <c r="C599" s="80"/>
      <c r="D599" s="79"/>
      <c r="E599" s="79"/>
      <c r="G599" s="131">
        <v>27.5</v>
      </c>
      <c r="H599" s="132">
        <v>766</v>
      </c>
      <c r="I599" s="132">
        <v>1140</v>
      </c>
      <c r="J599" s="135">
        <v>4.8</v>
      </c>
      <c r="K599" s="78"/>
      <c r="L599" s="78"/>
      <c r="M599" s="255"/>
      <c r="N599" s="255"/>
    </row>
    <row r="600" spans="1:14" s="55" customFormat="1" ht="11.1" customHeight="1" x14ac:dyDescent="0.2">
      <c r="B600" s="56" t="s">
        <v>705</v>
      </c>
      <c r="C600" s="56" t="s">
        <v>706</v>
      </c>
      <c r="F600" s="84"/>
      <c r="G600" s="131">
        <v>1.9</v>
      </c>
      <c r="H600" s="132">
        <v>53</v>
      </c>
      <c r="I600" s="132">
        <v>200</v>
      </c>
      <c r="J600" s="135">
        <v>10.3</v>
      </c>
      <c r="K600" s="78"/>
      <c r="L600" s="78"/>
      <c r="M600" s="255"/>
      <c r="N600" s="255"/>
    </row>
    <row r="601" spans="1:14" s="55" customFormat="1" ht="11.1" customHeight="1" x14ac:dyDescent="0.2">
      <c r="B601" s="56" t="s">
        <v>707</v>
      </c>
      <c r="C601" s="56" t="s">
        <v>708</v>
      </c>
      <c r="F601" s="84"/>
      <c r="G601" s="131">
        <v>25.6</v>
      </c>
      <c r="H601" s="132">
        <v>713</v>
      </c>
      <c r="I601" s="132">
        <v>1000</v>
      </c>
      <c r="J601" s="135">
        <v>5</v>
      </c>
      <c r="K601" s="78"/>
      <c r="L601" s="78"/>
      <c r="M601" s="255"/>
      <c r="N601" s="255"/>
    </row>
    <row r="602" spans="1:14" s="55" customFormat="1" ht="4.05" customHeight="1" x14ac:dyDescent="0.2">
      <c r="A602" s="45"/>
      <c r="B602" s="45"/>
      <c r="C602" s="45"/>
      <c r="D602" s="47"/>
      <c r="E602" s="47"/>
      <c r="F602" s="48"/>
      <c r="G602" s="74"/>
      <c r="H602" s="299"/>
      <c r="I602" s="76"/>
      <c r="J602" s="258"/>
      <c r="K602" s="78"/>
      <c r="L602" s="78"/>
      <c r="M602" s="255"/>
      <c r="N602" s="255"/>
    </row>
    <row r="603" spans="1:14" ht="4.05" customHeight="1" x14ac:dyDescent="0.2">
      <c r="A603" s="56"/>
      <c r="B603" s="136"/>
      <c r="C603" s="56"/>
      <c r="D603" s="55"/>
      <c r="E603" s="55"/>
      <c r="F603" s="84"/>
      <c r="G603" s="175"/>
      <c r="H603" s="300"/>
      <c r="I603" s="177"/>
      <c r="J603" s="301"/>
      <c r="K603" s="78"/>
      <c r="L603" s="78"/>
      <c r="M603" s="255"/>
      <c r="N603" s="255"/>
    </row>
    <row r="604" spans="1:14" s="128" customFormat="1" ht="12.75" customHeight="1" x14ac:dyDescent="0.2">
      <c r="A604" s="188">
        <v>10</v>
      </c>
      <c r="B604" s="120" t="s">
        <v>16</v>
      </c>
      <c r="C604" s="188"/>
      <c r="D604" s="121"/>
      <c r="E604" s="121"/>
      <c r="F604" s="259"/>
      <c r="G604" s="123">
        <v>4.5</v>
      </c>
      <c r="H604" s="124">
        <v>126</v>
      </c>
      <c r="I604" s="124">
        <v>260</v>
      </c>
      <c r="J604" s="125">
        <v>17.3</v>
      </c>
      <c r="K604" s="78"/>
      <c r="L604" s="78"/>
      <c r="M604" s="255"/>
      <c r="N604" s="255"/>
    </row>
    <row r="605" spans="1:14" s="55" customFormat="1" ht="6" customHeight="1" x14ac:dyDescent="0.2">
      <c r="A605" s="80"/>
      <c r="B605" s="129"/>
      <c r="C605" s="80"/>
      <c r="D605" s="79"/>
      <c r="E605" s="79"/>
      <c r="F605" s="219"/>
      <c r="G605" s="85"/>
      <c r="H605" s="86"/>
      <c r="I605" s="87"/>
      <c r="J605" s="231"/>
      <c r="K605" s="78"/>
      <c r="L605" s="78"/>
      <c r="M605" s="255"/>
      <c r="N605" s="255"/>
    </row>
    <row r="606" spans="1:14" ht="11.1" customHeight="1" x14ac:dyDescent="0.2">
      <c r="A606" s="302">
        <v>10.1</v>
      </c>
      <c r="B606" s="80" t="s">
        <v>709</v>
      </c>
      <c r="C606" s="80"/>
      <c r="D606" s="79"/>
      <c r="E606" s="79"/>
      <c r="G606" s="131">
        <v>4.0999999999999996</v>
      </c>
      <c r="H606" s="132">
        <v>113</v>
      </c>
      <c r="I606" s="132">
        <v>170</v>
      </c>
      <c r="J606" s="135">
        <v>19.3</v>
      </c>
      <c r="K606" s="78"/>
      <c r="L606" s="78"/>
      <c r="M606" s="255"/>
      <c r="N606" s="255"/>
    </row>
    <row r="607" spans="1:14" ht="11.1" customHeight="1" x14ac:dyDescent="0.2">
      <c r="A607" s="302"/>
      <c r="B607" s="56" t="s">
        <v>710</v>
      </c>
      <c r="C607" s="136" t="s">
        <v>711</v>
      </c>
      <c r="D607" s="79"/>
      <c r="E607" s="79"/>
      <c r="G607" s="131">
        <v>0.6</v>
      </c>
      <c r="H607" s="132">
        <v>17</v>
      </c>
      <c r="I607" s="132">
        <v>30</v>
      </c>
      <c r="J607" s="135">
        <v>35.299999999999997</v>
      </c>
      <c r="K607" s="78"/>
      <c r="L607" s="78"/>
      <c r="M607" s="255"/>
      <c r="N607" s="255"/>
    </row>
    <row r="608" spans="1:14" ht="11.1" customHeight="1" x14ac:dyDescent="0.2">
      <c r="A608" s="302"/>
      <c r="B608" s="56" t="s">
        <v>712</v>
      </c>
      <c r="C608" s="56" t="s">
        <v>713</v>
      </c>
      <c r="D608" s="79"/>
      <c r="E608" s="79"/>
      <c r="G608" s="131">
        <v>1.1000000000000001</v>
      </c>
      <c r="H608" s="132">
        <v>31</v>
      </c>
      <c r="I608" s="132">
        <v>20</v>
      </c>
      <c r="J608" s="135">
        <v>41.2</v>
      </c>
      <c r="K608" s="78"/>
      <c r="L608" s="78"/>
      <c r="M608" s="255"/>
      <c r="N608" s="255"/>
    </row>
    <row r="609" spans="1:14" ht="11.1" customHeight="1" x14ac:dyDescent="0.2">
      <c r="A609" s="302"/>
      <c r="B609" s="56" t="s">
        <v>714</v>
      </c>
      <c r="C609" s="56" t="s">
        <v>715</v>
      </c>
      <c r="D609" s="79"/>
      <c r="E609" s="79"/>
      <c r="G609" s="131">
        <v>0.7</v>
      </c>
      <c r="H609" s="132">
        <v>19</v>
      </c>
      <c r="I609" s="132">
        <v>40</v>
      </c>
      <c r="J609" s="135">
        <v>26.7</v>
      </c>
      <c r="K609" s="78"/>
      <c r="L609" s="78"/>
      <c r="M609" s="255"/>
      <c r="N609" s="255"/>
    </row>
    <row r="610" spans="1:14" ht="11.1" customHeight="1" x14ac:dyDescent="0.2">
      <c r="A610" s="302"/>
      <c r="B610" s="56" t="s">
        <v>716</v>
      </c>
      <c r="C610" s="56" t="s">
        <v>717</v>
      </c>
      <c r="D610" s="79"/>
      <c r="E610" s="79"/>
      <c r="G610" s="131">
        <v>1.3</v>
      </c>
      <c r="H610" s="132">
        <v>35</v>
      </c>
      <c r="I610" s="132">
        <v>40</v>
      </c>
      <c r="J610" s="135">
        <v>39.299999999999997</v>
      </c>
      <c r="K610" s="78"/>
      <c r="L610" s="78"/>
      <c r="M610" s="255"/>
      <c r="N610" s="255"/>
    </row>
    <row r="611" spans="1:14" ht="11.1" customHeight="1" x14ac:dyDescent="0.2">
      <c r="A611" s="302"/>
      <c r="B611" s="56" t="s">
        <v>718</v>
      </c>
      <c r="C611" s="136" t="s">
        <v>719</v>
      </c>
      <c r="D611" s="79"/>
      <c r="E611" s="79"/>
      <c r="G611" s="131">
        <v>0.4</v>
      </c>
      <c r="H611" s="132">
        <v>11</v>
      </c>
      <c r="I611" s="132">
        <v>40</v>
      </c>
      <c r="J611" s="135">
        <v>41.7</v>
      </c>
      <c r="K611" s="78"/>
      <c r="L611" s="78"/>
      <c r="M611" s="255"/>
      <c r="N611" s="255"/>
    </row>
    <row r="612" spans="1:14" s="55" customFormat="1" ht="3" customHeight="1" x14ac:dyDescent="0.2">
      <c r="A612" s="56"/>
      <c r="B612" s="56"/>
      <c r="C612" s="56"/>
      <c r="F612" s="84"/>
      <c r="G612" s="85"/>
      <c r="H612" s="86"/>
      <c r="I612" s="86"/>
      <c r="J612" s="231"/>
      <c r="K612" s="78"/>
      <c r="L612" s="78"/>
      <c r="M612" s="255"/>
      <c r="N612" s="255"/>
    </row>
    <row r="613" spans="1:14" ht="11.1" customHeight="1" x14ac:dyDescent="0.2">
      <c r="A613" s="302">
        <v>10.199999999999999</v>
      </c>
      <c r="B613" s="80" t="s">
        <v>720</v>
      </c>
      <c r="D613" s="79"/>
      <c r="E613" s="79"/>
      <c r="G613" s="131">
        <v>0.5</v>
      </c>
      <c r="H613" s="132">
        <v>13</v>
      </c>
      <c r="I613" s="132">
        <v>110</v>
      </c>
      <c r="J613" s="135">
        <v>26.8</v>
      </c>
      <c r="K613" s="78"/>
      <c r="L613" s="78"/>
      <c r="M613" s="255"/>
      <c r="N613" s="255"/>
    </row>
    <row r="614" spans="1:14" s="55" customFormat="1" ht="11.1" customHeight="1" x14ac:dyDescent="0.2">
      <c r="A614" s="56"/>
      <c r="B614" s="56" t="s">
        <v>721</v>
      </c>
      <c r="C614" s="136" t="s">
        <v>711</v>
      </c>
      <c r="F614" s="84"/>
      <c r="G614" s="131">
        <v>0.1</v>
      </c>
      <c r="H614" s="132">
        <v>3</v>
      </c>
      <c r="I614" s="132">
        <v>60</v>
      </c>
      <c r="J614" s="135">
        <v>19</v>
      </c>
      <c r="K614" s="78"/>
      <c r="L614" s="78"/>
      <c r="M614" s="255"/>
      <c r="N614" s="255"/>
    </row>
    <row r="615" spans="1:14" s="55" customFormat="1" ht="11.1" customHeight="1" x14ac:dyDescent="0.2">
      <c r="A615" s="56"/>
      <c r="B615" s="56" t="s">
        <v>722</v>
      </c>
      <c r="C615" s="56" t="s">
        <v>713</v>
      </c>
      <c r="F615" s="84"/>
      <c r="G615" s="131">
        <v>0.2</v>
      </c>
      <c r="H615" s="132">
        <v>6</v>
      </c>
      <c r="I615" s="132">
        <v>50</v>
      </c>
      <c r="J615" s="135">
        <v>20.8</v>
      </c>
      <c r="K615" s="78"/>
      <c r="L615" s="78"/>
      <c r="M615" s="255"/>
      <c r="N615" s="255"/>
    </row>
    <row r="616" spans="1:14" s="55" customFormat="1" ht="11.1" customHeight="1" x14ac:dyDescent="0.2">
      <c r="A616" s="56"/>
      <c r="B616" s="56" t="s">
        <v>723</v>
      </c>
      <c r="C616" s="56" t="s">
        <v>715</v>
      </c>
      <c r="F616" s="84"/>
      <c r="G616" s="138" t="s">
        <v>230</v>
      </c>
      <c r="H616" s="139" t="s">
        <v>230</v>
      </c>
      <c r="I616" s="139" t="s">
        <v>230</v>
      </c>
      <c r="J616" s="135" t="s">
        <v>230</v>
      </c>
      <c r="K616" s="78"/>
      <c r="L616" s="78"/>
      <c r="M616" s="255"/>
      <c r="N616" s="255"/>
    </row>
    <row r="617" spans="1:14" s="55" customFormat="1" ht="11.1" customHeight="1" x14ac:dyDescent="0.2">
      <c r="A617" s="56"/>
      <c r="B617" s="56" t="s">
        <v>724</v>
      </c>
      <c r="C617" s="56" t="s">
        <v>717</v>
      </c>
      <c r="F617" s="84"/>
      <c r="G617" s="138" t="s">
        <v>230</v>
      </c>
      <c r="H617" s="139" t="s">
        <v>230</v>
      </c>
      <c r="I617" s="139" t="s">
        <v>230</v>
      </c>
      <c r="J617" s="135" t="s">
        <v>230</v>
      </c>
      <c r="K617" s="78"/>
      <c r="L617" s="78"/>
      <c r="M617" s="255"/>
      <c r="N617" s="255"/>
    </row>
    <row r="618" spans="1:14" s="55" customFormat="1" ht="11.1" customHeight="1" x14ac:dyDescent="0.2">
      <c r="A618" s="56"/>
      <c r="B618" s="56" t="s">
        <v>725</v>
      </c>
      <c r="C618" s="136" t="s">
        <v>719</v>
      </c>
      <c r="F618" s="84"/>
      <c r="G618" s="138" t="s">
        <v>230</v>
      </c>
      <c r="H618" s="139" t="s">
        <v>230</v>
      </c>
      <c r="I618" s="139" t="s">
        <v>230</v>
      </c>
      <c r="J618" s="135" t="s">
        <v>230</v>
      </c>
      <c r="K618" s="78"/>
      <c r="L618" s="78"/>
      <c r="M618" s="255"/>
      <c r="N618" s="255"/>
    </row>
    <row r="619" spans="1:14" s="55" customFormat="1" ht="4.05" customHeight="1" x14ac:dyDescent="0.2">
      <c r="A619" s="71"/>
      <c r="B619" s="195"/>
      <c r="C619" s="226"/>
      <c r="D619" s="72"/>
      <c r="E619" s="72"/>
      <c r="F619" s="73"/>
      <c r="G619" s="152"/>
      <c r="H619" s="153"/>
      <c r="I619" s="154"/>
      <c r="J619" s="155"/>
      <c r="K619" s="214"/>
      <c r="L619" s="255"/>
      <c r="M619" s="255"/>
      <c r="N619" s="255"/>
    </row>
    <row r="620" spans="1:14" s="55" customFormat="1" ht="4.05" customHeight="1" x14ac:dyDescent="0.2">
      <c r="A620" s="80"/>
      <c r="B620" s="129"/>
      <c r="C620" s="144"/>
      <c r="D620" s="79"/>
      <c r="E620" s="79"/>
      <c r="F620" s="219"/>
      <c r="G620" s="138"/>
      <c r="H620" s="139"/>
      <c r="I620" s="140"/>
      <c r="J620" s="135"/>
      <c r="K620" s="214"/>
      <c r="L620" s="255"/>
      <c r="M620" s="255"/>
      <c r="N620" s="255"/>
    </row>
    <row r="621" spans="1:14" s="55" customFormat="1" ht="11.1" customHeight="1" x14ac:dyDescent="0.2">
      <c r="A621" s="157" t="s">
        <v>111</v>
      </c>
      <c r="B621" s="56"/>
      <c r="C621" s="56"/>
      <c r="E621" s="137"/>
      <c r="F621" s="142"/>
      <c r="G621" s="241"/>
      <c r="H621" s="242"/>
      <c r="I621" s="140"/>
      <c r="J621" s="135"/>
      <c r="K621" s="214"/>
      <c r="L621" s="255"/>
      <c r="M621" s="255"/>
      <c r="N621" s="255"/>
    </row>
    <row r="622" spans="1:14" s="55" customFormat="1" ht="11.1" customHeight="1" x14ac:dyDescent="0.2">
      <c r="A622" s="157" t="s">
        <v>182</v>
      </c>
      <c r="B622" s="56"/>
      <c r="C622" s="56"/>
      <c r="E622" s="137"/>
      <c r="F622" s="142"/>
      <c r="G622" s="241"/>
      <c r="H622" s="242"/>
      <c r="I622" s="140"/>
      <c r="J622" s="135"/>
      <c r="K622" s="214"/>
      <c r="L622" s="255"/>
      <c r="M622" s="255"/>
      <c r="N622" s="255"/>
    </row>
    <row r="623" spans="1:14" s="55" customFormat="1" ht="11.1" customHeight="1" x14ac:dyDescent="0.2">
      <c r="A623" s="157" t="s">
        <v>112</v>
      </c>
      <c r="B623" s="56"/>
      <c r="C623" s="56"/>
      <c r="E623" s="137"/>
      <c r="F623" s="142"/>
      <c r="G623" s="241"/>
      <c r="H623" s="242"/>
      <c r="I623" s="140"/>
      <c r="J623" s="135"/>
      <c r="K623" s="214"/>
      <c r="L623" s="255"/>
      <c r="M623" s="255"/>
      <c r="N623" s="255"/>
    </row>
    <row r="624" spans="1:14" s="55" customFormat="1" ht="13.5" customHeight="1" x14ac:dyDescent="0.2">
      <c r="A624" s="245" t="s">
        <v>726</v>
      </c>
      <c r="B624" s="56"/>
      <c r="C624" s="56"/>
      <c r="D624" s="56"/>
      <c r="E624" s="56"/>
      <c r="F624" s="84"/>
      <c r="G624" s="85"/>
      <c r="H624" s="280"/>
      <c r="I624" s="87"/>
      <c r="J624" s="286"/>
    </row>
    <row r="625" spans="1:14" s="55" customFormat="1" ht="13.5" customHeight="1" x14ac:dyDescent="0.2">
      <c r="A625" s="245" t="s">
        <v>727</v>
      </c>
      <c r="B625" s="56"/>
      <c r="C625" s="56"/>
      <c r="D625" s="56"/>
      <c r="E625" s="56"/>
      <c r="F625" s="84"/>
      <c r="G625" s="85"/>
      <c r="H625" s="280"/>
      <c r="I625" s="87"/>
      <c r="J625" s="286"/>
    </row>
    <row r="626" spans="1:14" s="55" customFormat="1" ht="13.5" customHeight="1" x14ac:dyDescent="0.2">
      <c r="A626" s="245" t="s">
        <v>728</v>
      </c>
      <c r="B626" s="56"/>
      <c r="C626" s="56"/>
      <c r="D626" s="56"/>
      <c r="E626" s="56"/>
      <c r="F626" s="84"/>
      <c r="G626" s="85"/>
      <c r="H626" s="280"/>
      <c r="I626" s="87"/>
      <c r="J626" s="286"/>
    </row>
    <row r="627" spans="1:14" s="55" customFormat="1" ht="13.5" customHeight="1" x14ac:dyDescent="0.2">
      <c r="A627" s="157" t="s">
        <v>729</v>
      </c>
      <c r="B627" s="56"/>
      <c r="C627" s="56"/>
      <c r="D627" s="56"/>
      <c r="E627" s="56"/>
      <c r="F627" s="84"/>
      <c r="G627" s="85"/>
      <c r="H627" s="280"/>
      <c r="I627" s="87"/>
      <c r="J627" s="286"/>
    </row>
    <row r="628" spans="1:14" s="55" customFormat="1" ht="11.1" customHeight="1" x14ac:dyDescent="0.2">
      <c r="A628" s="80"/>
      <c r="B628" s="129"/>
      <c r="C628" s="144"/>
      <c r="D628" s="79"/>
      <c r="E628" s="79"/>
      <c r="F628" s="219"/>
      <c r="G628" s="138"/>
      <c r="H628" s="139"/>
      <c r="I628" s="140"/>
      <c r="J628" s="135"/>
      <c r="K628" s="214"/>
      <c r="L628" s="255"/>
      <c r="M628" s="255"/>
      <c r="N628" s="255"/>
    </row>
    <row r="629" spans="1:14" s="55" customFormat="1" ht="11.1" customHeight="1" x14ac:dyDescent="0.2">
      <c r="A629" s="158"/>
      <c r="B629" s="129"/>
      <c r="C629" s="144"/>
      <c r="D629" s="79"/>
      <c r="E629" s="79"/>
      <c r="F629" s="219"/>
      <c r="G629" s="138"/>
      <c r="H629" s="139"/>
      <c r="I629" s="140"/>
      <c r="J629" s="135"/>
      <c r="K629" s="214"/>
      <c r="L629" s="255"/>
      <c r="M629" s="255"/>
      <c r="N629" s="255"/>
    </row>
    <row r="630" spans="1:14" s="55" customFormat="1" ht="11.1" customHeight="1" x14ac:dyDescent="0.2">
      <c r="A630" s="158"/>
      <c r="B630" s="129"/>
      <c r="C630" s="144"/>
      <c r="D630" s="79"/>
      <c r="E630" s="79"/>
      <c r="F630" s="219"/>
      <c r="G630" s="138"/>
      <c r="H630" s="139"/>
      <c r="I630" s="140"/>
      <c r="J630" s="135"/>
      <c r="K630" s="214"/>
      <c r="L630" s="255"/>
      <c r="M630" s="255"/>
      <c r="N630" s="255"/>
    </row>
    <row r="631" spans="1:14" ht="11.1" customHeight="1" x14ac:dyDescent="0.2">
      <c r="A631" s="56"/>
      <c r="B631" s="56"/>
      <c r="C631" s="142"/>
      <c r="D631" s="55"/>
      <c r="E631" s="55"/>
      <c r="F631" s="84"/>
      <c r="G631" s="241"/>
      <c r="H631" s="242"/>
      <c r="I631" s="243"/>
      <c r="J631" s="244"/>
      <c r="K631" s="214"/>
      <c r="L631" s="255"/>
      <c r="M631" s="255"/>
      <c r="N631" s="255"/>
    </row>
    <row r="632" spans="1:14" ht="15.75" customHeight="1" x14ac:dyDescent="0.2">
      <c r="A632" s="159" t="s">
        <v>114</v>
      </c>
      <c r="B632" s="56"/>
      <c r="C632" s="142"/>
      <c r="D632" s="55"/>
      <c r="E632" s="55"/>
      <c r="F632" s="84"/>
      <c r="G632" s="241"/>
      <c r="H632" s="242"/>
      <c r="I632" s="243"/>
      <c r="J632" s="79"/>
      <c r="K632" s="214"/>
      <c r="L632" s="255"/>
      <c r="M632" s="255"/>
      <c r="N632" s="255"/>
    </row>
    <row r="633" spans="1:14" s="31" customFormat="1" ht="20.25" customHeight="1" x14ac:dyDescent="0.3">
      <c r="A633" s="160" t="s">
        <v>183</v>
      </c>
      <c r="B633" s="161"/>
      <c r="D633" s="32"/>
      <c r="E633" s="32"/>
      <c r="F633" s="33"/>
      <c r="G633" s="34"/>
      <c r="H633" s="35"/>
      <c r="I633" s="36"/>
      <c r="J633" s="246"/>
      <c r="K633" s="214"/>
      <c r="L633" s="255"/>
      <c r="M633" s="255"/>
      <c r="N633" s="255"/>
    </row>
    <row r="634" spans="1:14" s="31" customFormat="1" ht="15.75" customHeight="1" x14ac:dyDescent="0.25">
      <c r="A634" s="41" t="s">
        <v>969</v>
      </c>
      <c r="B634" s="168"/>
      <c r="C634" s="43"/>
      <c r="D634" s="44"/>
      <c r="E634" s="32"/>
      <c r="F634" s="33"/>
      <c r="G634" s="34"/>
      <c r="H634" s="35"/>
      <c r="I634" s="36"/>
      <c r="J634" s="246"/>
      <c r="K634" s="214"/>
      <c r="L634" s="255"/>
      <c r="M634" s="255"/>
      <c r="N634" s="255"/>
    </row>
    <row r="635" spans="1:14" ht="4.05" customHeight="1" x14ac:dyDescent="0.15">
      <c r="A635" s="71"/>
      <c r="B635" s="71"/>
      <c r="C635" s="72"/>
      <c r="D635" s="73"/>
      <c r="E635" s="73"/>
      <c r="F635" s="73"/>
      <c r="G635" s="101"/>
      <c r="H635" s="102"/>
      <c r="I635" s="103"/>
      <c r="J635" s="77"/>
      <c r="K635" s="214"/>
      <c r="L635" s="255"/>
      <c r="M635" s="255"/>
      <c r="N635" s="255"/>
    </row>
    <row r="636" spans="1:14" s="55" customFormat="1" ht="4.05" customHeight="1" x14ac:dyDescent="0.15">
      <c r="A636" s="81"/>
      <c r="B636" s="81"/>
      <c r="D636" s="84"/>
      <c r="E636" s="84"/>
      <c r="F636" s="84"/>
      <c r="G636" s="249"/>
      <c r="H636" s="250"/>
      <c r="I636" s="251"/>
      <c r="J636" s="252"/>
      <c r="K636" s="214"/>
      <c r="L636" s="255"/>
      <c r="M636" s="255"/>
      <c r="N636" s="255"/>
    </row>
    <row r="637" spans="1:14" s="180" customFormat="1" ht="11.1" customHeight="1" x14ac:dyDescent="0.15">
      <c r="A637" s="172"/>
      <c r="B637" s="172"/>
      <c r="C637" s="173"/>
      <c r="D637" s="174"/>
      <c r="E637" s="174"/>
      <c r="F637" s="59"/>
      <c r="G637" s="60" t="s">
        <v>116</v>
      </c>
      <c r="H637" s="61" t="s">
        <v>25</v>
      </c>
      <c r="I637" s="62" t="s">
        <v>26</v>
      </c>
      <c r="J637" s="63" t="s">
        <v>117</v>
      </c>
      <c r="K637" s="214"/>
      <c r="L637" s="255"/>
      <c r="M637" s="255"/>
      <c r="N637" s="255"/>
    </row>
    <row r="638" spans="1:14" s="180" customFormat="1" ht="11.1" customHeight="1" x14ac:dyDescent="0.15">
      <c r="A638" s="172"/>
      <c r="B638" s="172"/>
      <c r="C638" s="181"/>
      <c r="D638" s="174"/>
      <c r="E638" s="174"/>
      <c r="F638" s="59"/>
      <c r="G638" s="67" t="s">
        <v>29</v>
      </c>
      <c r="H638" s="61" t="s">
        <v>27</v>
      </c>
      <c r="I638" s="62" t="s">
        <v>28</v>
      </c>
      <c r="J638" s="63" t="s">
        <v>118</v>
      </c>
      <c r="K638" s="214"/>
      <c r="L638" s="255"/>
      <c r="M638" s="255"/>
      <c r="N638" s="255"/>
    </row>
    <row r="639" spans="1:14" s="180" customFormat="1" ht="11.1" customHeight="1" x14ac:dyDescent="0.15">
      <c r="A639" s="172"/>
      <c r="B639" s="172"/>
      <c r="C639" s="181"/>
      <c r="D639" s="174"/>
      <c r="E639" s="174"/>
      <c r="F639" s="59"/>
      <c r="G639" s="60" t="s">
        <v>31</v>
      </c>
      <c r="H639" s="61" t="s">
        <v>29</v>
      </c>
      <c r="I639" s="62" t="s">
        <v>30</v>
      </c>
      <c r="J639" s="69" t="s">
        <v>119</v>
      </c>
      <c r="K639" s="214"/>
      <c r="L639" s="255"/>
      <c r="M639" s="255"/>
      <c r="N639" s="255"/>
    </row>
    <row r="640" spans="1:14" s="180" customFormat="1" ht="11.1" customHeight="1" x14ac:dyDescent="0.15">
      <c r="A640" s="172"/>
      <c r="B640" s="172"/>
      <c r="C640" s="181"/>
      <c r="D640" s="174"/>
      <c r="E640" s="174"/>
      <c r="F640" s="59"/>
      <c r="G640" s="67" t="s">
        <v>32</v>
      </c>
      <c r="H640" s="61" t="s">
        <v>33</v>
      </c>
      <c r="I640" s="62" t="s">
        <v>120</v>
      </c>
      <c r="J640" s="70" t="s">
        <v>121</v>
      </c>
      <c r="K640" s="214"/>
      <c r="L640" s="255"/>
      <c r="M640" s="255"/>
      <c r="N640" s="255"/>
    </row>
    <row r="641" spans="1:14" ht="4.05" customHeight="1" x14ac:dyDescent="0.15">
      <c r="A641" s="71"/>
      <c r="B641" s="71"/>
      <c r="C641" s="72"/>
      <c r="D641" s="73"/>
      <c r="E641" s="73"/>
      <c r="F641" s="73"/>
      <c r="G641" s="101"/>
      <c r="H641" s="102"/>
      <c r="I641" s="103"/>
      <c r="J641" s="73"/>
      <c r="K641" s="214"/>
      <c r="L641" s="255"/>
      <c r="M641" s="255"/>
      <c r="N641" s="255"/>
    </row>
    <row r="642" spans="1:14" ht="4.05" customHeight="1" x14ac:dyDescent="0.15">
      <c r="B642" s="81"/>
      <c r="C642" s="82"/>
      <c r="D642" s="83"/>
      <c r="E642" s="83"/>
      <c r="F642" s="84"/>
      <c r="G642" s="85"/>
      <c r="H642" s="86"/>
      <c r="I642" s="87"/>
      <c r="J642" s="83"/>
      <c r="K642" s="214"/>
      <c r="L642" s="255"/>
      <c r="M642" s="255"/>
      <c r="N642" s="255"/>
    </row>
    <row r="643" spans="1:14" s="93" customFormat="1" ht="11.1" customHeight="1" x14ac:dyDescent="0.15">
      <c r="A643" s="111" t="s">
        <v>123</v>
      </c>
      <c r="B643" s="112"/>
      <c r="C643" s="113"/>
      <c r="F643" s="114" t="s">
        <v>124</v>
      </c>
      <c r="G643" s="115"/>
      <c r="H643" s="116"/>
      <c r="I643" s="117"/>
      <c r="K643" s="214"/>
      <c r="L643" s="303"/>
      <c r="M643" s="303"/>
      <c r="N643" s="303"/>
    </row>
    <row r="644" spans="1:14" s="128" customFormat="1" ht="4.05" customHeight="1" x14ac:dyDescent="0.15">
      <c r="A644" s="186"/>
      <c r="B644" s="186"/>
      <c r="C644" s="187"/>
      <c r="D644" s="79"/>
      <c r="E644" s="79"/>
      <c r="G644" s="107"/>
      <c r="H644" s="108"/>
      <c r="I644" s="109"/>
      <c r="J644" s="110"/>
      <c r="K644" s="214"/>
      <c r="L644" s="255"/>
      <c r="M644" s="255"/>
      <c r="N644" s="255"/>
    </row>
    <row r="645" spans="1:14" s="128" customFormat="1" ht="12.75" customHeight="1" x14ac:dyDescent="0.2">
      <c r="A645" s="188">
        <v>11</v>
      </c>
      <c r="B645" s="188" t="s">
        <v>17</v>
      </c>
      <c r="C645" s="121"/>
      <c r="D645" s="121"/>
      <c r="E645" s="121"/>
      <c r="F645" s="259"/>
      <c r="G645" s="123">
        <v>52.9</v>
      </c>
      <c r="H645" s="124">
        <v>1470</v>
      </c>
      <c r="I645" s="124">
        <v>4790</v>
      </c>
      <c r="J645" s="125">
        <v>1.7</v>
      </c>
      <c r="K645" s="78"/>
      <c r="L645" s="78"/>
      <c r="M645" s="255"/>
      <c r="N645" s="255"/>
    </row>
    <row r="646" spans="1:14" s="55" customFormat="1" ht="6" customHeight="1" x14ac:dyDescent="0.2">
      <c r="A646" s="56"/>
      <c r="B646" s="56"/>
      <c r="F646" s="84"/>
      <c r="G646" s="85"/>
      <c r="H646" s="86"/>
      <c r="I646" s="87"/>
      <c r="J646" s="231"/>
      <c r="K646" s="78"/>
      <c r="L646" s="78"/>
      <c r="M646" s="255"/>
      <c r="N646" s="255"/>
    </row>
    <row r="647" spans="1:14" ht="11.1" customHeight="1" x14ac:dyDescent="0.2">
      <c r="A647" s="302">
        <v>11.1</v>
      </c>
      <c r="B647" s="129" t="s">
        <v>730</v>
      </c>
      <c r="C647" s="80"/>
      <c r="D647" s="79"/>
      <c r="E647" s="79"/>
      <c r="G647" s="131">
        <v>41.3</v>
      </c>
      <c r="H647" s="132">
        <v>1148</v>
      </c>
      <c r="I647" s="132">
        <v>4700</v>
      </c>
      <c r="J647" s="135">
        <v>1.6</v>
      </c>
      <c r="K647" s="78"/>
      <c r="L647" s="78"/>
      <c r="M647" s="255"/>
      <c r="N647" s="255"/>
    </row>
    <row r="648" spans="1:14" s="55" customFormat="1" ht="11.1" customHeight="1" x14ac:dyDescent="0.2">
      <c r="B648" s="56" t="s">
        <v>731</v>
      </c>
      <c r="C648" s="56" t="s">
        <v>732</v>
      </c>
      <c r="D648" s="56"/>
      <c r="F648" s="84"/>
      <c r="G648" s="131">
        <v>20.2</v>
      </c>
      <c r="H648" s="132">
        <v>561</v>
      </c>
      <c r="I648" s="132">
        <v>3910</v>
      </c>
      <c r="J648" s="135">
        <v>1.9</v>
      </c>
      <c r="K648" s="78"/>
      <c r="L648" s="78"/>
      <c r="M648" s="255"/>
      <c r="N648" s="255"/>
    </row>
    <row r="649" spans="1:14" s="55" customFormat="1" ht="11.1" customHeight="1" x14ac:dyDescent="0.2">
      <c r="B649" s="56" t="s">
        <v>733</v>
      </c>
      <c r="C649" s="136" t="s">
        <v>734</v>
      </c>
      <c r="F649" s="84"/>
      <c r="G649" s="131">
        <v>8.3000000000000007</v>
      </c>
      <c r="H649" s="132">
        <v>231</v>
      </c>
      <c r="I649" s="132">
        <v>2270</v>
      </c>
      <c r="J649" s="135">
        <v>3.2</v>
      </c>
      <c r="K649" s="78"/>
      <c r="L649" s="78"/>
      <c r="M649" s="255"/>
      <c r="N649" s="255"/>
    </row>
    <row r="650" spans="1:14" s="55" customFormat="1" ht="11.1" customHeight="1" x14ac:dyDescent="0.2">
      <c r="B650" s="56" t="s">
        <v>735</v>
      </c>
      <c r="C650" s="55" t="s">
        <v>736</v>
      </c>
      <c r="F650" s="84"/>
      <c r="G650" s="131">
        <v>5.6</v>
      </c>
      <c r="H650" s="132">
        <v>156</v>
      </c>
      <c r="I650" s="132">
        <v>2270</v>
      </c>
      <c r="J650" s="135">
        <v>2.2999999999999998</v>
      </c>
      <c r="K650" s="78"/>
      <c r="L650" s="78"/>
      <c r="M650" s="255"/>
      <c r="N650" s="255"/>
    </row>
    <row r="651" spans="1:14" ht="3" customHeight="1" x14ac:dyDescent="0.2">
      <c r="B651" s="79"/>
      <c r="C651" s="80"/>
      <c r="D651" s="79"/>
      <c r="E651" s="79"/>
      <c r="F651" s="79"/>
      <c r="G651" s="85"/>
      <c r="H651" s="86"/>
      <c r="I651" s="87"/>
      <c r="K651" s="78"/>
      <c r="L651" s="78"/>
      <c r="M651" s="255"/>
      <c r="N651" s="255"/>
    </row>
    <row r="652" spans="1:14" s="143" customFormat="1" ht="11.1" customHeight="1" x14ac:dyDescent="0.2">
      <c r="A652" s="55"/>
      <c r="B652" s="56" t="s">
        <v>737</v>
      </c>
      <c r="C652" s="56" t="s">
        <v>738</v>
      </c>
      <c r="D652" s="55"/>
      <c r="E652" s="55"/>
      <c r="F652" s="84"/>
      <c r="G652" s="131">
        <v>5.3</v>
      </c>
      <c r="H652" s="132">
        <v>147</v>
      </c>
      <c r="I652" s="132">
        <v>2910</v>
      </c>
      <c r="J652" s="135">
        <v>2.4</v>
      </c>
      <c r="K652" s="78"/>
      <c r="L652" s="78"/>
      <c r="M652" s="255"/>
      <c r="N652" s="255"/>
    </row>
    <row r="653" spans="1:14" s="143" customFormat="1" ht="11.1" customHeight="1" x14ac:dyDescent="0.2">
      <c r="A653" s="55"/>
      <c r="C653" s="56" t="s">
        <v>739</v>
      </c>
      <c r="D653" s="55" t="s">
        <v>740</v>
      </c>
      <c r="E653" s="55"/>
      <c r="F653" s="84"/>
      <c r="G653" s="131">
        <v>4</v>
      </c>
      <c r="H653" s="132">
        <v>111</v>
      </c>
      <c r="I653" s="132">
        <v>2610</v>
      </c>
      <c r="J653" s="135">
        <v>2.7</v>
      </c>
      <c r="K653" s="78"/>
      <c r="L653" s="78"/>
      <c r="M653" s="255"/>
      <c r="N653" s="255"/>
    </row>
    <row r="654" spans="1:14" s="143" customFormat="1" ht="11.1" customHeight="1" x14ac:dyDescent="0.2">
      <c r="A654" s="55"/>
      <c r="B654" s="272"/>
      <c r="C654" s="56" t="s">
        <v>741</v>
      </c>
      <c r="D654" s="55" t="s">
        <v>742</v>
      </c>
      <c r="E654" s="55"/>
      <c r="F654" s="84"/>
      <c r="G654" s="131">
        <v>0.3</v>
      </c>
      <c r="H654" s="132">
        <v>8</v>
      </c>
      <c r="I654" s="132">
        <v>1070</v>
      </c>
      <c r="J654" s="135">
        <v>4.2</v>
      </c>
      <c r="K654" s="78"/>
      <c r="L654" s="78"/>
      <c r="M654" s="255"/>
      <c r="N654" s="255"/>
    </row>
    <row r="655" spans="1:14" s="143" customFormat="1" ht="11.1" customHeight="1" x14ac:dyDescent="0.2">
      <c r="A655" s="55"/>
      <c r="B655" s="272"/>
      <c r="C655" s="56" t="s">
        <v>743</v>
      </c>
      <c r="D655" s="55" t="s">
        <v>744</v>
      </c>
      <c r="E655" s="55"/>
      <c r="F655" s="84"/>
      <c r="G655" s="131">
        <v>0.2</v>
      </c>
      <c r="H655" s="132">
        <v>4</v>
      </c>
      <c r="I655" s="132">
        <v>400</v>
      </c>
      <c r="J655" s="135">
        <v>7.3</v>
      </c>
      <c r="K655" s="78"/>
      <c r="L655" s="78"/>
      <c r="M655" s="255"/>
      <c r="N655" s="255"/>
    </row>
    <row r="656" spans="1:14" s="143" customFormat="1" ht="11.1" customHeight="1" x14ac:dyDescent="0.2">
      <c r="A656" s="55"/>
      <c r="B656" s="272"/>
      <c r="C656" s="56" t="s">
        <v>745</v>
      </c>
      <c r="D656" s="55" t="s">
        <v>110</v>
      </c>
      <c r="E656" s="55"/>
      <c r="F656" s="84"/>
      <c r="G656" s="131">
        <v>0.8</v>
      </c>
      <c r="H656" s="132">
        <v>23</v>
      </c>
      <c r="I656" s="132">
        <v>1840</v>
      </c>
      <c r="J656" s="135">
        <v>3.1</v>
      </c>
      <c r="K656" s="78"/>
      <c r="L656" s="78"/>
      <c r="M656" s="255"/>
      <c r="N656" s="255"/>
    </row>
    <row r="657" spans="1:14" s="143" customFormat="1" ht="3" customHeight="1" x14ac:dyDescent="0.2">
      <c r="A657" s="55"/>
      <c r="B657" s="272"/>
      <c r="C657" s="56"/>
      <c r="D657" s="55"/>
      <c r="E657" s="55"/>
      <c r="F657" s="84"/>
      <c r="G657" s="85"/>
      <c r="H657" s="86"/>
      <c r="I657" s="87"/>
      <c r="J657" s="231"/>
      <c r="K657" s="78"/>
      <c r="L657" s="78"/>
      <c r="M657" s="255"/>
      <c r="N657" s="255"/>
    </row>
    <row r="658" spans="1:14" s="143" customFormat="1" ht="11.1" customHeight="1" x14ac:dyDescent="0.2">
      <c r="A658" s="55"/>
      <c r="B658" s="56" t="s">
        <v>746</v>
      </c>
      <c r="C658" s="56" t="s">
        <v>747</v>
      </c>
      <c r="D658" s="55"/>
      <c r="E658" s="84"/>
      <c r="F658" s="84"/>
      <c r="G658" s="131">
        <v>0.2</v>
      </c>
      <c r="H658" s="132">
        <v>6</v>
      </c>
      <c r="I658" s="132">
        <v>30</v>
      </c>
      <c r="J658" s="135">
        <v>27.1</v>
      </c>
      <c r="K658" s="78"/>
      <c r="L658" s="78"/>
      <c r="M658" s="255"/>
      <c r="N658" s="255"/>
    </row>
    <row r="659" spans="1:14" s="143" customFormat="1" ht="3" customHeight="1" x14ac:dyDescent="0.2">
      <c r="A659" s="55"/>
      <c r="C659" s="136"/>
      <c r="D659" s="55"/>
      <c r="E659" s="55"/>
      <c r="F659" s="84"/>
      <c r="G659" s="85"/>
      <c r="H659" s="86"/>
      <c r="I659" s="87"/>
      <c r="J659" s="231"/>
      <c r="K659" s="78"/>
      <c r="L659" s="78"/>
      <c r="M659" s="255"/>
      <c r="N659" s="255"/>
    </row>
    <row r="660" spans="1:14" s="143" customFormat="1" ht="11.1" customHeight="1" x14ac:dyDescent="0.2">
      <c r="A660" s="56"/>
      <c r="B660" s="56" t="s">
        <v>748</v>
      </c>
      <c r="C660" s="136" t="s">
        <v>749</v>
      </c>
      <c r="E660" s="55"/>
      <c r="F660" s="84"/>
      <c r="G660" s="131">
        <v>1.7</v>
      </c>
      <c r="H660" s="132">
        <v>48</v>
      </c>
      <c r="I660" s="132">
        <v>1110</v>
      </c>
      <c r="J660" s="135">
        <v>4.0999999999999996</v>
      </c>
      <c r="K660" s="78"/>
      <c r="L660" s="78"/>
      <c r="M660" s="255"/>
      <c r="N660" s="255"/>
    </row>
    <row r="661" spans="1:14" s="143" customFormat="1" ht="11.1" customHeight="1" x14ac:dyDescent="0.2">
      <c r="A661" s="56"/>
      <c r="B661" s="55"/>
      <c r="C661" s="56" t="s">
        <v>750</v>
      </c>
      <c r="D661" s="55" t="s">
        <v>751</v>
      </c>
      <c r="E661" s="84"/>
      <c r="F661" s="84"/>
      <c r="G661" s="131">
        <v>0.7</v>
      </c>
      <c r="H661" s="132">
        <v>20</v>
      </c>
      <c r="I661" s="132">
        <v>420</v>
      </c>
      <c r="J661" s="135">
        <v>6</v>
      </c>
      <c r="K661" s="78"/>
      <c r="L661" s="78"/>
      <c r="M661" s="255"/>
      <c r="N661" s="255"/>
    </row>
    <row r="662" spans="1:14" s="55" customFormat="1" ht="11.1" customHeight="1" x14ac:dyDescent="0.2">
      <c r="A662" s="56"/>
      <c r="C662" s="56" t="s">
        <v>752</v>
      </c>
      <c r="D662" s="55" t="s">
        <v>753</v>
      </c>
      <c r="F662" s="84"/>
      <c r="G662" s="131">
        <v>1</v>
      </c>
      <c r="H662" s="132">
        <v>28</v>
      </c>
      <c r="I662" s="132">
        <v>820</v>
      </c>
      <c r="J662" s="135">
        <v>5.2</v>
      </c>
      <c r="K662" s="78"/>
      <c r="L662" s="78"/>
      <c r="M662" s="255"/>
      <c r="N662" s="255"/>
    </row>
    <row r="663" spans="1:14" s="55" customFormat="1" ht="3" customHeight="1" x14ac:dyDescent="0.2">
      <c r="A663" s="56"/>
      <c r="B663" s="81"/>
      <c r="C663" s="56"/>
      <c r="D663" s="192"/>
      <c r="E663" s="192"/>
      <c r="F663" s="192"/>
      <c r="G663" s="85"/>
      <c r="H663" s="86"/>
      <c r="I663" s="87"/>
      <c r="J663" s="231"/>
      <c r="K663" s="78"/>
      <c r="L663" s="78"/>
      <c r="M663" s="255"/>
      <c r="N663" s="255"/>
    </row>
    <row r="664" spans="1:14" ht="11.1" customHeight="1" x14ac:dyDescent="0.2">
      <c r="A664" s="302">
        <v>11.2</v>
      </c>
      <c r="B664" s="80" t="s">
        <v>754</v>
      </c>
      <c r="D664" s="79"/>
      <c r="E664" s="79"/>
      <c r="G664" s="131">
        <v>11.6</v>
      </c>
      <c r="H664" s="132">
        <v>322</v>
      </c>
      <c r="I664" s="132">
        <v>1720</v>
      </c>
      <c r="J664" s="135">
        <v>4.3</v>
      </c>
      <c r="K664" s="78"/>
      <c r="L664" s="78"/>
      <c r="M664" s="255"/>
      <c r="N664" s="255"/>
    </row>
    <row r="665" spans="1:14" s="55" customFormat="1" ht="11.1" customHeight="1" x14ac:dyDescent="0.2">
      <c r="B665" s="56" t="s">
        <v>755</v>
      </c>
      <c r="C665" s="136" t="s">
        <v>756</v>
      </c>
      <c r="F665" s="84"/>
      <c r="G665" s="131">
        <v>6.3</v>
      </c>
      <c r="H665" s="132">
        <v>174</v>
      </c>
      <c r="I665" s="132">
        <v>1350</v>
      </c>
      <c r="J665" s="135">
        <v>4.0999999999999996</v>
      </c>
      <c r="K665" s="78"/>
      <c r="L665" s="78"/>
      <c r="M665" s="255"/>
      <c r="N665" s="255"/>
    </row>
    <row r="666" spans="1:14" s="55" customFormat="1" ht="11.1" customHeight="1" x14ac:dyDescent="0.2">
      <c r="B666" s="56" t="s">
        <v>757</v>
      </c>
      <c r="C666" s="136" t="s">
        <v>758</v>
      </c>
      <c r="F666" s="84"/>
      <c r="G666" s="131">
        <v>5.2</v>
      </c>
      <c r="H666" s="132">
        <v>145</v>
      </c>
      <c r="I666" s="132">
        <v>480</v>
      </c>
      <c r="J666" s="135">
        <v>7.8</v>
      </c>
      <c r="K666" s="78"/>
      <c r="L666" s="78"/>
      <c r="M666" s="255"/>
      <c r="N666" s="255"/>
    </row>
    <row r="667" spans="1:14" s="55" customFormat="1" ht="11.1" customHeight="1" x14ac:dyDescent="0.2">
      <c r="B667" s="56" t="s">
        <v>759</v>
      </c>
      <c r="C667" s="136" t="s">
        <v>760</v>
      </c>
      <c r="F667" s="84"/>
      <c r="G667" s="131">
        <v>0.1</v>
      </c>
      <c r="H667" s="132">
        <v>3</v>
      </c>
      <c r="I667" s="132">
        <v>30</v>
      </c>
      <c r="J667" s="135">
        <v>33.799999999999997</v>
      </c>
      <c r="K667" s="78"/>
      <c r="L667" s="78"/>
      <c r="M667" s="255"/>
      <c r="N667" s="255"/>
    </row>
    <row r="668" spans="1:14" ht="4.05" customHeight="1" x14ac:dyDescent="0.2">
      <c r="A668" s="71"/>
      <c r="B668" s="195"/>
      <c r="C668" s="47"/>
      <c r="D668" s="72"/>
      <c r="E668" s="72"/>
      <c r="F668" s="73"/>
      <c r="G668" s="74"/>
      <c r="H668" s="279"/>
      <c r="I668" s="76"/>
      <c r="J668" s="258"/>
      <c r="K668" s="78"/>
      <c r="L668" s="78"/>
      <c r="M668" s="255"/>
      <c r="N668" s="255"/>
    </row>
    <row r="669" spans="1:14" ht="4.05" customHeight="1" x14ac:dyDescent="0.2">
      <c r="A669" s="56"/>
      <c r="B669" s="56"/>
      <c r="C669" s="56"/>
      <c r="D669" s="55"/>
      <c r="E669" s="55"/>
      <c r="F669" s="84"/>
      <c r="G669" s="85"/>
      <c r="H669" s="278"/>
      <c r="I669" s="87"/>
      <c r="J669" s="231"/>
      <c r="K669" s="78"/>
      <c r="L669" s="78"/>
      <c r="M669" s="255"/>
      <c r="N669" s="255"/>
    </row>
    <row r="670" spans="1:14" s="128" customFormat="1" ht="12.75" customHeight="1" x14ac:dyDescent="0.2">
      <c r="A670" s="188">
        <v>12</v>
      </c>
      <c r="B670" s="188" t="s">
        <v>18</v>
      </c>
      <c r="C670" s="188"/>
      <c r="D670" s="121"/>
      <c r="E670" s="121"/>
      <c r="F670" s="259"/>
      <c r="G670" s="123">
        <v>45.7</v>
      </c>
      <c r="H670" s="124">
        <v>1270</v>
      </c>
      <c r="I670" s="124">
        <v>5340</v>
      </c>
      <c r="J670" s="125">
        <v>2.4</v>
      </c>
      <c r="K670" s="78"/>
      <c r="L670" s="78"/>
      <c r="M670" s="255"/>
      <c r="N670" s="255"/>
    </row>
    <row r="671" spans="1:14" ht="6" customHeight="1" x14ac:dyDescent="0.2">
      <c r="A671" s="56"/>
      <c r="B671" s="56"/>
      <c r="C671" s="55"/>
      <c r="D671" s="55"/>
      <c r="E671" s="55"/>
      <c r="F671" s="84"/>
      <c r="G671" s="85"/>
      <c r="H671" s="86"/>
      <c r="I671" s="87"/>
      <c r="J671" s="231"/>
      <c r="K671" s="78"/>
      <c r="L671" s="78"/>
      <c r="M671" s="255"/>
      <c r="N671" s="255"/>
    </row>
    <row r="672" spans="1:14" ht="11.1" customHeight="1" x14ac:dyDescent="0.2">
      <c r="A672" s="302">
        <v>12.1</v>
      </c>
      <c r="B672" s="80" t="s">
        <v>761</v>
      </c>
      <c r="C672" s="80"/>
      <c r="D672" s="79"/>
      <c r="E672" s="79"/>
      <c r="G672" s="131">
        <v>13.4</v>
      </c>
      <c r="H672" s="132">
        <v>373</v>
      </c>
      <c r="I672" s="132">
        <v>4760</v>
      </c>
      <c r="J672" s="135">
        <v>2.2000000000000002</v>
      </c>
      <c r="K672" s="78"/>
      <c r="L672" s="78"/>
      <c r="M672" s="255"/>
      <c r="N672" s="255"/>
    </row>
    <row r="673" spans="1:14" s="55" customFormat="1" ht="11.1" customHeight="1" x14ac:dyDescent="0.2">
      <c r="B673" s="56" t="s">
        <v>762</v>
      </c>
      <c r="C673" s="56" t="s">
        <v>763</v>
      </c>
      <c r="F673" s="84"/>
      <c r="G673" s="131">
        <v>4.4000000000000004</v>
      </c>
      <c r="H673" s="132">
        <v>122</v>
      </c>
      <c r="I673" s="132">
        <v>1300</v>
      </c>
      <c r="J673" s="135">
        <v>4.3</v>
      </c>
      <c r="K673" s="78"/>
      <c r="L673" s="78"/>
      <c r="M673" s="255"/>
      <c r="N673" s="255"/>
    </row>
    <row r="674" spans="1:14" s="55" customFormat="1" ht="11.1" customHeight="1" x14ac:dyDescent="0.2">
      <c r="B674" s="56" t="s">
        <v>764</v>
      </c>
      <c r="C674" s="56" t="s">
        <v>765</v>
      </c>
      <c r="F674" s="84"/>
      <c r="G674" s="131">
        <v>1</v>
      </c>
      <c r="H674" s="132">
        <v>27</v>
      </c>
      <c r="I674" s="132">
        <v>2230</v>
      </c>
      <c r="J674" s="135">
        <v>2.6</v>
      </c>
      <c r="K674" s="78"/>
      <c r="L674" s="78"/>
      <c r="M674" s="255"/>
      <c r="N674" s="255"/>
    </row>
    <row r="675" spans="1:14" s="55" customFormat="1" ht="3" customHeight="1" x14ac:dyDescent="0.2">
      <c r="B675" s="56"/>
      <c r="C675" s="56"/>
      <c r="F675" s="84"/>
      <c r="G675" s="85"/>
      <c r="H675" s="86"/>
      <c r="I675" s="87"/>
      <c r="J675" s="231"/>
      <c r="K675" s="78"/>
      <c r="L675" s="78"/>
      <c r="M675" s="255"/>
      <c r="N675" s="255"/>
    </row>
    <row r="676" spans="1:14" s="55" customFormat="1" ht="11.1" customHeight="1" x14ac:dyDescent="0.2">
      <c r="B676" s="56" t="s">
        <v>766</v>
      </c>
      <c r="C676" s="136" t="s">
        <v>767</v>
      </c>
      <c r="D676" s="56"/>
      <c r="F676" s="84"/>
      <c r="G676" s="131">
        <v>2.6</v>
      </c>
      <c r="H676" s="132">
        <v>74</v>
      </c>
      <c r="I676" s="132">
        <v>3880</v>
      </c>
      <c r="J676" s="135">
        <v>2.2000000000000002</v>
      </c>
      <c r="K676" s="78"/>
      <c r="L676" s="78"/>
      <c r="M676" s="255"/>
      <c r="N676" s="255"/>
    </row>
    <row r="677" spans="1:14" s="55" customFormat="1" ht="11.1" customHeight="1" x14ac:dyDescent="0.2">
      <c r="B677" s="56"/>
      <c r="C677" s="136" t="s">
        <v>768</v>
      </c>
      <c r="D677" s="56" t="s">
        <v>769</v>
      </c>
      <c r="F677" s="84"/>
      <c r="G677" s="131">
        <v>1.6</v>
      </c>
      <c r="H677" s="132">
        <v>45</v>
      </c>
      <c r="I677" s="132">
        <v>3340</v>
      </c>
      <c r="J677" s="135">
        <v>2.7</v>
      </c>
      <c r="K677" s="78"/>
      <c r="L677" s="78"/>
      <c r="M677" s="255"/>
      <c r="N677" s="255"/>
    </row>
    <row r="678" spans="1:14" s="55" customFormat="1" ht="11.1" customHeight="1" x14ac:dyDescent="0.2">
      <c r="B678" s="56"/>
      <c r="C678" s="56" t="s">
        <v>770</v>
      </c>
      <c r="D678" s="55" t="s">
        <v>771</v>
      </c>
      <c r="F678" s="84"/>
      <c r="G678" s="131">
        <v>0.5</v>
      </c>
      <c r="H678" s="132">
        <v>14</v>
      </c>
      <c r="I678" s="132">
        <v>1840</v>
      </c>
      <c r="J678" s="135">
        <v>4.0999999999999996</v>
      </c>
      <c r="K678" s="78"/>
      <c r="L678" s="78"/>
      <c r="M678" s="255"/>
      <c r="N678" s="255"/>
    </row>
    <row r="679" spans="1:14" s="55" customFormat="1" ht="11.1" customHeight="1" x14ac:dyDescent="0.2">
      <c r="B679" s="56"/>
      <c r="C679" s="56" t="s">
        <v>772</v>
      </c>
      <c r="D679" s="55" t="s">
        <v>773</v>
      </c>
      <c r="F679" s="84"/>
      <c r="G679" s="131">
        <v>0.5</v>
      </c>
      <c r="H679" s="132">
        <v>14</v>
      </c>
      <c r="I679" s="132">
        <v>1130</v>
      </c>
      <c r="J679" s="135">
        <v>4.9000000000000004</v>
      </c>
      <c r="K679" s="78"/>
      <c r="L679" s="78"/>
      <c r="M679" s="255"/>
      <c r="N679" s="255"/>
    </row>
    <row r="680" spans="1:14" s="55" customFormat="1" ht="3" customHeight="1" x14ac:dyDescent="0.2">
      <c r="B680" s="56"/>
      <c r="C680" s="136"/>
      <c r="D680" s="56"/>
      <c r="F680" s="84"/>
      <c r="G680" s="85"/>
      <c r="H680" s="86"/>
      <c r="I680" s="87"/>
      <c r="J680" s="217"/>
      <c r="K680" s="78"/>
      <c r="L680" s="78"/>
      <c r="M680" s="255"/>
      <c r="N680" s="255"/>
    </row>
    <row r="681" spans="1:14" s="55" customFormat="1" ht="11.1" customHeight="1" x14ac:dyDescent="0.2">
      <c r="B681" s="56" t="s">
        <v>774</v>
      </c>
      <c r="C681" s="136" t="s">
        <v>775</v>
      </c>
      <c r="D681" s="56"/>
      <c r="F681" s="84"/>
      <c r="G681" s="131">
        <v>0.6</v>
      </c>
      <c r="H681" s="132">
        <v>16</v>
      </c>
      <c r="I681" s="132">
        <v>1050</v>
      </c>
      <c r="J681" s="135">
        <v>4.7</v>
      </c>
      <c r="K681" s="78"/>
      <c r="L681" s="78"/>
      <c r="M681" s="255"/>
      <c r="N681" s="255"/>
    </row>
    <row r="682" spans="1:14" s="55" customFormat="1" ht="3" customHeight="1" x14ac:dyDescent="0.2">
      <c r="B682" s="56"/>
      <c r="C682" s="56"/>
      <c r="D682" s="56"/>
      <c r="F682" s="84"/>
      <c r="G682" s="85"/>
      <c r="H682" s="86"/>
      <c r="I682" s="87"/>
      <c r="J682" s="231"/>
      <c r="K682" s="78"/>
      <c r="L682" s="78"/>
      <c r="M682" s="255"/>
      <c r="N682" s="255"/>
    </row>
    <row r="683" spans="1:14" s="55" customFormat="1" ht="11.1" customHeight="1" x14ac:dyDescent="0.2">
      <c r="B683" s="56" t="s">
        <v>776</v>
      </c>
      <c r="C683" s="56" t="s">
        <v>777</v>
      </c>
      <c r="D683" s="56"/>
      <c r="F683" s="84"/>
      <c r="G683" s="131">
        <v>4.8</v>
      </c>
      <c r="H683" s="132">
        <v>135</v>
      </c>
      <c r="I683" s="132">
        <v>2950</v>
      </c>
      <c r="J683" s="135">
        <v>3.4</v>
      </c>
      <c r="K683" s="78"/>
      <c r="L683" s="78"/>
      <c r="M683" s="255"/>
      <c r="N683" s="255"/>
    </row>
    <row r="684" spans="1:14" s="55" customFormat="1" ht="11.1" customHeight="1" x14ac:dyDescent="0.2">
      <c r="B684" s="56"/>
      <c r="C684" s="56" t="s">
        <v>778</v>
      </c>
      <c r="D684" s="56" t="s">
        <v>779</v>
      </c>
      <c r="F684" s="84"/>
      <c r="G684" s="131">
        <v>1</v>
      </c>
      <c r="H684" s="132">
        <v>28</v>
      </c>
      <c r="I684" s="132">
        <v>1620</v>
      </c>
      <c r="J684" s="135">
        <v>4.0999999999999996</v>
      </c>
      <c r="K684" s="78"/>
      <c r="L684" s="78"/>
      <c r="M684" s="255"/>
      <c r="N684" s="255"/>
    </row>
    <row r="685" spans="1:14" s="55" customFormat="1" ht="11.1" customHeight="1" x14ac:dyDescent="0.2">
      <c r="B685" s="56"/>
      <c r="C685" s="56" t="s">
        <v>780</v>
      </c>
      <c r="D685" s="56" t="s">
        <v>781</v>
      </c>
      <c r="F685" s="84"/>
      <c r="G685" s="131">
        <v>3.5</v>
      </c>
      <c r="H685" s="132">
        <v>99</v>
      </c>
      <c r="I685" s="132">
        <v>2300</v>
      </c>
      <c r="J685" s="135">
        <v>4</v>
      </c>
      <c r="K685" s="78"/>
      <c r="L685" s="78"/>
      <c r="M685" s="255"/>
      <c r="N685" s="255"/>
    </row>
    <row r="686" spans="1:14" s="55" customFormat="1" ht="11.1" customHeight="1" x14ac:dyDescent="0.2">
      <c r="B686" s="56"/>
      <c r="C686" s="56" t="s">
        <v>782</v>
      </c>
      <c r="D686" s="56" t="s">
        <v>783</v>
      </c>
      <c r="F686" s="84"/>
      <c r="G686" s="131">
        <v>0.3</v>
      </c>
      <c r="H686" s="132">
        <v>8</v>
      </c>
      <c r="I686" s="132">
        <v>120</v>
      </c>
      <c r="J686" s="135">
        <v>15.8</v>
      </c>
      <c r="K686" s="78"/>
      <c r="L686" s="78"/>
      <c r="M686" s="255"/>
      <c r="N686" s="255"/>
    </row>
    <row r="687" spans="1:14" ht="3" customHeight="1" x14ac:dyDescent="0.2">
      <c r="A687" s="302"/>
      <c r="C687" s="304"/>
      <c r="D687" s="79"/>
      <c r="E687" s="79"/>
      <c r="G687" s="138"/>
      <c r="H687" s="139"/>
      <c r="I687" s="305"/>
      <c r="J687" s="135"/>
      <c r="K687" s="78"/>
      <c r="L687" s="78"/>
      <c r="M687" s="255"/>
      <c r="N687" s="255"/>
    </row>
    <row r="688" spans="1:14" s="55" customFormat="1" ht="11.1" customHeight="1" x14ac:dyDescent="0.2">
      <c r="A688" s="302">
        <v>12.2</v>
      </c>
      <c r="B688" s="129" t="s">
        <v>784</v>
      </c>
      <c r="C688" s="80"/>
      <c r="D688" s="79"/>
      <c r="E688" s="79"/>
      <c r="F688" s="219"/>
      <c r="G688" s="131">
        <v>4.2</v>
      </c>
      <c r="H688" s="132">
        <v>118</v>
      </c>
      <c r="I688" s="132">
        <v>1180</v>
      </c>
      <c r="J688" s="135">
        <v>10.1</v>
      </c>
      <c r="K688" s="78"/>
      <c r="L688" s="78"/>
      <c r="M688" s="255"/>
      <c r="N688" s="255"/>
    </row>
    <row r="689" spans="1:14" s="55" customFormat="1" ht="11.1" customHeight="1" x14ac:dyDescent="0.2">
      <c r="B689" s="56" t="s">
        <v>785</v>
      </c>
      <c r="C689" s="55" t="s">
        <v>786</v>
      </c>
      <c r="F689" s="84"/>
      <c r="G689" s="131">
        <v>2.7</v>
      </c>
      <c r="H689" s="132">
        <v>75</v>
      </c>
      <c r="I689" s="132">
        <v>820</v>
      </c>
      <c r="J689" s="135">
        <v>15.1</v>
      </c>
      <c r="K689" s="78"/>
      <c r="L689" s="78"/>
      <c r="M689" s="255"/>
      <c r="N689" s="255"/>
    </row>
    <row r="690" spans="1:14" s="55" customFormat="1" ht="11.1" customHeight="1" x14ac:dyDescent="0.2">
      <c r="B690" s="56" t="s">
        <v>787</v>
      </c>
      <c r="C690" s="55" t="s">
        <v>788</v>
      </c>
      <c r="F690" s="84"/>
      <c r="G690" s="131">
        <v>1.1000000000000001</v>
      </c>
      <c r="H690" s="132">
        <v>30</v>
      </c>
      <c r="I690" s="132">
        <v>390</v>
      </c>
      <c r="J690" s="135">
        <v>14.6</v>
      </c>
      <c r="K690" s="78"/>
      <c r="L690" s="78"/>
      <c r="M690" s="255"/>
      <c r="N690" s="255"/>
    </row>
    <row r="691" spans="1:14" s="55" customFormat="1" ht="11.1" customHeight="1" x14ac:dyDescent="0.2">
      <c r="B691" s="56" t="s">
        <v>789</v>
      </c>
      <c r="C691" s="55" t="s">
        <v>790</v>
      </c>
      <c r="F691" s="84"/>
      <c r="G691" s="131">
        <v>0.1</v>
      </c>
      <c r="H691" s="132">
        <v>3</v>
      </c>
      <c r="I691" s="132">
        <v>70</v>
      </c>
      <c r="J691" s="135">
        <v>23.4</v>
      </c>
      <c r="K691" s="78"/>
      <c r="L691" s="78"/>
      <c r="M691" s="255"/>
      <c r="N691" s="255"/>
    </row>
    <row r="692" spans="1:14" s="55" customFormat="1" ht="11.1" customHeight="1" x14ac:dyDescent="0.2">
      <c r="B692" s="56" t="s">
        <v>791</v>
      </c>
      <c r="C692" s="55" t="s">
        <v>792</v>
      </c>
      <c r="F692" s="84"/>
      <c r="G692" s="131">
        <v>0.1</v>
      </c>
      <c r="H692" s="132">
        <v>3</v>
      </c>
      <c r="I692" s="132">
        <v>40</v>
      </c>
      <c r="J692" s="135">
        <v>30.2</v>
      </c>
      <c r="K692" s="78"/>
      <c r="L692" s="78"/>
      <c r="M692" s="255"/>
      <c r="N692" s="255"/>
    </row>
    <row r="693" spans="1:14" s="55" customFormat="1" ht="11.1" customHeight="1" x14ac:dyDescent="0.2">
      <c r="B693" s="56" t="s">
        <v>793</v>
      </c>
      <c r="C693" s="55" t="s">
        <v>794</v>
      </c>
      <c r="E693" s="84"/>
      <c r="F693" s="84"/>
      <c r="G693" s="256">
        <v>0.1</v>
      </c>
      <c r="H693" s="203">
        <v>3</v>
      </c>
      <c r="I693" s="132">
        <v>20</v>
      </c>
      <c r="J693" s="135">
        <v>40.4</v>
      </c>
      <c r="K693" s="78"/>
      <c r="L693" s="78"/>
      <c r="M693" s="255"/>
      <c r="N693" s="255"/>
    </row>
    <row r="694" spans="1:14" s="55" customFormat="1" ht="11.1" customHeight="1" x14ac:dyDescent="0.2">
      <c r="A694" s="80"/>
      <c r="B694" s="56" t="s">
        <v>795</v>
      </c>
      <c r="C694" s="56" t="s">
        <v>796</v>
      </c>
      <c r="G694" s="131">
        <v>0.1</v>
      </c>
      <c r="H694" s="132">
        <v>4</v>
      </c>
      <c r="I694" s="132">
        <v>30</v>
      </c>
      <c r="J694" s="135">
        <v>30.7</v>
      </c>
      <c r="K694" s="78"/>
      <c r="L694" s="78"/>
      <c r="M694" s="255"/>
      <c r="N694" s="255"/>
    </row>
    <row r="695" spans="1:14" s="55" customFormat="1" ht="3" customHeight="1" x14ac:dyDescent="0.2">
      <c r="G695" s="85"/>
      <c r="H695" s="108"/>
      <c r="I695" s="79"/>
      <c r="J695" s="171"/>
      <c r="K695" s="78"/>
      <c r="L695" s="78"/>
      <c r="M695" s="255"/>
      <c r="N695" s="255"/>
    </row>
    <row r="696" spans="1:14" s="55" customFormat="1" ht="11.1" customHeight="1" x14ac:dyDescent="0.2">
      <c r="A696" s="302">
        <v>12.3</v>
      </c>
      <c r="B696" s="80" t="s">
        <v>797</v>
      </c>
      <c r="C696" s="79"/>
      <c r="D696" s="219"/>
      <c r="E696" s="219"/>
      <c r="F696" s="219"/>
      <c r="G696" s="131">
        <v>3.7</v>
      </c>
      <c r="H696" s="132">
        <v>104</v>
      </c>
      <c r="I696" s="132">
        <v>230</v>
      </c>
      <c r="J696" s="135">
        <v>15</v>
      </c>
      <c r="K696" s="78"/>
      <c r="L696" s="78"/>
      <c r="M696" s="255"/>
      <c r="N696" s="255"/>
    </row>
    <row r="697" spans="1:14" s="55" customFormat="1" ht="11.1" customHeight="1" x14ac:dyDescent="0.2">
      <c r="B697" s="56" t="s">
        <v>798</v>
      </c>
      <c r="C697" s="55" t="s">
        <v>799</v>
      </c>
      <c r="E697" s="84"/>
      <c r="F697" s="84"/>
      <c r="G697" s="138" t="s">
        <v>230</v>
      </c>
      <c r="H697" s="139" t="s">
        <v>230</v>
      </c>
      <c r="I697" s="139" t="s">
        <v>230</v>
      </c>
      <c r="J697" s="135" t="s">
        <v>230</v>
      </c>
      <c r="K697" s="78"/>
      <c r="L697" s="78"/>
      <c r="M697" s="255"/>
      <c r="N697" s="255"/>
    </row>
    <row r="698" spans="1:14" s="55" customFormat="1" ht="11.1" customHeight="1" x14ac:dyDescent="0.2">
      <c r="B698" s="56" t="s">
        <v>800</v>
      </c>
      <c r="C698" s="55" t="s">
        <v>801</v>
      </c>
      <c r="E698" s="84"/>
      <c r="F698" s="84"/>
      <c r="G698" s="256">
        <v>0.5</v>
      </c>
      <c r="H698" s="203">
        <v>14</v>
      </c>
      <c r="I698" s="132">
        <v>10</v>
      </c>
      <c r="J698" s="135">
        <v>58.6</v>
      </c>
      <c r="K698" s="78"/>
      <c r="L698" s="78"/>
      <c r="M698" s="255"/>
      <c r="N698" s="255"/>
    </row>
    <row r="699" spans="1:14" s="55" customFormat="1" ht="11.1" customHeight="1" x14ac:dyDescent="0.2">
      <c r="B699" s="56" t="s">
        <v>802</v>
      </c>
      <c r="C699" s="55" t="s">
        <v>803</v>
      </c>
      <c r="E699" s="84"/>
      <c r="F699" s="84"/>
      <c r="G699" s="131">
        <v>1.1000000000000001</v>
      </c>
      <c r="H699" s="132">
        <v>30</v>
      </c>
      <c r="I699" s="132">
        <v>80</v>
      </c>
      <c r="J699" s="135">
        <v>23.5</v>
      </c>
      <c r="K699" s="78"/>
      <c r="L699" s="78"/>
      <c r="M699" s="255"/>
      <c r="N699" s="255"/>
    </row>
    <row r="700" spans="1:14" s="55" customFormat="1" ht="11.1" customHeight="1" x14ac:dyDescent="0.2">
      <c r="B700" s="56" t="s">
        <v>804</v>
      </c>
      <c r="C700" s="55" t="s">
        <v>805</v>
      </c>
      <c r="E700" s="84"/>
      <c r="F700" s="84"/>
      <c r="G700" s="131">
        <v>2</v>
      </c>
      <c r="H700" s="132">
        <v>56</v>
      </c>
      <c r="I700" s="132">
        <v>150</v>
      </c>
      <c r="J700" s="135">
        <v>18.8</v>
      </c>
      <c r="K700" s="78"/>
      <c r="L700" s="78"/>
      <c r="M700" s="255"/>
      <c r="N700" s="255"/>
    </row>
    <row r="701" spans="1:14" s="55" customFormat="1" ht="4.05" customHeight="1" x14ac:dyDescent="0.15">
      <c r="A701" s="47"/>
      <c r="B701" s="45"/>
      <c r="C701" s="45"/>
      <c r="D701" s="47"/>
      <c r="E701" s="47"/>
      <c r="F701" s="47"/>
      <c r="G701" s="49"/>
      <c r="H701" s="50"/>
      <c r="I701" s="51"/>
      <c r="J701" s="306"/>
      <c r="K701" s="208"/>
      <c r="L701" s="269"/>
    </row>
    <row r="702" spans="1:14" s="55" customFormat="1" ht="4.05" customHeight="1" x14ac:dyDescent="0.15">
      <c r="G702" s="249"/>
      <c r="H702" s="250"/>
      <c r="K702" s="208"/>
      <c r="L702" s="269"/>
    </row>
    <row r="703" spans="1:14" ht="11.1" customHeight="1" x14ac:dyDescent="0.2">
      <c r="A703" s="157" t="s">
        <v>111</v>
      </c>
      <c r="B703" s="56"/>
      <c r="C703" s="56"/>
      <c r="D703" s="55"/>
      <c r="E703" s="137"/>
      <c r="F703" s="142"/>
      <c r="G703" s="241"/>
      <c r="H703" s="242"/>
      <c r="K703" s="208"/>
      <c r="L703" s="269"/>
    </row>
    <row r="704" spans="1:14" ht="11.1" customHeight="1" x14ac:dyDescent="0.2">
      <c r="A704" s="157" t="s">
        <v>182</v>
      </c>
      <c r="B704" s="56"/>
      <c r="C704" s="56"/>
      <c r="D704" s="55"/>
      <c r="E704" s="137"/>
      <c r="F704" s="142"/>
      <c r="G704" s="241"/>
      <c r="H704" s="242"/>
      <c r="K704" s="208"/>
      <c r="L704" s="269"/>
    </row>
    <row r="705" spans="1:12" ht="11.1" customHeight="1" x14ac:dyDescent="0.2">
      <c r="A705" s="157" t="s">
        <v>112</v>
      </c>
      <c r="B705" s="56"/>
      <c r="C705" s="56"/>
      <c r="D705" s="55"/>
      <c r="E705" s="137"/>
      <c r="F705" s="142"/>
      <c r="G705" s="241"/>
      <c r="H705" s="242"/>
      <c r="K705" s="208"/>
      <c r="L705" s="269"/>
    </row>
    <row r="706" spans="1:12" ht="11.1" customHeight="1" x14ac:dyDescent="0.15">
      <c r="K706" s="208"/>
      <c r="L706" s="269"/>
    </row>
    <row r="707" spans="1:12" ht="11.1" customHeight="1" x14ac:dyDescent="0.15">
      <c r="K707" s="208"/>
      <c r="L707" s="269"/>
    </row>
    <row r="708" spans="1:12" ht="11.1" customHeight="1" x14ac:dyDescent="0.15">
      <c r="K708" s="208"/>
      <c r="L708" s="269"/>
    </row>
    <row r="709" spans="1:12" ht="11.1" customHeight="1" x14ac:dyDescent="0.15">
      <c r="K709" s="208"/>
      <c r="L709" s="269"/>
    </row>
    <row r="710" spans="1:12" s="143" customFormat="1" ht="15.75" customHeight="1" x14ac:dyDescent="0.2">
      <c r="A710" s="159" t="s">
        <v>114</v>
      </c>
      <c r="G710" s="307"/>
      <c r="H710" s="308"/>
      <c r="K710" s="208"/>
      <c r="L710" s="269"/>
    </row>
    <row r="711" spans="1:12" s="31" customFormat="1" ht="20.25" customHeight="1" x14ac:dyDescent="0.3">
      <c r="A711" s="160" t="s">
        <v>183</v>
      </c>
      <c r="B711" s="161"/>
      <c r="D711" s="32"/>
      <c r="E711" s="32"/>
      <c r="F711" s="33"/>
      <c r="G711" s="34"/>
      <c r="H711" s="35"/>
      <c r="I711" s="36"/>
      <c r="J711" s="246"/>
      <c r="K711" s="208"/>
      <c r="L711" s="269"/>
    </row>
    <row r="712" spans="1:12" s="31" customFormat="1" ht="15.75" customHeight="1" x14ac:dyDescent="0.25">
      <c r="A712" s="41" t="s">
        <v>969</v>
      </c>
      <c r="B712" s="168"/>
      <c r="C712" s="43"/>
      <c r="D712" s="44"/>
      <c r="E712" s="32"/>
      <c r="F712" s="33"/>
      <c r="G712" s="34"/>
      <c r="H712" s="35"/>
      <c r="I712" s="36"/>
      <c r="J712" s="246"/>
      <c r="K712" s="208"/>
      <c r="L712" s="269"/>
    </row>
    <row r="713" spans="1:12" ht="4.05" customHeight="1" x14ac:dyDescent="0.15">
      <c r="A713" s="71"/>
      <c r="B713" s="71"/>
      <c r="C713" s="72"/>
      <c r="D713" s="73"/>
      <c r="E713" s="73"/>
      <c r="F713" s="73"/>
      <c r="G713" s="101"/>
      <c r="H713" s="102"/>
      <c r="I713" s="103"/>
      <c r="J713" s="77"/>
      <c r="K713" s="208"/>
      <c r="L713" s="269"/>
    </row>
    <row r="714" spans="1:12" s="55" customFormat="1" ht="4.05" customHeight="1" x14ac:dyDescent="0.15">
      <c r="A714" s="81"/>
      <c r="B714" s="81"/>
      <c r="D714" s="84"/>
      <c r="E714" s="84"/>
      <c r="F714" s="84"/>
      <c r="G714" s="249"/>
      <c r="H714" s="250"/>
      <c r="I714" s="251"/>
      <c r="J714" s="252"/>
      <c r="K714" s="208"/>
      <c r="L714" s="269"/>
    </row>
    <row r="715" spans="1:12" s="180" customFormat="1" ht="11.1" customHeight="1" x14ac:dyDescent="0.15">
      <c r="A715" s="172"/>
      <c r="B715" s="172"/>
      <c r="C715" s="173"/>
      <c r="D715" s="174"/>
      <c r="E715" s="174"/>
      <c r="F715" s="59"/>
      <c r="G715" s="60" t="s">
        <v>116</v>
      </c>
      <c r="H715" s="61" t="s">
        <v>25</v>
      </c>
      <c r="I715" s="62" t="s">
        <v>26</v>
      </c>
      <c r="J715" s="63" t="s">
        <v>117</v>
      </c>
      <c r="K715" s="208"/>
      <c r="L715" s="269"/>
    </row>
    <row r="716" spans="1:12" s="180" customFormat="1" ht="11.1" customHeight="1" x14ac:dyDescent="0.15">
      <c r="A716" s="172"/>
      <c r="B716" s="172"/>
      <c r="C716" s="181"/>
      <c r="D716" s="174"/>
      <c r="E716" s="174"/>
      <c r="F716" s="59"/>
      <c r="G716" s="67" t="s">
        <v>29</v>
      </c>
      <c r="H716" s="61" t="s">
        <v>27</v>
      </c>
      <c r="I716" s="62" t="s">
        <v>28</v>
      </c>
      <c r="J716" s="63" t="s">
        <v>118</v>
      </c>
      <c r="K716" s="208"/>
      <c r="L716" s="269"/>
    </row>
    <row r="717" spans="1:12" s="180" customFormat="1" ht="11.1" customHeight="1" x14ac:dyDescent="0.15">
      <c r="A717" s="172"/>
      <c r="B717" s="172"/>
      <c r="C717" s="181"/>
      <c r="D717" s="174"/>
      <c r="E717" s="174"/>
      <c r="F717" s="59"/>
      <c r="G717" s="60" t="s">
        <v>31</v>
      </c>
      <c r="H717" s="61" t="s">
        <v>29</v>
      </c>
      <c r="I717" s="62" t="s">
        <v>30</v>
      </c>
      <c r="J717" s="69" t="s">
        <v>119</v>
      </c>
      <c r="K717" s="208"/>
      <c r="L717" s="269"/>
    </row>
    <row r="718" spans="1:12" s="180" customFormat="1" ht="11.1" customHeight="1" x14ac:dyDescent="0.15">
      <c r="A718" s="172"/>
      <c r="B718" s="172"/>
      <c r="C718" s="181"/>
      <c r="D718" s="174"/>
      <c r="E718" s="174"/>
      <c r="F718" s="59"/>
      <c r="G718" s="67" t="s">
        <v>32</v>
      </c>
      <c r="H718" s="61" t="s">
        <v>33</v>
      </c>
      <c r="I718" s="62" t="s">
        <v>120</v>
      </c>
      <c r="J718" s="70" t="s">
        <v>121</v>
      </c>
      <c r="K718" s="208"/>
      <c r="L718" s="269"/>
    </row>
    <row r="719" spans="1:12" ht="4.05" customHeight="1" x14ac:dyDescent="0.15">
      <c r="A719" s="71"/>
      <c r="B719" s="71"/>
      <c r="C719" s="72"/>
      <c r="D719" s="73"/>
      <c r="E719" s="73"/>
      <c r="F719" s="73"/>
      <c r="G719" s="101"/>
      <c r="H719" s="102"/>
      <c r="I719" s="103"/>
      <c r="J719" s="73"/>
      <c r="K719" s="208"/>
      <c r="L719" s="269"/>
    </row>
    <row r="720" spans="1:12" ht="4.05" customHeight="1" x14ac:dyDescent="0.15">
      <c r="B720" s="81"/>
      <c r="C720" s="82"/>
      <c r="D720" s="83"/>
      <c r="E720" s="83"/>
      <c r="F720" s="84"/>
      <c r="G720" s="85"/>
      <c r="H720" s="86"/>
      <c r="I720" s="87"/>
      <c r="J720" s="83"/>
      <c r="K720" s="208"/>
      <c r="L720" s="269"/>
    </row>
    <row r="721" spans="1:14" s="93" customFormat="1" ht="11.1" customHeight="1" x14ac:dyDescent="0.15">
      <c r="A721" s="111" t="s">
        <v>123</v>
      </c>
      <c r="B721" s="112"/>
      <c r="C721" s="113"/>
      <c r="F721" s="114" t="s">
        <v>124</v>
      </c>
      <c r="G721" s="115"/>
      <c r="H721" s="116"/>
      <c r="I721" s="117"/>
      <c r="K721" s="208"/>
      <c r="L721" s="270"/>
    </row>
    <row r="722" spans="1:14" s="128" customFormat="1" ht="4.05" customHeight="1" x14ac:dyDescent="0.15">
      <c r="A722" s="186"/>
      <c r="B722" s="186"/>
      <c r="C722" s="187"/>
      <c r="D722" s="79"/>
      <c r="E722" s="79"/>
      <c r="G722" s="107"/>
      <c r="H722" s="108"/>
      <c r="I722" s="109"/>
      <c r="J722" s="110"/>
      <c r="K722" s="208"/>
      <c r="L722" s="269"/>
    </row>
    <row r="723" spans="1:14" s="143" customFormat="1" ht="12.75" customHeight="1" x14ac:dyDescent="0.2">
      <c r="A723" s="188">
        <v>12</v>
      </c>
      <c r="B723" s="188" t="s">
        <v>806</v>
      </c>
      <c r="C723" s="309"/>
      <c r="D723" s="309"/>
      <c r="E723" s="309"/>
      <c r="G723" s="307"/>
      <c r="H723" s="308"/>
      <c r="J723" s="252"/>
      <c r="K723" s="208"/>
      <c r="L723" s="269"/>
    </row>
    <row r="724" spans="1:14" s="143" customFormat="1" ht="6" customHeight="1" x14ac:dyDescent="0.2">
      <c r="A724" s="55"/>
      <c r="B724" s="56"/>
      <c r="C724" s="56"/>
      <c r="D724" s="55"/>
      <c r="E724" s="84"/>
      <c r="F724" s="84"/>
      <c r="G724" s="249"/>
      <c r="H724" s="250"/>
      <c r="I724" s="251"/>
      <c r="J724" s="252"/>
      <c r="K724" s="208"/>
      <c r="L724" s="269"/>
    </row>
    <row r="725" spans="1:14" ht="11.1" customHeight="1" x14ac:dyDescent="0.2">
      <c r="A725" s="302">
        <v>12.4</v>
      </c>
      <c r="B725" s="80" t="s">
        <v>807</v>
      </c>
      <c r="G725" s="131">
        <v>19.3</v>
      </c>
      <c r="H725" s="132">
        <v>536</v>
      </c>
      <c r="I725" s="132">
        <v>4910</v>
      </c>
      <c r="J725" s="135">
        <v>2</v>
      </c>
      <c r="K725" s="128"/>
      <c r="L725" s="128"/>
      <c r="M725" s="255"/>
      <c r="N725" s="255"/>
    </row>
    <row r="726" spans="1:14" s="55" customFormat="1" ht="11.1" customHeight="1" x14ac:dyDescent="0.2">
      <c r="B726" s="56" t="s">
        <v>808</v>
      </c>
      <c r="C726" s="56" t="s">
        <v>809</v>
      </c>
      <c r="E726" s="84"/>
      <c r="F726" s="84"/>
      <c r="G726" s="131">
        <v>4.9000000000000004</v>
      </c>
      <c r="H726" s="132">
        <v>137</v>
      </c>
      <c r="I726" s="132">
        <v>4220</v>
      </c>
      <c r="J726" s="135">
        <v>2.5</v>
      </c>
      <c r="K726" s="128"/>
      <c r="L726" s="128"/>
      <c r="M726" s="255"/>
      <c r="N726" s="255"/>
    </row>
    <row r="727" spans="1:14" s="55" customFormat="1" ht="11.1" customHeight="1" x14ac:dyDescent="0.2">
      <c r="B727" s="56"/>
      <c r="C727" s="56" t="s">
        <v>810</v>
      </c>
      <c r="D727" s="55" t="s">
        <v>811</v>
      </c>
      <c r="E727" s="84"/>
      <c r="F727" s="84"/>
      <c r="G727" s="131">
        <v>2.2999999999999998</v>
      </c>
      <c r="H727" s="132">
        <v>63</v>
      </c>
      <c r="I727" s="132">
        <v>3460</v>
      </c>
      <c r="J727" s="135">
        <v>2.2000000000000002</v>
      </c>
      <c r="K727" s="128"/>
      <c r="L727" s="128"/>
      <c r="M727" s="255"/>
      <c r="N727" s="255"/>
    </row>
    <row r="728" spans="1:14" s="55" customFormat="1" ht="11.1" customHeight="1" x14ac:dyDescent="0.2">
      <c r="B728" s="56"/>
      <c r="C728" s="56" t="s">
        <v>812</v>
      </c>
      <c r="D728" s="55" t="s">
        <v>813</v>
      </c>
      <c r="E728" s="84"/>
      <c r="F728" s="84"/>
      <c r="G728" s="131">
        <v>2.1</v>
      </c>
      <c r="H728" s="132">
        <v>59</v>
      </c>
      <c r="I728" s="132">
        <v>4030</v>
      </c>
      <c r="J728" s="135">
        <v>1.8</v>
      </c>
      <c r="K728" s="128"/>
      <c r="L728" s="128"/>
      <c r="M728" s="255"/>
      <c r="N728" s="255"/>
    </row>
    <row r="729" spans="1:14" s="55" customFormat="1" ht="11.1" customHeight="1" x14ac:dyDescent="0.2">
      <c r="B729" s="56"/>
      <c r="C729" s="56" t="s">
        <v>814</v>
      </c>
      <c r="D729" s="55" t="s">
        <v>815</v>
      </c>
      <c r="E729" s="84"/>
      <c r="F729" s="84"/>
      <c r="G729" s="131">
        <v>0.5</v>
      </c>
      <c r="H729" s="132">
        <v>15</v>
      </c>
      <c r="I729" s="132">
        <v>540</v>
      </c>
      <c r="J729" s="135">
        <v>15.9</v>
      </c>
      <c r="K729" s="128"/>
      <c r="L729" s="128"/>
      <c r="M729" s="255"/>
      <c r="N729" s="255"/>
    </row>
    <row r="730" spans="1:14" s="55" customFormat="1" ht="3" customHeight="1" x14ac:dyDescent="0.15">
      <c r="B730" s="56"/>
      <c r="C730" s="56"/>
      <c r="E730" s="84"/>
      <c r="F730" s="84"/>
      <c r="G730" s="107"/>
      <c r="H730" s="108"/>
      <c r="I730" s="109"/>
      <c r="J730" s="171"/>
      <c r="K730" s="128"/>
      <c r="L730" s="128"/>
      <c r="M730" s="255"/>
      <c r="N730" s="255"/>
    </row>
    <row r="731" spans="1:14" s="55" customFormat="1" ht="11.1" customHeight="1" x14ac:dyDescent="0.2">
      <c r="B731" s="56" t="s">
        <v>816</v>
      </c>
      <c r="C731" s="56" t="s">
        <v>817</v>
      </c>
      <c r="E731" s="84"/>
      <c r="F731" s="84"/>
      <c r="G731" s="131">
        <v>2.4</v>
      </c>
      <c r="H731" s="132">
        <v>66</v>
      </c>
      <c r="I731" s="132">
        <v>860</v>
      </c>
      <c r="J731" s="135">
        <v>6.9</v>
      </c>
      <c r="K731" s="128"/>
      <c r="L731" s="128"/>
      <c r="M731" s="255"/>
      <c r="N731" s="255"/>
    </row>
    <row r="732" spans="1:14" s="55" customFormat="1" ht="3" customHeight="1" x14ac:dyDescent="0.15">
      <c r="B732" s="56"/>
      <c r="C732" s="56"/>
      <c r="E732" s="84"/>
      <c r="F732" s="84"/>
      <c r="G732" s="107"/>
      <c r="H732" s="108"/>
      <c r="I732" s="109"/>
      <c r="J732" s="171"/>
      <c r="K732" s="128"/>
      <c r="L732" s="128"/>
      <c r="M732" s="255"/>
      <c r="N732" s="255"/>
    </row>
    <row r="733" spans="1:14" s="55" customFormat="1" ht="11.1" customHeight="1" x14ac:dyDescent="0.2">
      <c r="B733" s="56" t="s">
        <v>818</v>
      </c>
      <c r="C733" s="56" t="s">
        <v>819</v>
      </c>
      <c r="E733" s="84"/>
      <c r="F733" s="84"/>
      <c r="G733" s="131">
        <v>11.1</v>
      </c>
      <c r="H733" s="132">
        <v>309</v>
      </c>
      <c r="I733" s="132">
        <v>4280</v>
      </c>
      <c r="J733" s="135">
        <v>2.5</v>
      </c>
      <c r="K733" s="128"/>
      <c r="L733" s="128"/>
      <c r="M733" s="255"/>
      <c r="N733" s="255"/>
    </row>
    <row r="734" spans="1:14" s="55" customFormat="1" ht="11.1" customHeight="1" x14ac:dyDescent="0.2">
      <c r="B734" s="56"/>
      <c r="C734" s="56" t="s">
        <v>820</v>
      </c>
      <c r="D734" s="55" t="s">
        <v>821</v>
      </c>
      <c r="E734" s="84"/>
      <c r="F734" s="84"/>
      <c r="G734" s="131">
        <v>11</v>
      </c>
      <c r="H734" s="132">
        <v>305</v>
      </c>
      <c r="I734" s="132">
        <v>4280</v>
      </c>
      <c r="J734" s="135">
        <v>2.4</v>
      </c>
      <c r="K734" s="128"/>
      <c r="L734" s="128"/>
      <c r="M734" s="255"/>
      <c r="N734" s="255"/>
    </row>
    <row r="735" spans="1:14" s="55" customFormat="1" ht="11.1" customHeight="1" x14ac:dyDescent="0.2">
      <c r="B735" s="56"/>
      <c r="C735" s="56" t="s">
        <v>822</v>
      </c>
      <c r="D735" s="55" t="s">
        <v>823</v>
      </c>
      <c r="E735" s="84"/>
      <c r="F735" s="84"/>
      <c r="G735" s="138" t="s">
        <v>230</v>
      </c>
      <c r="H735" s="139" t="s">
        <v>230</v>
      </c>
      <c r="I735" s="139" t="s">
        <v>230</v>
      </c>
      <c r="J735" s="135" t="s">
        <v>230</v>
      </c>
      <c r="K735" s="128"/>
      <c r="L735" s="128"/>
      <c r="M735" s="255"/>
      <c r="N735" s="255"/>
    </row>
    <row r="736" spans="1:14" s="55" customFormat="1" ht="3" customHeight="1" x14ac:dyDescent="0.15">
      <c r="A736" s="56"/>
      <c r="B736" s="56"/>
      <c r="D736" s="84"/>
      <c r="E736" s="84"/>
      <c r="F736" s="84"/>
      <c r="G736" s="107"/>
      <c r="H736" s="108"/>
      <c r="I736" s="109"/>
      <c r="J736" s="171"/>
      <c r="K736" s="128"/>
      <c r="L736" s="128"/>
      <c r="M736" s="255"/>
      <c r="N736" s="255"/>
    </row>
    <row r="737" spans="1:14" s="55" customFormat="1" ht="11.1" customHeight="1" x14ac:dyDescent="0.2">
      <c r="B737" s="56" t="s">
        <v>824</v>
      </c>
      <c r="C737" s="56" t="s">
        <v>825</v>
      </c>
      <c r="E737" s="84"/>
      <c r="F737" s="84"/>
      <c r="G737" s="131">
        <v>0.9</v>
      </c>
      <c r="H737" s="132">
        <v>25</v>
      </c>
      <c r="I737" s="132">
        <v>1480</v>
      </c>
      <c r="J737" s="135">
        <v>6.8</v>
      </c>
      <c r="K737" s="128"/>
      <c r="L737" s="128"/>
      <c r="M737" s="255"/>
      <c r="N737" s="255"/>
    </row>
    <row r="738" spans="1:14" s="55" customFormat="1" ht="3" customHeight="1" x14ac:dyDescent="0.15">
      <c r="B738" s="56"/>
      <c r="E738" s="84"/>
      <c r="F738" s="84"/>
      <c r="G738" s="107"/>
      <c r="H738" s="108"/>
      <c r="I738" s="79"/>
      <c r="J738" s="231"/>
      <c r="K738" s="128"/>
      <c r="L738" s="128"/>
      <c r="M738" s="255"/>
      <c r="N738" s="255"/>
    </row>
    <row r="739" spans="1:14" s="55" customFormat="1" ht="11.1" customHeight="1" x14ac:dyDescent="0.2">
      <c r="A739" s="302">
        <v>12.5</v>
      </c>
      <c r="B739" s="80" t="s">
        <v>432</v>
      </c>
      <c r="E739" s="84"/>
      <c r="F739" s="84"/>
      <c r="G739" s="131">
        <v>5</v>
      </c>
      <c r="H739" s="132">
        <v>140</v>
      </c>
      <c r="I739" s="132">
        <v>1870</v>
      </c>
      <c r="J739" s="135">
        <v>9.6999999999999993</v>
      </c>
      <c r="K739" s="128"/>
      <c r="L739" s="128"/>
      <c r="M739" s="255"/>
      <c r="N739" s="255"/>
    </row>
    <row r="740" spans="1:14" ht="11.1" customHeight="1" x14ac:dyDescent="0.2">
      <c r="B740" s="56" t="s">
        <v>826</v>
      </c>
      <c r="C740" s="56" t="s">
        <v>827</v>
      </c>
      <c r="G740" s="131">
        <v>2.4</v>
      </c>
      <c r="H740" s="132">
        <v>67</v>
      </c>
      <c r="I740" s="132">
        <v>340</v>
      </c>
      <c r="J740" s="135">
        <v>9.9</v>
      </c>
      <c r="K740" s="128"/>
      <c r="L740" s="128"/>
      <c r="M740" s="255"/>
      <c r="N740" s="255"/>
    </row>
    <row r="741" spans="1:14" ht="11.1" customHeight="1" x14ac:dyDescent="0.2">
      <c r="A741" s="79"/>
      <c r="B741" s="79"/>
      <c r="C741" s="56" t="s">
        <v>828</v>
      </c>
      <c r="D741" s="55" t="s">
        <v>829</v>
      </c>
      <c r="G741" s="131">
        <v>0.4</v>
      </c>
      <c r="H741" s="132">
        <v>11</v>
      </c>
      <c r="I741" s="132">
        <v>150</v>
      </c>
      <c r="J741" s="135">
        <v>15.9</v>
      </c>
      <c r="K741" s="128"/>
      <c r="L741" s="128"/>
      <c r="M741" s="255"/>
      <c r="N741" s="255"/>
    </row>
    <row r="742" spans="1:14" s="55" customFormat="1" ht="11.1" customHeight="1" x14ac:dyDescent="0.2">
      <c r="C742" s="56" t="s">
        <v>830</v>
      </c>
      <c r="D742" s="55" t="s">
        <v>831</v>
      </c>
      <c r="E742" s="84"/>
      <c r="F742" s="84"/>
      <c r="G742" s="131">
        <v>0.9</v>
      </c>
      <c r="H742" s="132">
        <v>26</v>
      </c>
      <c r="I742" s="132">
        <v>90</v>
      </c>
      <c r="J742" s="135">
        <v>13.3</v>
      </c>
      <c r="K742" s="128"/>
      <c r="L742" s="128"/>
      <c r="M742" s="255"/>
      <c r="N742" s="255"/>
    </row>
    <row r="743" spans="1:14" s="55" customFormat="1" ht="11.1" customHeight="1" x14ac:dyDescent="0.2">
      <c r="B743" s="56"/>
      <c r="C743" s="56" t="s">
        <v>832</v>
      </c>
      <c r="D743" s="55" t="s">
        <v>833</v>
      </c>
      <c r="E743" s="84"/>
      <c r="F743" s="84"/>
      <c r="G743" s="131">
        <v>0.4</v>
      </c>
      <c r="H743" s="132">
        <v>11</v>
      </c>
      <c r="I743" s="132">
        <v>40</v>
      </c>
      <c r="J743" s="135">
        <v>23.5</v>
      </c>
      <c r="K743" s="128"/>
      <c r="L743" s="128"/>
      <c r="M743" s="255"/>
      <c r="N743" s="255"/>
    </row>
    <row r="744" spans="1:14" s="55" customFormat="1" ht="11.1" customHeight="1" x14ac:dyDescent="0.2">
      <c r="B744" s="56"/>
      <c r="C744" s="56" t="s">
        <v>834</v>
      </c>
      <c r="D744" s="55" t="s">
        <v>835</v>
      </c>
      <c r="E744" s="84"/>
      <c r="F744" s="84"/>
      <c r="G744" s="131">
        <v>0.4</v>
      </c>
      <c r="H744" s="132">
        <v>12</v>
      </c>
      <c r="I744" s="132">
        <v>60</v>
      </c>
      <c r="J744" s="135">
        <v>22.9</v>
      </c>
      <c r="K744" s="128"/>
      <c r="L744" s="128"/>
      <c r="M744" s="255"/>
      <c r="N744" s="255"/>
    </row>
    <row r="745" spans="1:14" s="55" customFormat="1" ht="11.1" customHeight="1" x14ac:dyDescent="0.2">
      <c r="B745" s="56"/>
      <c r="C745" s="56" t="s">
        <v>836</v>
      </c>
      <c r="D745" s="55" t="s">
        <v>837</v>
      </c>
      <c r="E745" s="84"/>
      <c r="F745" s="84"/>
      <c r="G745" s="131">
        <v>0.2</v>
      </c>
      <c r="H745" s="132">
        <v>7</v>
      </c>
      <c r="I745" s="132">
        <v>100</v>
      </c>
      <c r="J745" s="135">
        <v>16.8</v>
      </c>
      <c r="K745" s="128"/>
      <c r="L745" s="128"/>
      <c r="M745" s="255"/>
      <c r="N745" s="255"/>
    </row>
    <row r="746" spans="1:14" s="55" customFormat="1" ht="3" customHeight="1" x14ac:dyDescent="0.15">
      <c r="B746" s="56"/>
      <c r="E746" s="84"/>
      <c r="F746" s="84"/>
      <c r="G746" s="107"/>
      <c r="H746" s="108"/>
      <c r="I746" s="79"/>
      <c r="J746" s="231"/>
      <c r="K746" s="128"/>
      <c r="L746" s="128"/>
      <c r="M746" s="255"/>
      <c r="N746" s="255"/>
    </row>
    <row r="747" spans="1:14" s="55" customFormat="1" ht="11.1" customHeight="1" x14ac:dyDescent="0.2">
      <c r="B747" s="56" t="s">
        <v>838</v>
      </c>
      <c r="C747" s="56" t="s">
        <v>839</v>
      </c>
      <c r="E747" s="84"/>
      <c r="F747" s="84"/>
      <c r="G747" s="131">
        <v>0.5</v>
      </c>
      <c r="H747" s="132">
        <v>15</v>
      </c>
      <c r="I747" s="132">
        <v>1240</v>
      </c>
      <c r="J747" s="135">
        <v>4.0999999999999996</v>
      </c>
      <c r="K747" s="128"/>
      <c r="L747" s="128"/>
      <c r="M747" s="255"/>
      <c r="N747" s="255"/>
    </row>
    <row r="748" spans="1:14" s="55" customFormat="1" ht="11.1" customHeight="1" x14ac:dyDescent="0.2">
      <c r="B748" s="56"/>
      <c r="C748" s="55" t="s">
        <v>840</v>
      </c>
      <c r="D748" s="55" t="s">
        <v>841</v>
      </c>
      <c r="E748" s="84"/>
      <c r="F748" s="84"/>
      <c r="G748" s="131">
        <v>0.4</v>
      </c>
      <c r="H748" s="132">
        <v>12</v>
      </c>
      <c r="I748" s="132">
        <v>1120</v>
      </c>
      <c r="J748" s="135">
        <v>4.0999999999999996</v>
      </c>
      <c r="K748" s="128"/>
      <c r="L748" s="128"/>
      <c r="M748" s="255"/>
      <c r="N748" s="255"/>
    </row>
    <row r="749" spans="1:14" s="55" customFormat="1" ht="11.1" customHeight="1" x14ac:dyDescent="0.2">
      <c r="B749" s="56"/>
      <c r="C749" s="55" t="s">
        <v>842</v>
      </c>
      <c r="D749" s="55" t="s">
        <v>843</v>
      </c>
      <c r="E749" s="84"/>
      <c r="F749" s="84"/>
      <c r="G749" s="138" t="s">
        <v>230</v>
      </c>
      <c r="H749" s="139" t="s">
        <v>230</v>
      </c>
      <c r="I749" s="139" t="s">
        <v>230</v>
      </c>
      <c r="J749" s="135" t="s">
        <v>230</v>
      </c>
      <c r="K749" s="128"/>
      <c r="L749" s="128"/>
      <c r="M749" s="255"/>
      <c r="N749" s="255"/>
    </row>
    <row r="750" spans="1:14" s="55" customFormat="1" ht="11.1" customHeight="1" x14ac:dyDescent="0.2">
      <c r="B750" s="56"/>
      <c r="C750" s="55" t="s">
        <v>844</v>
      </c>
      <c r="D750" s="55" t="s">
        <v>845</v>
      </c>
      <c r="E750" s="84"/>
      <c r="F750" s="84"/>
      <c r="G750" s="131">
        <v>0.1</v>
      </c>
      <c r="H750" s="132">
        <v>2</v>
      </c>
      <c r="I750" s="132">
        <v>220</v>
      </c>
      <c r="J750" s="135">
        <v>12.9</v>
      </c>
      <c r="K750" s="128"/>
      <c r="L750" s="128"/>
      <c r="M750" s="255"/>
      <c r="N750" s="255"/>
    </row>
    <row r="751" spans="1:14" s="55" customFormat="1" ht="11.1" customHeight="1" x14ac:dyDescent="0.2">
      <c r="B751" s="56"/>
      <c r="C751" s="55" t="s">
        <v>846</v>
      </c>
      <c r="D751" s="55" t="s">
        <v>847</v>
      </c>
      <c r="E751" s="84"/>
      <c r="F751" s="84"/>
      <c r="G751" s="138" t="s">
        <v>230</v>
      </c>
      <c r="H751" s="139" t="s">
        <v>230</v>
      </c>
      <c r="I751" s="139" t="s">
        <v>230</v>
      </c>
      <c r="J751" s="135" t="s">
        <v>230</v>
      </c>
      <c r="K751" s="128"/>
      <c r="L751" s="128"/>
      <c r="M751" s="255"/>
      <c r="N751" s="255"/>
    </row>
    <row r="752" spans="1:14" s="55" customFormat="1" ht="3" customHeight="1" x14ac:dyDescent="0.15">
      <c r="B752" s="56"/>
      <c r="C752" s="56"/>
      <c r="E752" s="84"/>
      <c r="F752" s="84"/>
      <c r="G752" s="107"/>
      <c r="H752" s="108"/>
      <c r="I752" s="118"/>
      <c r="J752" s="171"/>
      <c r="K752" s="128"/>
      <c r="L752" s="128"/>
      <c r="M752" s="255"/>
      <c r="N752" s="255"/>
    </row>
    <row r="753" spans="1:14" s="55" customFormat="1" ht="11.1" customHeight="1" x14ac:dyDescent="0.2">
      <c r="B753" s="56" t="s">
        <v>848</v>
      </c>
      <c r="C753" s="56" t="s">
        <v>849</v>
      </c>
      <c r="F753" s="84"/>
      <c r="G753" s="131">
        <v>2.1</v>
      </c>
      <c r="H753" s="132">
        <v>58</v>
      </c>
      <c r="I753" s="132">
        <v>630</v>
      </c>
      <c r="J753" s="135">
        <v>21.8</v>
      </c>
      <c r="K753" s="128"/>
      <c r="L753" s="128"/>
      <c r="M753" s="255"/>
      <c r="N753" s="255"/>
    </row>
    <row r="754" spans="1:14" s="55" customFormat="1" ht="11.1" customHeight="1" x14ac:dyDescent="0.2">
      <c r="B754" s="56"/>
      <c r="C754" s="56" t="s">
        <v>850</v>
      </c>
      <c r="D754" s="55" t="s">
        <v>851</v>
      </c>
      <c r="E754" s="84"/>
      <c r="F754" s="84"/>
      <c r="G754" s="131">
        <v>0.4</v>
      </c>
      <c r="H754" s="132">
        <v>10</v>
      </c>
      <c r="I754" s="132">
        <v>30</v>
      </c>
      <c r="J754" s="135">
        <v>36.700000000000003</v>
      </c>
      <c r="K754" s="128"/>
      <c r="L754" s="128"/>
      <c r="M754" s="255"/>
      <c r="N754" s="255"/>
    </row>
    <row r="755" spans="1:14" s="55" customFormat="1" ht="11.1" customHeight="1" x14ac:dyDescent="0.2">
      <c r="B755" s="56"/>
      <c r="C755" s="56" t="s">
        <v>852</v>
      </c>
      <c r="D755" s="55" t="s">
        <v>853</v>
      </c>
      <c r="E755" s="84"/>
      <c r="F755" s="84"/>
      <c r="G755" s="131">
        <v>0.4</v>
      </c>
      <c r="H755" s="132">
        <v>12</v>
      </c>
      <c r="I755" s="132">
        <v>30</v>
      </c>
      <c r="J755" s="135">
        <v>43.2</v>
      </c>
      <c r="K755" s="128"/>
      <c r="L755" s="128"/>
      <c r="M755" s="255"/>
      <c r="N755" s="255"/>
    </row>
    <row r="756" spans="1:14" s="55" customFormat="1" ht="11.1" customHeight="1" x14ac:dyDescent="0.2">
      <c r="C756" s="56" t="s">
        <v>854</v>
      </c>
      <c r="D756" s="55" t="s">
        <v>855</v>
      </c>
      <c r="E756" s="84"/>
      <c r="F756" s="84"/>
      <c r="G756" s="256">
        <v>0.6</v>
      </c>
      <c r="H756" s="203">
        <v>16</v>
      </c>
      <c r="I756" s="132">
        <v>20</v>
      </c>
      <c r="J756" s="135">
        <v>66.099999999999994</v>
      </c>
      <c r="K756" s="128"/>
      <c r="L756" s="128"/>
      <c r="M756" s="255"/>
      <c r="N756" s="255"/>
    </row>
    <row r="757" spans="1:14" s="55" customFormat="1" ht="11.1" customHeight="1" x14ac:dyDescent="0.2">
      <c r="B757" s="56"/>
      <c r="C757" s="56" t="s">
        <v>856</v>
      </c>
      <c r="D757" s="55" t="s">
        <v>857</v>
      </c>
      <c r="E757" s="84"/>
      <c r="F757" s="84"/>
      <c r="G757" s="131">
        <v>0.6</v>
      </c>
      <c r="H757" s="132">
        <v>17</v>
      </c>
      <c r="I757" s="132">
        <v>510</v>
      </c>
      <c r="J757" s="135">
        <v>13.2</v>
      </c>
      <c r="K757" s="128"/>
      <c r="L757" s="128"/>
      <c r="M757" s="255"/>
      <c r="N757" s="255"/>
    </row>
    <row r="758" spans="1:14" s="55" customFormat="1" ht="11.1" customHeight="1" x14ac:dyDescent="0.2">
      <c r="B758" s="56"/>
      <c r="C758" s="56" t="s">
        <v>858</v>
      </c>
      <c r="D758" s="55" t="s">
        <v>859</v>
      </c>
      <c r="E758" s="84"/>
      <c r="F758" s="84"/>
      <c r="G758" s="131">
        <v>0.1</v>
      </c>
      <c r="H758" s="132">
        <v>3</v>
      </c>
      <c r="I758" s="132">
        <v>80</v>
      </c>
      <c r="J758" s="135">
        <v>37.200000000000003</v>
      </c>
      <c r="K758" s="128"/>
      <c r="L758" s="128"/>
      <c r="M758" s="255"/>
      <c r="N758" s="255"/>
    </row>
    <row r="759" spans="1:14" s="55" customFormat="1" ht="4.05" customHeight="1" x14ac:dyDescent="0.15">
      <c r="A759" s="47"/>
      <c r="B759" s="45"/>
      <c r="C759" s="45"/>
      <c r="D759" s="47"/>
      <c r="E759" s="48"/>
      <c r="F759" s="48"/>
      <c r="G759" s="101"/>
      <c r="H759" s="108"/>
      <c r="I759" s="103"/>
      <c r="J759" s="77"/>
      <c r="K759" s="128"/>
      <c r="L759" s="128"/>
      <c r="M759" s="255"/>
      <c r="N759" s="255"/>
    </row>
    <row r="760" spans="1:14" ht="4.05" customHeight="1" x14ac:dyDescent="0.15">
      <c r="H760" s="310"/>
      <c r="K760" s="128"/>
      <c r="L760" s="128"/>
      <c r="M760" s="255"/>
      <c r="N760" s="255"/>
    </row>
    <row r="761" spans="1:14" s="121" customFormat="1" ht="11.1" customHeight="1" x14ac:dyDescent="0.2">
      <c r="A761" s="119" t="s">
        <v>860</v>
      </c>
      <c r="B761" s="188" t="s">
        <v>19</v>
      </c>
      <c r="D761" s="259"/>
      <c r="E761" s="259"/>
      <c r="F761" s="259"/>
      <c r="G761" s="123">
        <v>508.5</v>
      </c>
      <c r="H761" s="124">
        <v>14146</v>
      </c>
      <c r="I761" s="124">
        <v>5440</v>
      </c>
      <c r="J761" s="125">
        <v>1.1000000000000001</v>
      </c>
      <c r="K761" s="128"/>
      <c r="L761" s="128"/>
      <c r="M761" s="255"/>
      <c r="N761" s="255"/>
    </row>
    <row r="762" spans="1:14" ht="4.05" customHeight="1" x14ac:dyDescent="0.15">
      <c r="A762" s="71"/>
      <c r="B762" s="71"/>
      <c r="C762" s="72"/>
      <c r="D762" s="73"/>
      <c r="E762" s="73"/>
      <c r="F762" s="73"/>
      <c r="G762" s="101"/>
      <c r="H762" s="311"/>
      <c r="I762" s="103"/>
      <c r="J762" s="77"/>
      <c r="K762" s="128"/>
      <c r="L762" s="128"/>
      <c r="M762" s="255"/>
      <c r="N762" s="255"/>
    </row>
    <row r="763" spans="1:14" ht="4.05" customHeight="1" x14ac:dyDescent="0.15">
      <c r="H763" s="312"/>
      <c r="K763" s="128"/>
      <c r="L763" s="128"/>
      <c r="M763" s="255"/>
      <c r="N763" s="255"/>
    </row>
    <row r="764" spans="1:14" s="128" customFormat="1" ht="11.1" customHeight="1" x14ac:dyDescent="0.2">
      <c r="A764" s="188">
        <v>13</v>
      </c>
      <c r="B764" s="188" t="s">
        <v>20</v>
      </c>
      <c r="C764" s="121"/>
      <c r="D764" s="259"/>
      <c r="E764" s="259"/>
      <c r="F764" s="259"/>
      <c r="G764" s="123">
        <v>79.3</v>
      </c>
      <c r="H764" s="124">
        <v>2206</v>
      </c>
      <c r="I764" s="124">
        <v>5250</v>
      </c>
      <c r="J764" s="125">
        <v>2.2000000000000002</v>
      </c>
      <c r="M764" s="255"/>
      <c r="N764" s="255"/>
    </row>
    <row r="765" spans="1:14" ht="6" customHeight="1" x14ac:dyDescent="0.15">
      <c r="G765" s="313"/>
      <c r="H765" s="314"/>
      <c r="I765" s="315"/>
      <c r="K765" s="128"/>
      <c r="L765" s="128"/>
      <c r="M765" s="255"/>
      <c r="N765" s="255"/>
    </row>
    <row r="766" spans="1:14" ht="11.1" customHeight="1" x14ac:dyDescent="0.2">
      <c r="A766" s="302">
        <v>13.1</v>
      </c>
      <c r="B766" s="80" t="s">
        <v>861</v>
      </c>
      <c r="G766" s="131">
        <v>50.4</v>
      </c>
      <c r="H766" s="132">
        <v>1403</v>
      </c>
      <c r="I766" s="132">
        <v>5000</v>
      </c>
      <c r="J766" s="135">
        <v>1.6</v>
      </c>
      <c r="K766" s="128"/>
      <c r="L766" s="128"/>
      <c r="M766" s="255"/>
      <c r="N766" s="255"/>
    </row>
    <row r="767" spans="1:14" s="55" customFormat="1" ht="11.1" customHeight="1" x14ac:dyDescent="0.2">
      <c r="A767" s="272"/>
      <c r="B767" s="56" t="s">
        <v>862</v>
      </c>
      <c r="C767" s="55" t="s">
        <v>863</v>
      </c>
      <c r="D767" s="84"/>
      <c r="E767" s="84"/>
      <c r="F767" s="84"/>
      <c r="G767" s="131">
        <v>22.3</v>
      </c>
      <c r="H767" s="132">
        <v>619</v>
      </c>
      <c r="I767" s="132">
        <v>1620</v>
      </c>
      <c r="J767" s="135">
        <v>2.8</v>
      </c>
      <c r="K767" s="128"/>
      <c r="L767" s="128"/>
      <c r="M767" s="255"/>
      <c r="N767" s="255"/>
    </row>
    <row r="768" spans="1:14" s="55" customFormat="1" ht="11.1" customHeight="1" x14ac:dyDescent="0.2">
      <c r="A768" s="272"/>
      <c r="B768" s="56" t="s">
        <v>864</v>
      </c>
      <c r="C768" s="55" t="s">
        <v>865</v>
      </c>
      <c r="D768" s="84"/>
      <c r="E768" s="84"/>
      <c r="F768" s="84"/>
      <c r="G768" s="131">
        <v>1</v>
      </c>
      <c r="H768" s="132">
        <v>29</v>
      </c>
      <c r="I768" s="132">
        <v>580</v>
      </c>
      <c r="J768" s="135">
        <v>5.6</v>
      </c>
      <c r="K768" s="128"/>
      <c r="L768" s="128"/>
      <c r="M768" s="255"/>
      <c r="N768" s="255"/>
    </row>
    <row r="769" spans="1:14" s="55" customFormat="1" ht="11.1" customHeight="1" x14ac:dyDescent="0.2">
      <c r="A769" s="272"/>
      <c r="B769" s="56" t="s">
        <v>866</v>
      </c>
      <c r="C769" s="55" t="s">
        <v>867</v>
      </c>
      <c r="D769" s="84"/>
      <c r="E769" s="84"/>
      <c r="F769" s="84"/>
      <c r="G769" s="131">
        <v>26</v>
      </c>
      <c r="H769" s="132">
        <v>724</v>
      </c>
      <c r="I769" s="132">
        <v>4990</v>
      </c>
      <c r="J769" s="135">
        <v>0.9</v>
      </c>
      <c r="K769" s="128"/>
      <c r="L769" s="128"/>
      <c r="M769" s="255"/>
      <c r="N769" s="255"/>
    </row>
    <row r="770" spans="1:14" s="55" customFormat="1" ht="11.1" customHeight="1" x14ac:dyDescent="0.2">
      <c r="A770" s="272"/>
      <c r="B770" s="56" t="s">
        <v>868</v>
      </c>
      <c r="C770" s="55" t="s">
        <v>869</v>
      </c>
      <c r="D770" s="84"/>
      <c r="E770" s="84"/>
      <c r="F770" s="84"/>
      <c r="G770" s="131">
        <v>1.1000000000000001</v>
      </c>
      <c r="H770" s="132">
        <v>30</v>
      </c>
      <c r="I770" s="132">
        <v>50</v>
      </c>
      <c r="J770" s="135">
        <v>20</v>
      </c>
      <c r="K770" s="128"/>
      <c r="L770" s="128"/>
      <c r="M770" s="255"/>
      <c r="N770" s="255"/>
    </row>
    <row r="771" spans="1:14" ht="3" customHeight="1" x14ac:dyDescent="0.15">
      <c r="A771" s="302"/>
      <c r="K771" s="128"/>
      <c r="L771" s="128"/>
      <c r="M771" s="255"/>
      <c r="N771" s="255"/>
    </row>
    <row r="772" spans="1:14" ht="11.1" customHeight="1" x14ac:dyDescent="0.2">
      <c r="A772" s="302">
        <v>13.2</v>
      </c>
      <c r="B772" s="80" t="s">
        <v>870</v>
      </c>
      <c r="G772" s="131">
        <v>3.8</v>
      </c>
      <c r="H772" s="132">
        <v>105</v>
      </c>
      <c r="I772" s="132">
        <v>4030</v>
      </c>
      <c r="J772" s="135">
        <v>4.8</v>
      </c>
      <c r="K772" s="128"/>
      <c r="L772" s="128"/>
      <c r="M772" s="255"/>
      <c r="N772" s="255"/>
    </row>
    <row r="773" spans="1:14" s="55" customFormat="1" ht="11.1" customHeight="1" x14ac:dyDescent="0.2">
      <c r="A773" s="272"/>
      <c r="B773" s="56" t="s">
        <v>871</v>
      </c>
      <c r="C773" s="55" t="s">
        <v>872</v>
      </c>
      <c r="D773" s="84"/>
      <c r="E773" s="84"/>
      <c r="F773" s="84"/>
      <c r="G773" s="131">
        <v>0.5</v>
      </c>
      <c r="H773" s="132">
        <v>13</v>
      </c>
      <c r="I773" s="132">
        <v>70</v>
      </c>
      <c r="J773" s="135">
        <v>36.4</v>
      </c>
      <c r="K773" s="128"/>
      <c r="L773" s="128"/>
      <c r="M773" s="255"/>
      <c r="N773" s="255"/>
    </row>
    <row r="774" spans="1:14" s="55" customFormat="1" ht="11.1" customHeight="1" x14ac:dyDescent="0.2">
      <c r="A774" s="272"/>
      <c r="B774" s="56" t="s">
        <v>873</v>
      </c>
      <c r="C774" s="55" t="s">
        <v>874</v>
      </c>
      <c r="D774" s="84"/>
      <c r="E774" s="84"/>
      <c r="F774" s="84"/>
      <c r="G774" s="256">
        <v>0.1</v>
      </c>
      <c r="H774" s="203">
        <v>3</v>
      </c>
      <c r="I774" s="132">
        <v>20</v>
      </c>
      <c r="J774" s="135">
        <v>25.1</v>
      </c>
      <c r="K774" s="128"/>
      <c r="L774" s="128"/>
      <c r="M774" s="255"/>
      <c r="N774" s="255"/>
    </row>
    <row r="775" spans="1:14" s="55" customFormat="1" ht="11.1" customHeight="1" x14ac:dyDescent="0.2">
      <c r="A775" s="272"/>
      <c r="B775" s="56" t="s">
        <v>875</v>
      </c>
      <c r="C775" s="55" t="s">
        <v>876</v>
      </c>
      <c r="D775" s="84"/>
      <c r="E775" s="84"/>
      <c r="F775" s="84"/>
      <c r="G775" s="131">
        <v>3.2</v>
      </c>
      <c r="H775" s="132">
        <v>89</v>
      </c>
      <c r="I775" s="132">
        <v>4020</v>
      </c>
      <c r="J775" s="135">
        <v>1.6</v>
      </c>
      <c r="K775" s="128"/>
      <c r="L775" s="128"/>
      <c r="M775" s="255"/>
      <c r="N775" s="255"/>
    </row>
    <row r="776" spans="1:14" ht="3" customHeight="1" x14ac:dyDescent="0.15">
      <c r="A776" s="302"/>
      <c r="K776" s="128"/>
      <c r="L776" s="128"/>
      <c r="M776" s="255"/>
      <c r="N776" s="255"/>
    </row>
    <row r="777" spans="1:14" ht="11.1" customHeight="1" x14ac:dyDescent="0.2">
      <c r="A777" s="302">
        <v>13.3</v>
      </c>
      <c r="B777" s="80" t="s">
        <v>877</v>
      </c>
      <c r="G777" s="131">
        <v>12.1</v>
      </c>
      <c r="H777" s="132">
        <v>337</v>
      </c>
      <c r="I777" s="132">
        <v>280</v>
      </c>
      <c r="J777" s="135">
        <v>10.3</v>
      </c>
      <c r="K777" s="128"/>
      <c r="L777" s="128"/>
      <c r="M777" s="255"/>
      <c r="N777" s="255"/>
    </row>
    <row r="778" spans="1:14" s="55" customFormat="1" ht="11.1" customHeight="1" x14ac:dyDescent="0.2">
      <c r="A778" s="272"/>
      <c r="B778" s="56" t="s">
        <v>878</v>
      </c>
      <c r="C778" s="55" t="s">
        <v>879</v>
      </c>
      <c r="D778" s="84"/>
      <c r="E778" s="84"/>
      <c r="F778" s="84"/>
      <c r="G778" s="131">
        <v>12.1</v>
      </c>
      <c r="H778" s="132">
        <v>337</v>
      </c>
      <c r="I778" s="132">
        <v>280</v>
      </c>
      <c r="J778" s="135">
        <v>10.3</v>
      </c>
      <c r="K778" s="128"/>
      <c r="L778" s="128"/>
      <c r="M778" s="255"/>
      <c r="N778" s="255"/>
    </row>
    <row r="779" spans="1:14" s="55" customFormat="1" ht="11.1" customHeight="1" x14ac:dyDescent="0.2">
      <c r="A779" s="272"/>
      <c r="B779" s="56" t="s">
        <v>880</v>
      </c>
      <c r="C779" s="55" t="s">
        <v>881</v>
      </c>
      <c r="D779" s="84"/>
      <c r="E779" s="84"/>
      <c r="F779" s="84"/>
      <c r="G779" s="138" t="s">
        <v>367</v>
      </c>
      <c r="H779" s="139" t="s">
        <v>367</v>
      </c>
      <c r="I779" s="139" t="s">
        <v>367</v>
      </c>
      <c r="J779" s="135" t="s">
        <v>230</v>
      </c>
      <c r="K779" s="128"/>
      <c r="L779" s="128"/>
      <c r="M779" s="255"/>
      <c r="N779" s="255"/>
    </row>
    <row r="780" spans="1:14" ht="4.05" customHeight="1" x14ac:dyDescent="0.15">
      <c r="A780" s="316"/>
      <c r="B780" s="71"/>
      <c r="C780" s="72"/>
      <c r="D780" s="73"/>
      <c r="E780" s="73"/>
      <c r="F780" s="73"/>
      <c r="G780" s="101"/>
      <c r="H780" s="311"/>
      <c r="I780" s="103"/>
      <c r="J780" s="77"/>
      <c r="K780" s="208"/>
      <c r="L780" s="269"/>
    </row>
    <row r="781" spans="1:14" ht="4.05" customHeight="1" x14ac:dyDescent="0.15">
      <c r="A781" s="302"/>
      <c r="K781" s="208"/>
      <c r="L781" s="269"/>
    </row>
    <row r="782" spans="1:14" ht="11.1" customHeight="1" x14ac:dyDescent="0.2">
      <c r="A782" s="157" t="s">
        <v>111</v>
      </c>
      <c r="B782" s="56"/>
      <c r="C782" s="56"/>
      <c r="D782" s="55"/>
      <c r="E782" s="137"/>
      <c r="F782" s="142"/>
      <c r="G782" s="241"/>
      <c r="H782" s="242"/>
      <c r="K782" s="208"/>
      <c r="L782" s="269"/>
    </row>
    <row r="783" spans="1:14" ht="11.1" customHeight="1" x14ac:dyDescent="0.2">
      <c r="A783" s="157" t="s">
        <v>182</v>
      </c>
      <c r="B783" s="56"/>
      <c r="C783" s="56"/>
      <c r="D783" s="55"/>
      <c r="E783" s="137"/>
      <c r="F783" s="142"/>
      <c r="G783" s="241"/>
      <c r="H783" s="242"/>
      <c r="K783" s="208"/>
      <c r="L783" s="269"/>
    </row>
    <row r="784" spans="1:14" ht="11.1" customHeight="1" x14ac:dyDescent="0.2">
      <c r="A784" s="157" t="s">
        <v>112</v>
      </c>
      <c r="B784" s="56"/>
      <c r="C784" s="56"/>
      <c r="D784" s="55"/>
      <c r="E784" s="137"/>
      <c r="F784" s="142"/>
      <c r="G784" s="241"/>
      <c r="H784" s="242"/>
      <c r="K784" s="208"/>
      <c r="L784" s="269"/>
    </row>
    <row r="785" spans="1:12" ht="13.5" customHeight="1" x14ac:dyDescent="0.2">
      <c r="A785" s="80" t="s">
        <v>882</v>
      </c>
      <c r="B785" s="56"/>
      <c r="C785" s="56"/>
      <c r="D785" s="55"/>
      <c r="E785" s="137"/>
      <c r="F785" s="142"/>
      <c r="G785" s="241"/>
      <c r="H785" s="242"/>
      <c r="K785" s="208"/>
      <c r="L785" s="269"/>
    </row>
    <row r="786" spans="1:12" ht="11.1" customHeight="1" x14ac:dyDescent="0.2">
      <c r="A786" s="80" t="s">
        <v>883</v>
      </c>
      <c r="B786" s="56"/>
      <c r="C786" s="56"/>
      <c r="D786" s="55"/>
      <c r="E786" s="137"/>
      <c r="F786" s="142"/>
      <c r="G786" s="241"/>
      <c r="H786" s="242"/>
      <c r="K786" s="208"/>
      <c r="L786" s="269"/>
    </row>
    <row r="787" spans="1:12" ht="13.5" customHeight="1" x14ac:dyDescent="0.2">
      <c r="A787" s="80" t="s">
        <v>884</v>
      </c>
      <c r="B787" s="56"/>
      <c r="C787" s="56"/>
      <c r="D787" s="55"/>
      <c r="E787" s="137"/>
      <c r="F787" s="142"/>
      <c r="G787" s="241"/>
      <c r="H787" s="242"/>
      <c r="K787" s="208"/>
      <c r="L787" s="269"/>
    </row>
    <row r="788" spans="1:12" ht="11.1" customHeight="1" x14ac:dyDescent="0.2">
      <c r="A788" s="80" t="s">
        <v>885</v>
      </c>
      <c r="B788" s="56"/>
      <c r="C788" s="56"/>
      <c r="D788" s="55"/>
      <c r="E788" s="137"/>
      <c r="F788" s="142"/>
      <c r="G788" s="241"/>
      <c r="H788" s="242"/>
      <c r="K788" s="208"/>
      <c r="L788" s="269"/>
    </row>
    <row r="789" spans="1:12" ht="13.5" customHeight="1" x14ac:dyDescent="0.2">
      <c r="A789" s="80" t="s">
        <v>886</v>
      </c>
      <c r="B789" s="56"/>
      <c r="C789" s="56"/>
      <c r="D789" s="55"/>
      <c r="E789" s="137"/>
      <c r="F789" s="142"/>
      <c r="G789" s="241"/>
      <c r="H789" s="242"/>
      <c r="K789" s="208"/>
      <c r="L789" s="269"/>
    </row>
    <row r="790" spans="1:12" ht="11.1" customHeight="1" x14ac:dyDescent="0.15">
      <c r="A790" s="80" t="s">
        <v>887</v>
      </c>
      <c r="K790" s="208"/>
      <c r="L790" s="269"/>
    </row>
    <row r="791" spans="1:12" ht="11.1" customHeight="1" x14ac:dyDescent="0.15">
      <c r="K791" s="208"/>
      <c r="L791" s="269"/>
    </row>
    <row r="792" spans="1:12" ht="11.1" customHeight="1" x14ac:dyDescent="0.15">
      <c r="A792" s="302"/>
      <c r="K792" s="208"/>
      <c r="L792" s="269"/>
    </row>
    <row r="793" spans="1:12" ht="11.1" customHeight="1" x14ac:dyDescent="0.15">
      <c r="A793" s="302"/>
      <c r="K793" s="208"/>
      <c r="L793" s="269"/>
    </row>
    <row r="794" spans="1:12" ht="11.1" customHeight="1" x14ac:dyDescent="0.15">
      <c r="A794" s="302"/>
      <c r="K794" s="208"/>
      <c r="L794" s="269"/>
    </row>
    <row r="795" spans="1:12" ht="15.75" customHeight="1" x14ac:dyDescent="0.15">
      <c r="A795" s="159" t="s">
        <v>114</v>
      </c>
      <c r="J795" s="79"/>
      <c r="K795" s="208"/>
      <c r="L795" s="269"/>
    </row>
    <row r="796" spans="1:12" s="31" customFormat="1" ht="20.25" customHeight="1" x14ac:dyDescent="0.3">
      <c r="A796" s="160" t="s">
        <v>183</v>
      </c>
      <c r="B796" s="161"/>
      <c r="D796" s="32"/>
      <c r="E796" s="32"/>
      <c r="F796" s="33"/>
      <c r="G796" s="34"/>
      <c r="H796" s="35"/>
      <c r="I796" s="36"/>
      <c r="J796" s="246"/>
      <c r="K796" s="208"/>
      <c r="L796" s="269"/>
    </row>
    <row r="797" spans="1:12" s="31" customFormat="1" ht="15.75" customHeight="1" x14ac:dyDescent="0.25">
      <c r="A797" s="41" t="s">
        <v>969</v>
      </c>
      <c r="B797" s="168"/>
      <c r="C797" s="43"/>
      <c r="D797" s="44"/>
      <c r="E797" s="32"/>
      <c r="F797" s="33"/>
      <c r="G797" s="34"/>
      <c r="H797" s="35"/>
      <c r="I797" s="36"/>
      <c r="J797" s="246"/>
      <c r="K797" s="208"/>
      <c r="L797" s="269"/>
    </row>
    <row r="798" spans="1:12" ht="4.05" customHeight="1" x14ac:dyDescent="0.15">
      <c r="A798" s="71"/>
      <c r="B798" s="71"/>
      <c r="C798" s="72"/>
      <c r="D798" s="73"/>
      <c r="E798" s="73"/>
      <c r="F798" s="73"/>
      <c r="G798" s="101"/>
      <c r="H798" s="102"/>
      <c r="I798" s="103"/>
      <c r="J798" s="77"/>
      <c r="K798" s="208"/>
      <c r="L798" s="269"/>
    </row>
    <row r="799" spans="1:12" s="55" customFormat="1" ht="4.05" customHeight="1" x14ac:dyDescent="0.15">
      <c r="A799" s="81"/>
      <c r="B799" s="81"/>
      <c r="D799" s="84"/>
      <c r="E799" s="84"/>
      <c r="F799" s="84"/>
      <c r="G799" s="249"/>
      <c r="H799" s="250"/>
      <c r="I799" s="251"/>
      <c r="J799" s="252"/>
      <c r="K799" s="208"/>
      <c r="L799" s="269"/>
    </row>
    <row r="800" spans="1:12" s="180" customFormat="1" ht="11.1" customHeight="1" x14ac:dyDescent="0.15">
      <c r="A800" s="172"/>
      <c r="B800" s="172"/>
      <c r="C800" s="173"/>
      <c r="D800" s="174"/>
      <c r="E800" s="174"/>
      <c r="F800" s="59"/>
      <c r="G800" s="60" t="s">
        <v>116</v>
      </c>
      <c r="H800" s="61" t="s">
        <v>25</v>
      </c>
      <c r="I800" s="62" t="s">
        <v>26</v>
      </c>
      <c r="J800" s="63" t="s">
        <v>117</v>
      </c>
      <c r="K800" s="208"/>
      <c r="L800" s="269"/>
    </row>
    <row r="801" spans="1:14" s="180" customFormat="1" ht="11.1" customHeight="1" x14ac:dyDescent="0.15">
      <c r="A801" s="172"/>
      <c r="B801" s="172"/>
      <c r="C801" s="181"/>
      <c r="D801" s="174"/>
      <c r="E801" s="174"/>
      <c r="F801" s="59"/>
      <c r="G801" s="67" t="s">
        <v>29</v>
      </c>
      <c r="H801" s="61" t="s">
        <v>27</v>
      </c>
      <c r="I801" s="62" t="s">
        <v>28</v>
      </c>
      <c r="J801" s="63" t="s">
        <v>118</v>
      </c>
      <c r="K801" s="208"/>
      <c r="L801" s="269"/>
    </row>
    <row r="802" spans="1:14" s="180" customFormat="1" ht="11.1" customHeight="1" x14ac:dyDescent="0.15">
      <c r="A802" s="172"/>
      <c r="B802" s="172"/>
      <c r="C802" s="181"/>
      <c r="D802" s="174"/>
      <c r="E802" s="174"/>
      <c r="F802" s="59"/>
      <c r="G802" s="60" t="s">
        <v>31</v>
      </c>
      <c r="H802" s="61" t="s">
        <v>29</v>
      </c>
      <c r="I802" s="62" t="s">
        <v>30</v>
      </c>
      <c r="J802" s="69" t="s">
        <v>119</v>
      </c>
      <c r="K802" s="208"/>
      <c r="L802" s="269"/>
    </row>
    <row r="803" spans="1:14" s="180" customFormat="1" ht="11.1" customHeight="1" x14ac:dyDescent="0.15">
      <c r="A803" s="172"/>
      <c r="B803" s="172"/>
      <c r="C803" s="181"/>
      <c r="D803" s="174"/>
      <c r="E803" s="174"/>
      <c r="F803" s="59"/>
      <c r="G803" s="67" t="s">
        <v>32</v>
      </c>
      <c r="H803" s="61" t="s">
        <v>33</v>
      </c>
      <c r="I803" s="62" t="s">
        <v>120</v>
      </c>
      <c r="J803" s="70" t="s">
        <v>121</v>
      </c>
      <c r="K803" s="208"/>
      <c r="L803" s="269"/>
    </row>
    <row r="804" spans="1:14" ht="4.05" customHeight="1" x14ac:dyDescent="0.15">
      <c r="A804" s="71"/>
      <c r="B804" s="71"/>
      <c r="C804" s="72"/>
      <c r="D804" s="73"/>
      <c r="E804" s="73"/>
      <c r="F804" s="73"/>
      <c r="G804" s="101"/>
      <c r="H804" s="102"/>
      <c r="I804" s="103"/>
      <c r="J804" s="73"/>
      <c r="K804" s="208"/>
      <c r="L804" s="269"/>
    </row>
    <row r="805" spans="1:14" ht="4.05" customHeight="1" x14ac:dyDescent="0.15">
      <c r="B805" s="81"/>
      <c r="C805" s="82"/>
      <c r="D805" s="83"/>
      <c r="E805" s="83"/>
      <c r="F805" s="84"/>
      <c r="G805" s="85"/>
      <c r="H805" s="86"/>
      <c r="I805" s="87"/>
      <c r="J805" s="83"/>
      <c r="K805" s="208"/>
      <c r="L805" s="269"/>
    </row>
    <row r="806" spans="1:14" s="93" customFormat="1" ht="11.1" customHeight="1" x14ac:dyDescent="0.15">
      <c r="A806" s="111" t="s">
        <v>123</v>
      </c>
      <c r="B806" s="112"/>
      <c r="C806" s="113"/>
      <c r="F806" s="114" t="s">
        <v>124</v>
      </c>
      <c r="G806" s="115"/>
      <c r="H806" s="116"/>
      <c r="I806" s="117"/>
      <c r="K806" s="208"/>
      <c r="L806" s="270"/>
    </row>
    <row r="807" spans="1:14" s="128" customFormat="1" ht="4.05" customHeight="1" x14ac:dyDescent="0.15">
      <c r="A807" s="186"/>
      <c r="B807" s="186"/>
      <c r="C807" s="187"/>
      <c r="D807" s="79"/>
      <c r="E807" s="79"/>
      <c r="G807" s="107"/>
      <c r="H807" s="108"/>
      <c r="I807" s="109"/>
      <c r="J807" s="110"/>
      <c r="K807" s="208"/>
      <c r="L807" s="269"/>
    </row>
    <row r="808" spans="1:14" ht="12.75" customHeight="1" x14ac:dyDescent="0.15">
      <c r="A808" s="188">
        <v>13</v>
      </c>
      <c r="B808" s="188" t="s">
        <v>888</v>
      </c>
      <c r="C808" s="121"/>
      <c r="D808" s="317"/>
      <c r="E808" s="317"/>
      <c r="K808" s="208"/>
      <c r="L808" s="269"/>
    </row>
    <row r="809" spans="1:14" ht="6" customHeight="1" x14ac:dyDescent="0.15">
      <c r="A809" s="186"/>
      <c r="B809" s="186"/>
      <c r="C809" s="128"/>
      <c r="K809" s="208"/>
      <c r="L809" s="269"/>
    </row>
    <row r="810" spans="1:14" ht="11.1" customHeight="1" x14ac:dyDescent="0.2">
      <c r="A810" s="302">
        <v>13.4</v>
      </c>
      <c r="B810" s="80" t="s">
        <v>889</v>
      </c>
      <c r="G810" s="131">
        <v>13</v>
      </c>
      <c r="H810" s="132">
        <v>361</v>
      </c>
      <c r="I810" s="132">
        <v>2490</v>
      </c>
      <c r="J810" s="135">
        <v>5.6</v>
      </c>
      <c r="K810" s="128"/>
      <c r="L810" s="128"/>
      <c r="M810" s="318"/>
      <c r="N810" s="318"/>
    </row>
    <row r="811" spans="1:14" s="55" customFormat="1" ht="11.1" customHeight="1" x14ac:dyDescent="0.2">
      <c r="A811" s="272"/>
      <c r="B811" s="56" t="s">
        <v>890</v>
      </c>
      <c r="C811" s="55" t="s">
        <v>891</v>
      </c>
      <c r="D811" s="84"/>
      <c r="E811" s="84"/>
      <c r="F811" s="84"/>
      <c r="G811" s="131">
        <v>0.3</v>
      </c>
      <c r="H811" s="132">
        <v>8</v>
      </c>
      <c r="I811" s="132">
        <v>70</v>
      </c>
      <c r="J811" s="135">
        <v>34.6</v>
      </c>
      <c r="K811" s="128"/>
      <c r="L811" s="128"/>
      <c r="M811" s="318"/>
      <c r="N811" s="318"/>
    </row>
    <row r="812" spans="1:14" s="55" customFormat="1" ht="11.1" customHeight="1" x14ac:dyDescent="0.2">
      <c r="A812" s="272"/>
      <c r="B812" s="56"/>
      <c r="C812" s="55" t="s">
        <v>892</v>
      </c>
      <c r="D812" s="84" t="s">
        <v>893</v>
      </c>
      <c r="E812" s="84"/>
      <c r="F812" s="84"/>
      <c r="G812" s="131">
        <v>0.1</v>
      </c>
      <c r="H812" s="132">
        <v>3</v>
      </c>
      <c r="I812" s="132">
        <v>60</v>
      </c>
      <c r="J812" s="135">
        <v>28.1</v>
      </c>
      <c r="K812" s="128"/>
      <c r="L812" s="128"/>
      <c r="M812" s="318"/>
      <c r="N812" s="318"/>
    </row>
    <row r="813" spans="1:14" s="55" customFormat="1" ht="11.1" customHeight="1" x14ac:dyDescent="0.2">
      <c r="A813" s="272"/>
      <c r="B813" s="56"/>
      <c r="C813" s="55" t="s">
        <v>894</v>
      </c>
      <c r="D813" s="84" t="s">
        <v>895</v>
      </c>
      <c r="E813" s="84"/>
      <c r="F813" s="84"/>
      <c r="G813" s="138" t="s">
        <v>230</v>
      </c>
      <c r="H813" s="139" t="s">
        <v>230</v>
      </c>
      <c r="I813" s="139" t="s">
        <v>230</v>
      </c>
      <c r="J813" s="135" t="s">
        <v>230</v>
      </c>
      <c r="K813" s="128"/>
      <c r="L813" s="128"/>
      <c r="M813" s="318"/>
      <c r="N813" s="318"/>
    </row>
    <row r="814" spans="1:14" s="55" customFormat="1" ht="3" customHeight="1" x14ac:dyDescent="0.2">
      <c r="B814" s="56"/>
      <c r="C814" s="56"/>
      <c r="F814" s="84"/>
      <c r="G814" s="85"/>
      <c r="H814" s="86"/>
      <c r="I814" s="87"/>
      <c r="J814" s="231"/>
      <c r="K814" s="78"/>
      <c r="L814" s="78"/>
      <c r="M814" s="255"/>
      <c r="N814" s="255"/>
    </row>
    <row r="815" spans="1:14" s="55" customFormat="1" ht="11.1" customHeight="1" x14ac:dyDescent="0.2">
      <c r="A815" s="272"/>
      <c r="B815" s="56" t="s">
        <v>896</v>
      </c>
      <c r="C815" s="55" t="s">
        <v>897</v>
      </c>
      <c r="D815" s="84"/>
      <c r="E815" s="84"/>
      <c r="F815" s="84"/>
      <c r="G815" s="131">
        <v>11.7</v>
      </c>
      <c r="H815" s="132">
        <v>324</v>
      </c>
      <c r="I815" s="132">
        <v>2170</v>
      </c>
      <c r="J815" s="135">
        <v>6.1</v>
      </c>
      <c r="K815" s="128"/>
      <c r="L815" s="128"/>
      <c r="M815" s="318"/>
      <c r="N815" s="318"/>
    </row>
    <row r="816" spans="1:14" s="55" customFormat="1" ht="11.1" customHeight="1" x14ac:dyDescent="0.2">
      <c r="A816" s="272"/>
      <c r="B816" s="56"/>
      <c r="C816" s="55" t="s">
        <v>898</v>
      </c>
      <c r="D816" s="84" t="s">
        <v>899</v>
      </c>
      <c r="E816" s="84"/>
      <c r="F816" s="84"/>
      <c r="G816" s="131">
        <v>5.4</v>
      </c>
      <c r="H816" s="132">
        <v>149</v>
      </c>
      <c r="I816" s="132">
        <v>850</v>
      </c>
      <c r="J816" s="135">
        <v>10.4</v>
      </c>
      <c r="K816" s="128"/>
      <c r="L816" s="128"/>
      <c r="M816" s="318"/>
      <c r="N816" s="318"/>
    </row>
    <row r="817" spans="1:14" s="55" customFormat="1" ht="11.1" customHeight="1" x14ac:dyDescent="0.2">
      <c r="A817" s="272"/>
      <c r="B817" s="56"/>
      <c r="C817" s="55" t="s">
        <v>900</v>
      </c>
      <c r="D817" s="84" t="s">
        <v>901</v>
      </c>
      <c r="E817" s="84"/>
      <c r="F817" s="84"/>
      <c r="G817" s="131">
        <v>2.7</v>
      </c>
      <c r="H817" s="132">
        <v>76</v>
      </c>
      <c r="I817" s="132">
        <v>1440</v>
      </c>
      <c r="J817" s="135">
        <v>7.9</v>
      </c>
      <c r="K817" s="128"/>
      <c r="L817" s="128"/>
      <c r="M817" s="318"/>
      <c r="N817" s="318"/>
    </row>
    <row r="818" spans="1:14" s="55" customFormat="1" ht="11.1" customHeight="1" x14ac:dyDescent="0.2">
      <c r="A818" s="272"/>
      <c r="B818" s="56"/>
      <c r="C818" s="55" t="s">
        <v>902</v>
      </c>
      <c r="D818" s="84" t="s">
        <v>903</v>
      </c>
      <c r="E818" s="84"/>
      <c r="F818" s="84"/>
      <c r="G818" s="131">
        <v>1.3</v>
      </c>
      <c r="H818" s="132">
        <v>37</v>
      </c>
      <c r="I818" s="132">
        <v>240</v>
      </c>
      <c r="J818" s="135">
        <v>20.3</v>
      </c>
      <c r="K818" s="128"/>
      <c r="L818" s="128"/>
      <c r="M818" s="318"/>
      <c r="N818" s="318"/>
    </row>
    <row r="819" spans="1:14" s="55" customFormat="1" ht="11.1" customHeight="1" x14ac:dyDescent="0.2">
      <c r="A819" s="272"/>
      <c r="B819" s="56"/>
      <c r="C819" s="55" t="s">
        <v>904</v>
      </c>
      <c r="D819" s="84" t="s">
        <v>905</v>
      </c>
      <c r="E819" s="84"/>
      <c r="F819" s="84"/>
      <c r="G819" s="131">
        <v>2.2000000000000002</v>
      </c>
      <c r="H819" s="132">
        <v>62</v>
      </c>
      <c r="I819" s="132">
        <v>150</v>
      </c>
      <c r="J819" s="135">
        <v>13.4</v>
      </c>
      <c r="K819" s="128"/>
      <c r="L819" s="128"/>
      <c r="M819" s="318"/>
      <c r="N819" s="318"/>
    </row>
    <row r="820" spans="1:14" s="55" customFormat="1" ht="3" customHeight="1" x14ac:dyDescent="0.2">
      <c r="B820" s="56"/>
      <c r="C820" s="56"/>
      <c r="F820" s="84"/>
      <c r="G820" s="85"/>
      <c r="H820" s="86"/>
      <c r="I820" s="87"/>
      <c r="J820" s="231"/>
      <c r="K820" s="78"/>
      <c r="L820" s="78"/>
      <c r="M820" s="255"/>
      <c r="N820" s="255"/>
    </row>
    <row r="821" spans="1:14" s="55" customFormat="1" ht="11.1" customHeight="1" x14ac:dyDescent="0.2">
      <c r="A821" s="272"/>
      <c r="B821" s="56" t="s">
        <v>906</v>
      </c>
      <c r="C821" s="55" t="s">
        <v>907</v>
      </c>
      <c r="D821" s="84"/>
      <c r="E821" s="84"/>
      <c r="F821" s="84"/>
      <c r="G821" s="131">
        <v>1</v>
      </c>
      <c r="H821" s="132">
        <v>29</v>
      </c>
      <c r="I821" s="132">
        <v>540</v>
      </c>
      <c r="J821" s="135">
        <v>8.3000000000000007</v>
      </c>
      <c r="K821" s="128"/>
      <c r="L821" s="128"/>
      <c r="M821" s="318"/>
      <c r="N821" s="318"/>
    </row>
    <row r="822" spans="1:14" s="55" customFormat="1" ht="11.1" customHeight="1" x14ac:dyDescent="0.2">
      <c r="A822" s="272"/>
      <c r="B822" s="56"/>
      <c r="C822" s="55" t="s">
        <v>908</v>
      </c>
      <c r="D822" s="84" t="s">
        <v>909</v>
      </c>
      <c r="E822" s="84"/>
      <c r="F822" s="84"/>
      <c r="G822" s="138" t="s">
        <v>367</v>
      </c>
      <c r="H822" s="139" t="s">
        <v>367</v>
      </c>
      <c r="I822" s="139" t="s">
        <v>367</v>
      </c>
      <c r="J822" s="135" t="s">
        <v>230</v>
      </c>
      <c r="K822" s="128"/>
      <c r="L822" s="128"/>
      <c r="M822" s="318"/>
      <c r="N822" s="318"/>
    </row>
    <row r="823" spans="1:14" s="55" customFormat="1" ht="11.1" customHeight="1" x14ac:dyDescent="0.2">
      <c r="A823" s="272"/>
      <c r="B823" s="56"/>
      <c r="C823" s="55" t="s">
        <v>910</v>
      </c>
      <c r="D823" s="84" t="s">
        <v>911</v>
      </c>
      <c r="E823" s="84"/>
      <c r="F823" s="84"/>
      <c r="G823" s="131">
        <v>1</v>
      </c>
      <c r="H823" s="132">
        <v>29</v>
      </c>
      <c r="I823" s="132">
        <v>540</v>
      </c>
      <c r="J823" s="135">
        <v>8.3000000000000007</v>
      </c>
      <c r="K823" s="128"/>
      <c r="L823" s="128"/>
      <c r="M823" s="318"/>
      <c r="N823" s="318"/>
    </row>
    <row r="824" spans="1:14" ht="4.05" customHeight="1" x14ac:dyDescent="0.15">
      <c r="A824" s="316"/>
      <c r="B824" s="71"/>
      <c r="C824" s="72"/>
      <c r="D824" s="73"/>
      <c r="E824" s="73"/>
      <c r="F824" s="73"/>
      <c r="G824" s="101"/>
      <c r="H824" s="102"/>
      <c r="I824" s="103"/>
      <c r="J824" s="77"/>
      <c r="K824" s="128"/>
      <c r="L824" s="128"/>
      <c r="M824" s="318"/>
      <c r="N824" s="318"/>
    </row>
    <row r="825" spans="1:14" ht="4.05" customHeight="1" x14ac:dyDescent="0.15">
      <c r="K825" s="128"/>
      <c r="L825" s="128"/>
      <c r="M825" s="318"/>
      <c r="N825" s="318"/>
    </row>
    <row r="826" spans="1:14" s="121" customFormat="1" ht="12.75" customHeight="1" x14ac:dyDescent="0.2">
      <c r="A826" s="188" t="s">
        <v>21</v>
      </c>
      <c r="D826" s="259"/>
      <c r="E826" s="259"/>
      <c r="F826" s="259"/>
      <c r="G826" s="123">
        <v>587.9</v>
      </c>
      <c r="H826" s="124">
        <v>16352</v>
      </c>
      <c r="I826" s="124">
        <v>5440</v>
      </c>
      <c r="J826" s="125">
        <v>1.1000000000000001</v>
      </c>
      <c r="K826" s="128"/>
      <c r="L826" s="128"/>
      <c r="M826" s="318"/>
      <c r="N826" s="318"/>
    </row>
    <row r="827" spans="1:14" ht="4.05" customHeight="1" x14ac:dyDescent="0.15">
      <c r="A827" s="71"/>
      <c r="B827" s="71"/>
      <c r="C827" s="72"/>
      <c r="D827" s="73"/>
      <c r="E827" s="73"/>
      <c r="F827" s="73"/>
      <c r="G827" s="101"/>
      <c r="H827" s="311"/>
      <c r="I827" s="103"/>
      <c r="J827" s="77"/>
      <c r="K827" s="128"/>
      <c r="L827" s="128"/>
      <c r="M827" s="318"/>
      <c r="N827" s="318"/>
    </row>
    <row r="828" spans="1:14" ht="4.05" customHeight="1" x14ac:dyDescent="0.15">
      <c r="H828" s="312"/>
      <c r="K828" s="128"/>
      <c r="L828" s="128"/>
      <c r="M828" s="318"/>
      <c r="N828" s="318"/>
    </row>
    <row r="829" spans="1:14" s="128" customFormat="1" ht="12.75" customHeight="1" x14ac:dyDescent="0.15">
      <c r="A829" s="188">
        <v>14</v>
      </c>
      <c r="B829" s="188" t="s">
        <v>912</v>
      </c>
      <c r="C829" s="121"/>
      <c r="D829" s="259"/>
      <c r="E829" s="259"/>
      <c r="F829" s="319"/>
      <c r="G829" s="107"/>
      <c r="H829" s="312"/>
      <c r="I829" s="109"/>
      <c r="J829" s="171"/>
      <c r="M829" s="318"/>
      <c r="N829" s="318"/>
    </row>
    <row r="830" spans="1:14" ht="6" customHeight="1" x14ac:dyDescent="0.15">
      <c r="H830" s="312"/>
      <c r="K830" s="128"/>
      <c r="L830" s="128"/>
      <c r="M830" s="318"/>
      <c r="N830" s="318"/>
    </row>
    <row r="831" spans="1:14" ht="11.1" customHeight="1" x14ac:dyDescent="0.2">
      <c r="A831" s="302">
        <v>14.1</v>
      </c>
      <c r="B831" s="80" t="s">
        <v>913</v>
      </c>
      <c r="G831" s="131">
        <v>34.700000000000003</v>
      </c>
      <c r="H831" s="132">
        <v>965</v>
      </c>
      <c r="I831" s="132">
        <v>3290</v>
      </c>
      <c r="J831" s="135">
        <v>3.5</v>
      </c>
      <c r="K831" s="128"/>
      <c r="L831" s="128"/>
      <c r="M831" s="318"/>
      <c r="N831" s="318"/>
    </row>
    <row r="832" spans="1:14" s="55" customFormat="1" ht="11.1" customHeight="1" x14ac:dyDescent="0.2">
      <c r="B832" s="56" t="s">
        <v>914</v>
      </c>
      <c r="C832" s="55" t="s">
        <v>915</v>
      </c>
      <c r="D832" s="84"/>
      <c r="E832" s="84"/>
      <c r="F832" s="84"/>
      <c r="G832" s="131">
        <v>2.9</v>
      </c>
      <c r="H832" s="132">
        <v>81</v>
      </c>
      <c r="I832" s="132">
        <v>1620</v>
      </c>
      <c r="J832" s="135">
        <v>4.3</v>
      </c>
      <c r="K832" s="128"/>
      <c r="L832" s="128"/>
      <c r="M832" s="318"/>
      <c r="N832" s="318"/>
    </row>
    <row r="833" spans="1:14" s="55" customFormat="1" ht="11.1" customHeight="1" x14ac:dyDescent="0.2">
      <c r="A833" s="272"/>
      <c r="B833" s="56" t="s">
        <v>916</v>
      </c>
      <c r="C833" s="55" t="s">
        <v>917</v>
      </c>
      <c r="D833" s="84"/>
      <c r="E833" s="84"/>
      <c r="F833" s="84"/>
      <c r="G833" s="131">
        <v>26.9</v>
      </c>
      <c r="H833" s="132">
        <v>748</v>
      </c>
      <c r="I833" s="132">
        <v>2590</v>
      </c>
      <c r="J833" s="135">
        <v>4.2</v>
      </c>
      <c r="K833" s="128"/>
      <c r="L833" s="128"/>
      <c r="M833" s="318"/>
      <c r="N833" s="318"/>
    </row>
    <row r="834" spans="1:14" s="55" customFormat="1" ht="11.1" customHeight="1" x14ac:dyDescent="0.2">
      <c r="A834" s="272"/>
      <c r="B834" s="56" t="s">
        <v>918</v>
      </c>
      <c r="C834" s="55" t="s">
        <v>919</v>
      </c>
      <c r="D834" s="84"/>
      <c r="E834" s="84"/>
      <c r="F834" s="84"/>
      <c r="G834" s="131">
        <v>4.9000000000000004</v>
      </c>
      <c r="H834" s="132">
        <v>136</v>
      </c>
      <c r="I834" s="132">
        <v>390</v>
      </c>
      <c r="J834" s="135">
        <v>12.9</v>
      </c>
      <c r="K834" s="128"/>
      <c r="L834" s="128"/>
      <c r="M834" s="318"/>
      <c r="N834" s="318"/>
    </row>
    <row r="835" spans="1:14" ht="3" customHeight="1" x14ac:dyDescent="0.2">
      <c r="A835" s="302"/>
      <c r="G835" s="131"/>
      <c r="H835" s="132"/>
      <c r="I835" s="132"/>
      <c r="J835" s="135"/>
      <c r="K835" s="128"/>
      <c r="L835" s="128"/>
      <c r="M835" s="318"/>
      <c r="N835" s="318"/>
    </row>
    <row r="836" spans="1:14" ht="11.1" customHeight="1" x14ac:dyDescent="0.2">
      <c r="A836" s="302">
        <v>14.2</v>
      </c>
      <c r="B836" s="80" t="s">
        <v>920</v>
      </c>
      <c r="G836" s="131">
        <v>2.4</v>
      </c>
      <c r="H836" s="132">
        <v>66</v>
      </c>
      <c r="I836" s="132">
        <v>1640</v>
      </c>
      <c r="J836" s="135">
        <v>3.3</v>
      </c>
      <c r="K836" s="128"/>
      <c r="L836" s="128"/>
      <c r="M836" s="318"/>
      <c r="N836" s="318"/>
    </row>
    <row r="837" spans="1:14" ht="3" customHeight="1" x14ac:dyDescent="0.2">
      <c r="A837" s="302"/>
      <c r="G837" s="131"/>
      <c r="H837" s="132"/>
      <c r="I837" s="132"/>
      <c r="J837" s="135"/>
      <c r="K837" s="128"/>
      <c r="L837" s="128"/>
      <c r="M837" s="318"/>
      <c r="N837" s="318"/>
    </row>
    <row r="838" spans="1:14" ht="11.1" customHeight="1" x14ac:dyDescent="0.2">
      <c r="A838" s="302">
        <v>14.3</v>
      </c>
      <c r="B838" s="80" t="s">
        <v>921</v>
      </c>
      <c r="G838" s="131">
        <v>105.2</v>
      </c>
      <c r="H838" s="132">
        <v>2927</v>
      </c>
      <c r="I838" s="132">
        <v>4060</v>
      </c>
      <c r="J838" s="135">
        <v>3.5</v>
      </c>
      <c r="K838" s="128"/>
      <c r="L838" s="128"/>
      <c r="M838" s="318"/>
      <c r="N838" s="318"/>
    </row>
    <row r="839" spans="1:14" s="55" customFormat="1" ht="11.1" customHeight="1" x14ac:dyDescent="0.2">
      <c r="A839" s="272"/>
      <c r="B839" s="56" t="s">
        <v>922</v>
      </c>
      <c r="C839" s="55" t="s">
        <v>923</v>
      </c>
      <c r="D839" s="84"/>
      <c r="E839" s="84"/>
      <c r="F839" s="84"/>
      <c r="G839" s="131">
        <v>81.900000000000006</v>
      </c>
      <c r="H839" s="132">
        <v>2279</v>
      </c>
      <c r="I839" s="132">
        <v>2880</v>
      </c>
      <c r="J839" s="135">
        <v>3.5</v>
      </c>
      <c r="K839" s="128"/>
      <c r="L839" s="128"/>
      <c r="M839" s="318"/>
      <c r="N839" s="318"/>
    </row>
    <row r="840" spans="1:14" s="55" customFormat="1" ht="11.1" customHeight="1" x14ac:dyDescent="0.2">
      <c r="A840" s="272"/>
      <c r="B840" s="56" t="s">
        <v>924</v>
      </c>
      <c r="C840" s="55" t="s">
        <v>925</v>
      </c>
      <c r="D840" s="84"/>
      <c r="E840" s="84"/>
      <c r="F840" s="84"/>
      <c r="G840" s="131">
        <v>3</v>
      </c>
      <c r="H840" s="132">
        <v>83</v>
      </c>
      <c r="I840" s="132">
        <v>160</v>
      </c>
      <c r="J840" s="135">
        <v>19.8</v>
      </c>
      <c r="K840" s="128"/>
      <c r="L840" s="128"/>
      <c r="M840" s="318"/>
      <c r="N840" s="318"/>
    </row>
    <row r="841" spans="1:14" s="55" customFormat="1" ht="11.1" customHeight="1" x14ac:dyDescent="0.2">
      <c r="A841" s="272"/>
      <c r="B841" s="56" t="s">
        <v>926</v>
      </c>
      <c r="C841" s="55" t="s">
        <v>927</v>
      </c>
      <c r="D841" s="84"/>
      <c r="E841" s="84"/>
      <c r="F841" s="84"/>
      <c r="G841" s="131">
        <v>4.9000000000000004</v>
      </c>
      <c r="H841" s="132">
        <v>137</v>
      </c>
      <c r="I841" s="132">
        <v>230</v>
      </c>
      <c r="J841" s="135">
        <v>13.6</v>
      </c>
      <c r="K841" s="128"/>
      <c r="L841" s="128"/>
      <c r="M841" s="318"/>
      <c r="N841" s="318"/>
    </row>
    <row r="842" spans="1:14" s="55" customFormat="1" ht="11.1" customHeight="1" x14ac:dyDescent="0.15">
      <c r="A842" s="272"/>
      <c r="B842" s="56" t="s">
        <v>928</v>
      </c>
      <c r="C842" s="55" t="s">
        <v>929</v>
      </c>
      <c r="D842" s="84"/>
      <c r="E842" s="84"/>
      <c r="F842" s="84"/>
      <c r="G842" s="107"/>
      <c r="H842" s="108"/>
      <c r="I842" s="79"/>
      <c r="J842" s="171"/>
      <c r="K842" s="128"/>
      <c r="L842" s="128"/>
      <c r="M842" s="318"/>
      <c r="N842" s="318"/>
    </row>
    <row r="843" spans="1:14" s="55" customFormat="1" ht="11.1" customHeight="1" x14ac:dyDescent="0.2">
      <c r="A843" s="272"/>
      <c r="B843" s="56"/>
      <c r="C843" s="55" t="s">
        <v>930</v>
      </c>
      <c r="D843" s="84"/>
      <c r="E843" s="84"/>
      <c r="F843" s="84"/>
      <c r="G843" s="131">
        <v>14.1</v>
      </c>
      <c r="H843" s="132">
        <v>392</v>
      </c>
      <c r="I843" s="132">
        <v>1300</v>
      </c>
      <c r="J843" s="135">
        <v>8.6</v>
      </c>
      <c r="K843" s="128"/>
      <c r="L843" s="128"/>
      <c r="M843" s="318"/>
      <c r="N843" s="318"/>
    </row>
    <row r="844" spans="1:14" s="55" customFormat="1" ht="11.1" customHeight="1" x14ac:dyDescent="0.2">
      <c r="A844" s="272"/>
      <c r="B844" s="56" t="s">
        <v>931</v>
      </c>
      <c r="C844" s="55" t="s">
        <v>932</v>
      </c>
      <c r="D844" s="84"/>
      <c r="E844" s="84"/>
      <c r="F844" s="84"/>
      <c r="G844" s="131">
        <v>3.3</v>
      </c>
      <c r="H844" s="132">
        <v>93</v>
      </c>
      <c r="I844" s="132">
        <v>560</v>
      </c>
      <c r="J844" s="135">
        <v>16.7</v>
      </c>
      <c r="K844" s="128"/>
      <c r="L844" s="128"/>
      <c r="M844" s="318"/>
      <c r="N844" s="318"/>
    </row>
    <row r="845" spans="1:14" s="55" customFormat="1" ht="11.1" customHeight="1" x14ac:dyDescent="0.2">
      <c r="A845" s="272"/>
      <c r="B845" s="56" t="s">
        <v>933</v>
      </c>
      <c r="C845" s="55" t="s">
        <v>934</v>
      </c>
      <c r="D845" s="84"/>
      <c r="E845" s="84"/>
      <c r="F845" s="84"/>
      <c r="G845" s="131">
        <v>0.3</v>
      </c>
      <c r="H845" s="132">
        <v>9</v>
      </c>
      <c r="I845" s="132">
        <v>30</v>
      </c>
      <c r="J845" s="135">
        <v>43.5</v>
      </c>
      <c r="K845" s="128"/>
      <c r="L845" s="128"/>
      <c r="M845" s="318"/>
      <c r="N845" s="318"/>
    </row>
    <row r="846" spans="1:14" s="55" customFormat="1" ht="11.1" customHeight="1" x14ac:dyDescent="0.2">
      <c r="A846" s="272"/>
      <c r="B846" s="56" t="s">
        <v>935</v>
      </c>
      <c r="C846" s="55" t="s">
        <v>936</v>
      </c>
      <c r="D846" s="84"/>
      <c r="E846" s="84"/>
      <c r="F846" s="84"/>
      <c r="G846" s="131">
        <v>1.7</v>
      </c>
      <c r="H846" s="132">
        <v>48</v>
      </c>
      <c r="I846" s="132">
        <v>250</v>
      </c>
      <c r="J846" s="135">
        <v>36</v>
      </c>
      <c r="K846" s="128"/>
      <c r="L846" s="128"/>
      <c r="M846" s="318"/>
      <c r="N846" s="318"/>
    </row>
    <row r="847" spans="1:14" ht="3" customHeight="1" x14ac:dyDescent="0.15">
      <c r="A847" s="302"/>
      <c r="K847" s="128"/>
      <c r="L847" s="128"/>
      <c r="M847" s="318"/>
      <c r="N847" s="318"/>
    </row>
    <row r="848" spans="1:14" ht="11.1" customHeight="1" x14ac:dyDescent="0.2">
      <c r="A848" s="302">
        <v>14.4</v>
      </c>
      <c r="B848" s="80" t="s">
        <v>937</v>
      </c>
      <c r="G848" s="131">
        <v>40.5</v>
      </c>
      <c r="H848" s="132">
        <v>1125</v>
      </c>
      <c r="I848" s="132">
        <v>2990</v>
      </c>
      <c r="J848" s="135">
        <v>2</v>
      </c>
      <c r="K848" s="128"/>
      <c r="L848" s="128"/>
      <c r="M848" s="318"/>
      <c r="N848" s="318"/>
    </row>
    <row r="849" spans="1:14" s="55" customFormat="1" ht="11.1" customHeight="1" x14ac:dyDescent="0.2">
      <c r="A849" s="272"/>
      <c r="B849" s="56" t="s">
        <v>938</v>
      </c>
      <c r="C849" s="55" t="s">
        <v>939</v>
      </c>
      <c r="D849" s="84"/>
      <c r="E849" s="84"/>
      <c r="F849" s="84"/>
      <c r="G849" s="131">
        <v>40.299999999999997</v>
      </c>
      <c r="H849" s="132">
        <v>1122</v>
      </c>
      <c r="I849" s="132">
        <v>2970</v>
      </c>
      <c r="J849" s="135">
        <v>2</v>
      </c>
      <c r="K849" s="128"/>
      <c r="L849" s="128"/>
      <c r="M849" s="318"/>
      <c r="N849" s="318"/>
    </row>
    <row r="850" spans="1:14" s="55" customFormat="1" ht="11.1" customHeight="1" x14ac:dyDescent="0.2">
      <c r="A850" s="272"/>
      <c r="B850" s="56" t="s">
        <v>940</v>
      </c>
      <c r="C850" s="55" t="s">
        <v>941</v>
      </c>
      <c r="D850" s="84"/>
      <c r="E850" s="84"/>
      <c r="F850" s="84"/>
      <c r="G850" s="131">
        <v>0.1</v>
      </c>
      <c r="H850" s="132">
        <v>4</v>
      </c>
      <c r="I850" s="132">
        <v>40</v>
      </c>
      <c r="J850" s="135">
        <v>26.3</v>
      </c>
      <c r="K850" s="128"/>
      <c r="L850" s="128"/>
      <c r="M850" s="318"/>
      <c r="N850" s="318"/>
    </row>
    <row r="851" spans="1:14" ht="3" customHeight="1" x14ac:dyDescent="0.15">
      <c r="A851" s="302"/>
      <c r="K851" s="128"/>
      <c r="L851" s="128"/>
      <c r="M851" s="318"/>
      <c r="N851" s="318"/>
    </row>
    <row r="852" spans="1:14" ht="11.1" customHeight="1" x14ac:dyDescent="0.2">
      <c r="A852" s="302">
        <v>14.5</v>
      </c>
      <c r="B852" s="80" t="s">
        <v>942</v>
      </c>
      <c r="G852" s="131">
        <v>60.6</v>
      </c>
      <c r="H852" s="132">
        <v>1684</v>
      </c>
      <c r="I852" s="132">
        <v>2080</v>
      </c>
      <c r="J852" s="135">
        <v>4.7</v>
      </c>
      <c r="K852" s="128"/>
      <c r="L852" s="128"/>
      <c r="M852" s="318"/>
      <c r="N852" s="318"/>
    </row>
    <row r="853" spans="1:14" s="55" customFormat="1" ht="11.1" customHeight="1" x14ac:dyDescent="0.2">
      <c r="A853" s="272"/>
      <c r="B853" s="56" t="s">
        <v>943</v>
      </c>
      <c r="C853" s="55" t="s">
        <v>944</v>
      </c>
      <c r="D853" s="84"/>
      <c r="E853" s="84"/>
      <c r="F853" s="84"/>
      <c r="G853" s="138" t="s">
        <v>230</v>
      </c>
      <c r="H853" s="139" t="s">
        <v>230</v>
      </c>
      <c r="I853" s="139" t="s">
        <v>230</v>
      </c>
      <c r="J853" s="135" t="s">
        <v>230</v>
      </c>
      <c r="K853" s="128"/>
      <c r="L853" s="128"/>
      <c r="M853" s="318"/>
      <c r="N853" s="318"/>
    </row>
    <row r="854" spans="1:14" s="55" customFormat="1" ht="11.1" customHeight="1" x14ac:dyDescent="0.2">
      <c r="A854" s="249"/>
      <c r="B854" s="56" t="s">
        <v>945</v>
      </c>
      <c r="C854" s="55" t="s">
        <v>946</v>
      </c>
      <c r="D854" s="84"/>
      <c r="E854" s="84"/>
      <c r="F854" s="84"/>
      <c r="G854" s="131">
        <v>28.2</v>
      </c>
      <c r="H854" s="132">
        <v>783</v>
      </c>
      <c r="I854" s="132">
        <v>1490</v>
      </c>
      <c r="J854" s="135">
        <v>3</v>
      </c>
      <c r="K854" s="128"/>
      <c r="L854" s="128"/>
      <c r="M854" s="318"/>
      <c r="N854" s="318"/>
    </row>
    <row r="855" spans="1:14" s="55" customFormat="1" ht="11.1" customHeight="1" x14ac:dyDescent="0.2">
      <c r="A855" s="272"/>
      <c r="B855" s="56" t="s">
        <v>947</v>
      </c>
      <c r="C855" s="55" t="s">
        <v>948</v>
      </c>
      <c r="D855" s="84"/>
      <c r="E855" s="84"/>
      <c r="F855" s="84"/>
      <c r="G855" s="131">
        <v>1.4</v>
      </c>
      <c r="H855" s="132">
        <v>39</v>
      </c>
      <c r="I855" s="132">
        <v>130</v>
      </c>
      <c r="J855" s="135">
        <v>10.9</v>
      </c>
      <c r="K855" s="128"/>
      <c r="L855" s="128"/>
      <c r="M855" s="318"/>
      <c r="N855" s="318"/>
    </row>
    <row r="856" spans="1:14" s="55" customFormat="1" ht="11.1" customHeight="1" x14ac:dyDescent="0.2">
      <c r="A856" s="272"/>
      <c r="B856" s="56" t="s">
        <v>949</v>
      </c>
      <c r="C856" s="55" t="s">
        <v>950</v>
      </c>
      <c r="D856" s="84"/>
      <c r="E856" s="84"/>
      <c r="F856" s="84"/>
      <c r="G856" s="131">
        <v>1.4</v>
      </c>
      <c r="H856" s="132">
        <v>39</v>
      </c>
      <c r="I856" s="132">
        <v>80</v>
      </c>
      <c r="J856" s="135">
        <v>31.3</v>
      </c>
      <c r="K856" s="128"/>
      <c r="L856" s="128"/>
      <c r="M856" s="318"/>
      <c r="N856" s="318"/>
    </row>
    <row r="857" spans="1:14" s="55" customFormat="1" ht="11.1" customHeight="1" x14ac:dyDescent="0.2">
      <c r="A857" s="272"/>
      <c r="B857" s="56" t="s">
        <v>951</v>
      </c>
      <c r="C857" s="55" t="s">
        <v>952</v>
      </c>
      <c r="D857" s="84"/>
      <c r="E857" s="84"/>
      <c r="F857" s="84"/>
      <c r="G857" s="131">
        <v>24.5</v>
      </c>
      <c r="H857" s="132">
        <v>681</v>
      </c>
      <c r="I857" s="132">
        <v>720</v>
      </c>
      <c r="J857" s="135">
        <v>8.1999999999999993</v>
      </c>
      <c r="K857" s="128"/>
      <c r="L857" s="128"/>
      <c r="M857" s="318"/>
      <c r="N857" s="318"/>
    </row>
    <row r="858" spans="1:14" s="55" customFormat="1" ht="11.1" customHeight="1" x14ac:dyDescent="0.2">
      <c r="A858" s="272"/>
      <c r="B858" s="56" t="s">
        <v>953</v>
      </c>
      <c r="C858" s="55" t="s">
        <v>954</v>
      </c>
      <c r="D858" s="84"/>
      <c r="E858" s="84"/>
      <c r="F858" s="84"/>
      <c r="G858" s="131">
        <v>0.4</v>
      </c>
      <c r="H858" s="132">
        <v>12</v>
      </c>
      <c r="I858" s="132">
        <v>90</v>
      </c>
      <c r="J858" s="135">
        <v>32.1</v>
      </c>
      <c r="K858" s="128"/>
      <c r="L858" s="128"/>
      <c r="M858" s="318"/>
      <c r="N858" s="318"/>
    </row>
    <row r="859" spans="1:14" s="55" customFormat="1" ht="11.1" customHeight="1" x14ac:dyDescent="0.2">
      <c r="A859" s="272"/>
      <c r="B859" s="56" t="s">
        <v>955</v>
      </c>
      <c r="C859" s="55" t="s">
        <v>956</v>
      </c>
      <c r="D859" s="84"/>
      <c r="E859" s="84"/>
      <c r="F859" s="84"/>
      <c r="G859" s="131">
        <v>0.4</v>
      </c>
      <c r="H859" s="132">
        <v>11</v>
      </c>
      <c r="I859" s="132">
        <v>30</v>
      </c>
      <c r="J859" s="135">
        <v>33.9</v>
      </c>
      <c r="K859" s="128"/>
      <c r="L859" s="128"/>
      <c r="M859" s="318"/>
      <c r="N859" s="318"/>
    </row>
    <row r="860" spans="1:14" s="55" customFormat="1" ht="11.1" customHeight="1" x14ac:dyDescent="0.2">
      <c r="A860" s="272"/>
      <c r="B860" s="56" t="s">
        <v>957</v>
      </c>
      <c r="C860" s="55" t="s">
        <v>958</v>
      </c>
      <c r="D860" s="84"/>
      <c r="E860" s="84"/>
      <c r="F860" s="84"/>
      <c r="G860" s="131">
        <v>3.4</v>
      </c>
      <c r="H860" s="132">
        <v>95</v>
      </c>
      <c r="I860" s="132">
        <v>80</v>
      </c>
      <c r="J860" s="135">
        <v>41.5</v>
      </c>
      <c r="K860" s="128"/>
      <c r="L860" s="128"/>
      <c r="M860" s="318"/>
      <c r="N860" s="318"/>
    </row>
    <row r="861" spans="1:14" ht="3" customHeight="1" x14ac:dyDescent="0.15">
      <c r="A861" s="302"/>
      <c r="K861" s="128"/>
      <c r="L861" s="128"/>
      <c r="M861" s="318"/>
      <c r="N861" s="318"/>
    </row>
    <row r="862" spans="1:14" ht="11.1" customHeight="1" x14ac:dyDescent="0.2">
      <c r="A862" s="302">
        <v>14.6</v>
      </c>
      <c r="B862" s="80" t="s">
        <v>959</v>
      </c>
      <c r="G862" s="131">
        <v>9.1999999999999993</v>
      </c>
      <c r="H862" s="132">
        <v>255</v>
      </c>
      <c r="I862" s="132">
        <v>630</v>
      </c>
      <c r="J862" s="135">
        <v>14.9</v>
      </c>
      <c r="K862" s="128"/>
      <c r="L862" s="128"/>
      <c r="M862" s="318"/>
      <c r="N862" s="318"/>
    </row>
    <row r="863" spans="1:14" s="55" customFormat="1" ht="11.1" customHeight="1" x14ac:dyDescent="0.2">
      <c r="A863" s="272"/>
      <c r="B863" s="56" t="s">
        <v>960</v>
      </c>
      <c r="C863" s="55" t="s">
        <v>961</v>
      </c>
      <c r="D863" s="84"/>
      <c r="E863" s="84"/>
      <c r="F863" s="84"/>
      <c r="G863" s="131">
        <v>8.4</v>
      </c>
      <c r="H863" s="132">
        <v>233</v>
      </c>
      <c r="I863" s="132">
        <v>470</v>
      </c>
      <c r="J863" s="135">
        <v>16.2</v>
      </c>
      <c r="K863" s="128"/>
      <c r="L863" s="128"/>
      <c r="M863" s="318"/>
      <c r="N863" s="318"/>
    </row>
    <row r="864" spans="1:14" s="55" customFormat="1" ht="11.1" customHeight="1" x14ac:dyDescent="0.2">
      <c r="A864" s="272"/>
      <c r="B864" s="56" t="s">
        <v>962</v>
      </c>
      <c r="C864" s="55" t="s">
        <v>963</v>
      </c>
      <c r="D864" s="84"/>
      <c r="E864" s="84"/>
      <c r="F864" s="84"/>
      <c r="G864" s="131">
        <v>0.6</v>
      </c>
      <c r="H864" s="132">
        <v>16</v>
      </c>
      <c r="I864" s="132">
        <v>60</v>
      </c>
      <c r="J864" s="135">
        <v>19.5</v>
      </c>
      <c r="K864" s="128"/>
      <c r="L864" s="128"/>
      <c r="M864" s="318"/>
      <c r="N864" s="318"/>
    </row>
    <row r="865" spans="1:14" s="55" customFormat="1" ht="11.1" customHeight="1" x14ac:dyDescent="0.2">
      <c r="A865" s="56"/>
      <c r="B865" s="56" t="s">
        <v>964</v>
      </c>
      <c r="C865" s="55" t="s">
        <v>965</v>
      </c>
      <c r="D865" s="84"/>
      <c r="E865" s="84"/>
      <c r="F865" s="84"/>
      <c r="G865" s="131">
        <v>0.2</v>
      </c>
      <c r="H865" s="132">
        <v>6</v>
      </c>
      <c r="I865" s="132">
        <v>130</v>
      </c>
      <c r="J865" s="135">
        <v>16.8</v>
      </c>
      <c r="K865" s="128"/>
      <c r="L865" s="128"/>
      <c r="M865" s="318"/>
      <c r="N865" s="318"/>
    </row>
    <row r="866" spans="1:14" ht="3" customHeight="1" x14ac:dyDescent="0.15">
      <c r="K866" s="128"/>
      <c r="L866" s="128"/>
      <c r="M866" s="318"/>
      <c r="N866" s="318"/>
    </row>
    <row r="867" spans="1:14" s="229" customFormat="1" ht="11.1" customHeight="1" x14ac:dyDescent="0.2">
      <c r="A867" s="302">
        <v>14.7</v>
      </c>
      <c r="B867" s="302" t="s">
        <v>966</v>
      </c>
      <c r="G867" s="131">
        <v>2.2000000000000002</v>
      </c>
      <c r="H867" s="132">
        <v>61</v>
      </c>
      <c r="I867" s="132">
        <v>240</v>
      </c>
      <c r="J867" s="135">
        <v>9.5</v>
      </c>
      <c r="K867" s="128"/>
      <c r="L867" s="128"/>
      <c r="M867" s="318"/>
      <c r="N867" s="318"/>
    </row>
    <row r="868" spans="1:14" s="229" customFormat="1" ht="11.1" customHeight="1" x14ac:dyDescent="0.2">
      <c r="A868" s="302">
        <v>14.8</v>
      </c>
      <c r="B868" s="302" t="s">
        <v>967</v>
      </c>
      <c r="G868" s="131">
        <v>1.3</v>
      </c>
      <c r="H868" s="132">
        <v>37</v>
      </c>
      <c r="I868" s="132">
        <v>430</v>
      </c>
      <c r="J868" s="135">
        <v>19.7</v>
      </c>
      <c r="K868" s="128"/>
      <c r="L868" s="128"/>
      <c r="M868" s="318"/>
      <c r="N868" s="318"/>
    </row>
    <row r="869" spans="1:14" ht="4.05" customHeight="1" x14ac:dyDescent="0.2">
      <c r="A869" s="71"/>
      <c r="B869" s="71"/>
      <c r="C869" s="72"/>
      <c r="D869" s="73"/>
      <c r="E869" s="73"/>
      <c r="F869" s="73"/>
      <c r="G869" s="101"/>
      <c r="H869" s="102"/>
      <c r="I869" s="72"/>
      <c r="J869" s="77"/>
      <c r="L869" s="269"/>
    </row>
    <row r="870" spans="1:14" ht="4.05" customHeight="1" x14ac:dyDescent="0.2">
      <c r="L870" s="269"/>
    </row>
    <row r="871" spans="1:14" ht="11.1" customHeight="1" x14ac:dyDescent="0.2">
      <c r="A871" s="157" t="s">
        <v>111</v>
      </c>
      <c r="L871" s="65"/>
    </row>
    <row r="872" spans="1:14" ht="11.1" customHeight="1" x14ac:dyDescent="0.2">
      <c r="A872" s="157" t="s">
        <v>182</v>
      </c>
      <c r="L872" s="65"/>
    </row>
    <row r="873" spans="1:14" ht="11.1" customHeight="1" x14ac:dyDescent="0.2">
      <c r="A873" s="157" t="s">
        <v>112</v>
      </c>
      <c r="L873" s="65"/>
    </row>
    <row r="874" spans="1:14" ht="13.5" customHeight="1" x14ac:dyDescent="0.2">
      <c r="A874" s="245" t="s">
        <v>968</v>
      </c>
      <c r="L874" s="65"/>
    </row>
    <row r="875" spans="1:14" ht="11.1" customHeight="1" x14ac:dyDescent="0.2">
      <c r="L875" s="65"/>
    </row>
    <row r="876" spans="1:14" ht="11.1" customHeight="1" x14ac:dyDescent="0.2">
      <c r="A876" s="320" t="s">
        <v>113</v>
      </c>
    </row>
    <row r="883" spans="1:1" ht="11.1" customHeight="1" x14ac:dyDescent="0.2">
      <c r="A883" s="245"/>
    </row>
    <row r="914" ht="10.5" customHeight="1" x14ac:dyDescent="0.2"/>
    <row r="915" ht="10.5" customHeight="1" x14ac:dyDescent="0.2"/>
    <row r="916" ht="10.5" customHeight="1" x14ac:dyDescent="0.2"/>
    <row r="917" ht="10.5" customHeight="1" x14ac:dyDescent="0.2"/>
    <row r="918" ht="10.5" customHeight="1" x14ac:dyDescent="0.2"/>
    <row r="919" ht="10.5" customHeight="1" x14ac:dyDescent="0.2"/>
    <row r="920" ht="10.5" customHeight="1" x14ac:dyDescent="0.2"/>
    <row r="921" ht="10.5" customHeight="1" x14ac:dyDescent="0.2"/>
    <row r="922" ht="10.5" customHeight="1" x14ac:dyDescent="0.2"/>
    <row r="923" ht="10.5" customHeight="1" x14ac:dyDescent="0.2"/>
    <row r="924" ht="10.5" customHeight="1" x14ac:dyDescent="0.2"/>
    <row r="925" ht="10.5" customHeight="1" x14ac:dyDescent="0.2"/>
    <row r="926" ht="10.5" customHeight="1" x14ac:dyDescent="0.2"/>
    <row r="927" ht="10.5" customHeight="1" x14ac:dyDescent="0.2"/>
    <row r="928" ht="10.5" customHeight="1" x14ac:dyDescent="0.2"/>
    <row r="929" ht="10.5" customHeight="1" x14ac:dyDescent="0.2"/>
    <row r="930" ht="10.5" customHeight="1" x14ac:dyDescent="0.2"/>
    <row r="931" ht="10.5" customHeight="1" x14ac:dyDescent="0.2"/>
    <row r="932" ht="10.5" customHeight="1" x14ac:dyDescent="0.2"/>
    <row r="933" ht="10.5" customHeight="1" x14ac:dyDescent="0.2"/>
    <row r="934" ht="10.5" customHeight="1" x14ac:dyDescent="0.2"/>
    <row r="935" ht="10.5" customHeight="1" x14ac:dyDescent="0.2"/>
    <row r="936" ht="10.5" customHeight="1" x14ac:dyDescent="0.2"/>
    <row r="937" ht="10.5" customHeight="1" x14ac:dyDescent="0.2"/>
    <row r="938" ht="10.5" customHeight="1" x14ac:dyDescent="0.2"/>
    <row r="939" ht="10.5" customHeight="1" x14ac:dyDescent="0.2"/>
    <row r="940" ht="10.5" customHeight="1" x14ac:dyDescent="0.2"/>
  </sheetData>
  <mergeCells count="2">
    <mergeCell ref="D334:F334"/>
    <mergeCell ref="D339:F339"/>
  </mergeCells>
  <hyperlinks>
    <hyperlink ref="J1" location="Contents!A1" display="Back to Contents" xr:uid="{28BEB72B-ED5B-4E1F-B321-C46587CB06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B6BC-EC6C-4026-83CE-7D5FF2AD2971}">
  <dimension ref="A1:T881"/>
  <sheetViews>
    <sheetView workbookViewId="0">
      <selection sqref="A1:XFD1048576"/>
    </sheetView>
  </sheetViews>
  <sheetFormatPr defaultRowHeight="14.4" x14ac:dyDescent="0.3"/>
  <cols>
    <col min="1" max="1" width="3.77734375" customWidth="1"/>
    <col min="2" max="2" width="4.44140625" customWidth="1"/>
    <col min="3" max="3" width="6.33203125" customWidth="1"/>
    <col min="4" max="4" width="4.5546875" customWidth="1"/>
    <col min="5" max="5" width="28.33203125" customWidth="1"/>
    <col min="6" max="6" width="4.5546875" customWidth="1"/>
    <col min="7" max="7" width="10.77734375" customWidth="1"/>
    <col min="8" max="9" width="9.77734375" style="625" customWidth="1"/>
    <col min="10" max="10" width="9.77734375" style="626" customWidth="1"/>
  </cols>
  <sheetData>
    <row r="1" spans="1:10" ht="17.55" customHeight="1" x14ac:dyDescent="0.3">
      <c r="A1" s="29" t="s">
        <v>114</v>
      </c>
      <c r="B1" s="30"/>
      <c r="C1" s="31"/>
      <c r="D1" s="32"/>
      <c r="E1" s="32"/>
      <c r="F1" s="33"/>
      <c r="G1" s="34"/>
      <c r="H1" s="617"/>
      <c r="I1" s="617"/>
      <c r="J1" s="618"/>
    </row>
    <row r="2" spans="1:10" ht="22.95" customHeight="1" x14ac:dyDescent="0.3">
      <c r="A2" s="39" t="s">
        <v>115</v>
      </c>
      <c r="B2" s="30"/>
      <c r="C2" s="31"/>
      <c r="D2" s="32"/>
      <c r="E2" s="32"/>
      <c r="F2" s="33"/>
      <c r="G2" s="34"/>
      <c r="H2" s="617"/>
      <c r="I2" s="617"/>
      <c r="J2" s="619"/>
    </row>
    <row r="3" spans="1:10" ht="17.399999999999999" x14ac:dyDescent="0.3">
      <c r="A3" s="41" t="s">
        <v>1360</v>
      </c>
      <c r="B3" s="42"/>
      <c r="C3" s="43"/>
      <c r="D3" s="44"/>
      <c r="E3" s="32"/>
      <c r="F3" s="33"/>
      <c r="G3" s="34"/>
      <c r="H3" s="617"/>
      <c r="I3" s="617"/>
      <c r="J3" s="619"/>
    </row>
    <row r="4" spans="1:10" ht="3.6" customHeight="1" x14ac:dyDescent="0.3">
      <c r="A4" s="45"/>
      <c r="B4" s="46"/>
      <c r="C4" s="47"/>
      <c r="D4" s="48"/>
      <c r="E4" s="48"/>
      <c r="F4" s="48"/>
      <c r="G4" s="49"/>
      <c r="H4" s="620"/>
      <c r="I4" s="620"/>
      <c r="J4" s="274"/>
    </row>
    <row r="5" spans="1:10" x14ac:dyDescent="0.3">
      <c r="A5" s="56"/>
      <c r="B5" s="81"/>
      <c r="C5" s="55"/>
      <c r="D5" s="84"/>
      <c r="E5" s="84"/>
      <c r="F5" s="84"/>
      <c r="G5" s="249"/>
      <c r="H5" s="621"/>
      <c r="I5" s="621"/>
      <c r="J5" s="141"/>
    </row>
    <row r="6" spans="1:10" x14ac:dyDescent="0.3">
      <c r="A6" s="56"/>
      <c r="B6" s="56"/>
      <c r="C6" s="57"/>
      <c r="D6" s="58"/>
      <c r="E6" s="58"/>
      <c r="F6" s="59"/>
      <c r="G6" s="60" t="s">
        <v>116</v>
      </c>
      <c r="H6" s="622" t="s">
        <v>25</v>
      </c>
      <c r="I6" s="622" t="s">
        <v>26</v>
      </c>
      <c r="J6" s="63" t="s">
        <v>117</v>
      </c>
    </row>
    <row r="7" spans="1:10" x14ac:dyDescent="0.3">
      <c r="A7" s="56"/>
      <c r="B7" s="56"/>
      <c r="C7" s="66"/>
      <c r="D7" s="58"/>
      <c r="E7" s="58"/>
      <c r="F7" s="59"/>
      <c r="G7" s="67" t="s">
        <v>29</v>
      </c>
      <c r="H7" s="622" t="s">
        <v>27</v>
      </c>
      <c r="I7" s="622" t="s">
        <v>28</v>
      </c>
      <c r="J7" s="63" t="s">
        <v>118</v>
      </c>
    </row>
    <row r="8" spans="1:10" x14ac:dyDescent="0.3">
      <c r="A8" s="56"/>
      <c r="B8" s="56"/>
      <c r="C8" s="66"/>
      <c r="D8" s="68"/>
      <c r="E8" s="68"/>
      <c r="F8" s="59"/>
      <c r="G8" s="60" t="s">
        <v>31</v>
      </c>
      <c r="H8" s="622" t="s">
        <v>29</v>
      </c>
      <c r="I8" s="622" t="s">
        <v>30</v>
      </c>
      <c r="J8" s="63" t="s">
        <v>119</v>
      </c>
    </row>
    <row r="9" spans="1:10" x14ac:dyDescent="0.3">
      <c r="A9" s="56"/>
      <c r="B9" s="56"/>
      <c r="C9" s="66"/>
      <c r="D9" s="58"/>
      <c r="E9" s="58"/>
      <c r="F9" s="59"/>
      <c r="G9" s="67" t="s">
        <v>32</v>
      </c>
      <c r="H9" s="622" t="s">
        <v>33</v>
      </c>
      <c r="I9" s="622" t="s">
        <v>120</v>
      </c>
      <c r="J9" s="63" t="s">
        <v>121</v>
      </c>
    </row>
    <row r="10" spans="1:10" ht="6" customHeight="1" x14ac:dyDescent="0.3">
      <c r="A10" s="71"/>
      <c r="B10" s="71"/>
      <c r="C10" s="72"/>
      <c r="D10" s="73"/>
      <c r="E10" s="73"/>
      <c r="F10" s="73"/>
      <c r="G10" s="74"/>
      <c r="H10" s="623"/>
      <c r="I10" s="623"/>
      <c r="J10" s="624"/>
    </row>
    <row r="11" spans="1:10" ht="4.2" customHeight="1" x14ac:dyDescent="0.3"/>
    <row r="12" spans="1:10" ht="15.6" customHeight="1" x14ac:dyDescent="0.3">
      <c r="A12" s="89" t="s">
        <v>122</v>
      </c>
      <c r="I12" s="627">
        <v>5400</v>
      </c>
    </row>
    <row r="13" spans="1:10" ht="3.6" customHeight="1" x14ac:dyDescent="0.3">
      <c r="A13" s="628"/>
      <c r="B13" s="628"/>
      <c r="C13" s="628"/>
      <c r="D13" s="628"/>
      <c r="E13" s="628"/>
      <c r="F13" s="628"/>
      <c r="G13" s="628"/>
      <c r="H13" s="629"/>
      <c r="I13" s="629"/>
      <c r="J13" s="630"/>
    </row>
    <row r="15" spans="1:10" x14ac:dyDescent="0.3">
      <c r="A15" s="111" t="s">
        <v>123</v>
      </c>
      <c r="F15" t="s">
        <v>124</v>
      </c>
    </row>
    <row r="17" spans="1:13" x14ac:dyDescent="0.3">
      <c r="A17" s="631" t="s">
        <v>34</v>
      </c>
      <c r="B17" s="631" t="s">
        <v>7</v>
      </c>
      <c r="C17" s="631"/>
      <c r="D17" s="631"/>
      <c r="E17" s="631"/>
      <c r="F17" s="631"/>
      <c r="G17" s="632">
        <v>69.2</v>
      </c>
      <c r="H17" s="633">
        <v>1951</v>
      </c>
      <c r="I17" s="633">
        <v>5370</v>
      </c>
      <c r="J17" s="634">
        <v>1</v>
      </c>
      <c r="K17" s="635"/>
      <c r="L17" s="635"/>
      <c r="M17" s="635"/>
    </row>
    <row r="18" spans="1:13" x14ac:dyDescent="0.3">
      <c r="A18" s="635"/>
      <c r="B18" s="635"/>
      <c r="C18" s="635"/>
      <c r="D18" s="635"/>
      <c r="E18" s="635"/>
      <c r="F18" s="635"/>
      <c r="G18" s="636"/>
      <c r="H18" s="637"/>
      <c r="I18" s="637"/>
      <c r="J18" s="638"/>
      <c r="K18" s="635"/>
      <c r="L18" s="635"/>
      <c r="M18" s="635"/>
    </row>
    <row r="19" spans="1:13" x14ac:dyDescent="0.3">
      <c r="A19" s="635">
        <v>1.1000000000000001</v>
      </c>
      <c r="B19" s="635" t="s">
        <v>35</v>
      </c>
      <c r="C19" s="635"/>
      <c r="D19" s="635"/>
      <c r="E19" s="635"/>
      <c r="F19" s="635"/>
      <c r="G19" s="636">
        <v>63.3</v>
      </c>
      <c r="H19" s="637">
        <v>1786</v>
      </c>
      <c r="I19" s="637">
        <v>5370</v>
      </c>
      <c r="J19" s="638">
        <v>1</v>
      </c>
      <c r="K19" s="635"/>
      <c r="L19" s="635"/>
      <c r="M19" s="635"/>
    </row>
    <row r="20" spans="1:13" x14ac:dyDescent="0.3">
      <c r="A20" s="635"/>
      <c r="B20" s="635" t="s">
        <v>36</v>
      </c>
      <c r="C20" s="635" t="s">
        <v>37</v>
      </c>
      <c r="D20" s="635"/>
      <c r="E20" s="635"/>
      <c r="F20" s="635"/>
      <c r="G20" s="636">
        <v>5.8</v>
      </c>
      <c r="H20" s="637">
        <v>165</v>
      </c>
      <c r="I20" s="637">
        <v>5250</v>
      </c>
      <c r="J20" s="638">
        <v>1.2</v>
      </c>
      <c r="K20" s="635"/>
      <c r="L20" s="635"/>
      <c r="M20" s="635"/>
    </row>
    <row r="21" spans="1:13" x14ac:dyDescent="0.3">
      <c r="A21" s="635"/>
      <c r="B21" s="635"/>
      <c r="C21" s="635" t="s">
        <v>125</v>
      </c>
      <c r="D21" s="635" t="s">
        <v>126</v>
      </c>
      <c r="E21" s="635"/>
      <c r="F21" s="635"/>
      <c r="G21" s="636">
        <v>0.5</v>
      </c>
      <c r="H21" s="637">
        <v>13</v>
      </c>
      <c r="I21" s="637">
        <v>1740</v>
      </c>
      <c r="J21" s="638">
        <v>5.8</v>
      </c>
      <c r="K21" s="635"/>
      <c r="L21" s="635"/>
      <c r="M21" s="635"/>
    </row>
    <row r="22" spans="1:13" x14ac:dyDescent="0.3">
      <c r="A22" s="635"/>
      <c r="B22" s="635"/>
      <c r="C22" s="635" t="s">
        <v>127</v>
      </c>
      <c r="D22" s="635" t="s">
        <v>128</v>
      </c>
      <c r="E22" s="635"/>
      <c r="F22" s="635"/>
      <c r="G22" s="636">
        <v>2.6</v>
      </c>
      <c r="H22" s="637">
        <v>72</v>
      </c>
      <c r="I22" s="637">
        <v>4950</v>
      </c>
      <c r="J22" s="638">
        <v>1.5</v>
      </c>
      <c r="K22" s="635"/>
      <c r="L22" s="635"/>
      <c r="M22" s="635"/>
    </row>
    <row r="23" spans="1:13" x14ac:dyDescent="0.3">
      <c r="A23" s="635"/>
      <c r="B23" s="635"/>
      <c r="C23" s="635" t="s">
        <v>129</v>
      </c>
      <c r="D23" s="635" t="s">
        <v>130</v>
      </c>
      <c r="E23" s="635"/>
      <c r="F23" s="635"/>
      <c r="G23" s="636">
        <v>2.8</v>
      </c>
      <c r="H23" s="637">
        <v>79</v>
      </c>
      <c r="I23" s="637">
        <v>4540</v>
      </c>
      <c r="J23" s="638">
        <v>1.6</v>
      </c>
      <c r="K23" s="635"/>
      <c r="L23" s="635"/>
      <c r="M23" s="635"/>
    </row>
    <row r="24" spans="1:13" x14ac:dyDescent="0.3">
      <c r="A24" s="635"/>
      <c r="B24" s="635"/>
      <c r="C24" s="635"/>
      <c r="D24" s="635"/>
      <c r="E24" s="635"/>
      <c r="F24" s="635"/>
      <c r="G24" s="636"/>
      <c r="H24" s="637"/>
      <c r="I24" s="637"/>
      <c r="J24" s="638"/>
      <c r="K24" s="635"/>
      <c r="L24" s="635"/>
      <c r="M24" s="635"/>
    </row>
    <row r="25" spans="1:13" x14ac:dyDescent="0.3">
      <c r="A25" s="635"/>
      <c r="B25" s="635" t="s">
        <v>38</v>
      </c>
      <c r="C25" s="635" t="s">
        <v>39</v>
      </c>
      <c r="D25" s="635"/>
      <c r="E25" s="635"/>
      <c r="F25" s="635"/>
      <c r="G25" s="636">
        <v>0.5</v>
      </c>
      <c r="H25" s="637">
        <v>14</v>
      </c>
      <c r="I25" s="637">
        <v>2310</v>
      </c>
      <c r="J25" s="638">
        <v>2.6</v>
      </c>
      <c r="K25" s="635"/>
      <c r="L25" s="635"/>
      <c r="M25" s="635"/>
    </row>
    <row r="26" spans="1:13" x14ac:dyDescent="0.3">
      <c r="A26" s="635"/>
      <c r="B26" s="635"/>
      <c r="C26" s="635"/>
      <c r="D26" s="635"/>
      <c r="E26" s="635"/>
      <c r="F26" s="635"/>
      <c r="G26" s="636"/>
      <c r="H26" s="637"/>
      <c r="I26" s="637"/>
      <c r="J26" s="638"/>
      <c r="K26" s="635"/>
      <c r="L26" s="635"/>
      <c r="M26" s="635"/>
    </row>
    <row r="27" spans="1:13" x14ac:dyDescent="0.3">
      <c r="A27" s="635"/>
      <c r="B27" s="635" t="s">
        <v>40</v>
      </c>
      <c r="C27" s="635" t="s">
        <v>41</v>
      </c>
      <c r="D27" s="635"/>
      <c r="E27" s="635"/>
      <c r="F27" s="635"/>
      <c r="G27" s="636">
        <v>4.0999999999999996</v>
      </c>
      <c r="H27" s="637">
        <v>116</v>
      </c>
      <c r="I27" s="637">
        <v>4850</v>
      </c>
      <c r="J27" s="638">
        <v>1.8</v>
      </c>
      <c r="K27" s="635"/>
      <c r="L27" s="635"/>
      <c r="M27" s="635"/>
    </row>
    <row r="28" spans="1:13" x14ac:dyDescent="0.3">
      <c r="A28" s="635"/>
      <c r="B28" s="635"/>
      <c r="C28" s="635" t="s">
        <v>131</v>
      </c>
      <c r="D28" s="635" t="s">
        <v>132</v>
      </c>
      <c r="E28" s="635"/>
      <c r="F28" s="635"/>
      <c r="G28" s="636">
        <v>2.5</v>
      </c>
      <c r="H28" s="637">
        <v>69</v>
      </c>
      <c r="I28" s="637">
        <v>4580</v>
      </c>
      <c r="J28" s="638">
        <v>1.6</v>
      </c>
      <c r="K28" s="635"/>
      <c r="L28" s="635"/>
      <c r="M28" s="635"/>
    </row>
    <row r="29" spans="1:13" x14ac:dyDescent="0.3">
      <c r="A29" s="635"/>
      <c r="B29" s="635"/>
      <c r="C29" s="635" t="s">
        <v>133</v>
      </c>
      <c r="D29" s="635" t="s">
        <v>134</v>
      </c>
      <c r="E29" s="635"/>
      <c r="F29" s="635"/>
      <c r="G29" s="636">
        <v>1.7</v>
      </c>
      <c r="H29" s="637">
        <v>47</v>
      </c>
      <c r="I29" s="637">
        <v>3370</v>
      </c>
      <c r="J29" s="638">
        <v>3.1</v>
      </c>
      <c r="K29" s="635"/>
      <c r="L29" s="635"/>
      <c r="M29" s="635"/>
    </row>
    <row r="30" spans="1:13" x14ac:dyDescent="0.3">
      <c r="A30" s="635"/>
      <c r="B30" s="635"/>
      <c r="C30" s="635"/>
      <c r="D30" s="635"/>
      <c r="E30" s="635"/>
      <c r="F30" s="635"/>
      <c r="G30" s="636"/>
      <c r="H30" s="637"/>
      <c r="I30" s="637"/>
      <c r="J30" s="638"/>
      <c r="K30" s="635"/>
      <c r="L30" s="635"/>
      <c r="M30" s="635"/>
    </row>
    <row r="31" spans="1:13" x14ac:dyDescent="0.3">
      <c r="A31" s="635"/>
      <c r="B31" s="635" t="s">
        <v>42</v>
      </c>
      <c r="C31" s="635" t="s">
        <v>43</v>
      </c>
      <c r="D31" s="635"/>
      <c r="E31" s="635"/>
      <c r="F31" s="635"/>
      <c r="G31" s="636">
        <v>1</v>
      </c>
      <c r="H31" s="637">
        <v>28</v>
      </c>
      <c r="I31" s="637">
        <v>2240</v>
      </c>
      <c r="J31" s="638">
        <v>2.5</v>
      </c>
      <c r="K31" s="635"/>
      <c r="L31" s="635"/>
      <c r="M31" s="635"/>
    </row>
    <row r="32" spans="1:13" x14ac:dyDescent="0.3">
      <c r="A32" s="635"/>
      <c r="B32" s="635" t="s">
        <v>44</v>
      </c>
      <c r="C32" s="635" t="s">
        <v>45</v>
      </c>
      <c r="D32" s="635"/>
      <c r="E32" s="635"/>
      <c r="F32" s="635"/>
      <c r="G32" s="636">
        <v>2.2999999999999998</v>
      </c>
      <c r="H32" s="637">
        <v>64</v>
      </c>
      <c r="I32" s="637">
        <v>2540</v>
      </c>
      <c r="J32" s="638">
        <v>3.2</v>
      </c>
      <c r="K32" s="635"/>
      <c r="L32" s="635"/>
      <c r="M32" s="635"/>
    </row>
    <row r="33" spans="1:13" x14ac:dyDescent="0.3">
      <c r="A33" s="635"/>
      <c r="B33" s="635" t="s">
        <v>46</v>
      </c>
      <c r="C33" s="635" t="s">
        <v>47</v>
      </c>
      <c r="D33" s="635"/>
      <c r="E33" s="635"/>
      <c r="F33" s="635"/>
      <c r="G33" s="636">
        <v>0.6</v>
      </c>
      <c r="H33" s="637">
        <v>18</v>
      </c>
      <c r="I33" s="637">
        <v>1190</v>
      </c>
      <c r="J33" s="638">
        <v>4.7</v>
      </c>
      <c r="K33" s="635"/>
      <c r="L33" s="635"/>
      <c r="M33" s="635"/>
    </row>
    <row r="34" spans="1:13" x14ac:dyDescent="0.3">
      <c r="A34" s="635"/>
      <c r="B34" s="635" t="s">
        <v>48</v>
      </c>
      <c r="C34" s="635" t="s">
        <v>49</v>
      </c>
      <c r="D34" s="635"/>
      <c r="E34" s="635"/>
      <c r="F34" s="635"/>
      <c r="G34" s="636">
        <v>0.7</v>
      </c>
      <c r="H34" s="637">
        <v>21</v>
      </c>
      <c r="I34" s="637">
        <v>730</v>
      </c>
      <c r="J34" s="638">
        <v>7</v>
      </c>
      <c r="K34" s="635"/>
      <c r="L34" s="635"/>
      <c r="M34" s="635"/>
    </row>
    <row r="35" spans="1:13" x14ac:dyDescent="0.3">
      <c r="A35" s="635"/>
      <c r="B35" s="635" t="s">
        <v>50</v>
      </c>
      <c r="C35" s="635" t="s">
        <v>51</v>
      </c>
      <c r="D35" s="635"/>
      <c r="E35" s="635"/>
      <c r="F35" s="635"/>
      <c r="G35" s="636">
        <v>2.5</v>
      </c>
      <c r="H35" s="637">
        <v>70</v>
      </c>
      <c r="I35" s="637">
        <v>3020</v>
      </c>
      <c r="J35" s="638">
        <v>2.4</v>
      </c>
      <c r="K35" s="635"/>
      <c r="L35" s="635"/>
      <c r="M35" s="635"/>
    </row>
    <row r="36" spans="1:13" x14ac:dyDescent="0.3">
      <c r="A36" s="635"/>
      <c r="B36" s="635" t="s">
        <v>52</v>
      </c>
      <c r="C36" s="635" t="s">
        <v>53</v>
      </c>
      <c r="D36" s="635"/>
      <c r="E36" s="635"/>
      <c r="F36" s="635"/>
      <c r="G36" s="636">
        <v>0.9</v>
      </c>
      <c r="H36" s="637">
        <v>26</v>
      </c>
      <c r="I36" s="637">
        <v>2420</v>
      </c>
      <c r="J36" s="638">
        <v>2.8</v>
      </c>
      <c r="K36" s="635"/>
      <c r="L36" s="635"/>
      <c r="M36" s="635"/>
    </row>
    <row r="37" spans="1:13" x14ac:dyDescent="0.3">
      <c r="A37" s="635"/>
      <c r="B37" s="635"/>
      <c r="C37" s="635"/>
      <c r="D37" s="635"/>
      <c r="E37" s="635"/>
      <c r="F37" s="635"/>
      <c r="G37" s="636"/>
      <c r="H37" s="637"/>
      <c r="I37" s="637"/>
      <c r="J37" s="638"/>
      <c r="K37" s="635"/>
      <c r="L37" s="635"/>
      <c r="M37" s="635"/>
    </row>
    <row r="38" spans="1:13" x14ac:dyDescent="0.3">
      <c r="A38" s="635"/>
      <c r="B38" s="635" t="s">
        <v>54</v>
      </c>
      <c r="C38" s="635" t="s">
        <v>55</v>
      </c>
      <c r="D38" s="635"/>
      <c r="E38" s="635"/>
      <c r="F38" s="635"/>
      <c r="G38" s="636">
        <v>7.1</v>
      </c>
      <c r="H38" s="637">
        <v>201</v>
      </c>
      <c r="I38" s="637">
        <v>4760</v>
      </c>
      <c r="J38" s="638">
        <v>1.6</v>
      </c>
      <c r="K38" s="635"/>
      <c r="L38" s="635"/>
      <c r="M38" s="635"/>
    </row>
    <row r="39" spans="1:13" x14ac:dyDescent="0.3">
      <c r="A39" s="635"/>
      <c r="B39" s="635"/>
      <c r="C39" s="635" t="s">
        <v>135</v>
      </c>
      <c r="D39" s="635" t="s">
        <v>136</v>
      </c>
      <c r="E39" s="635"/>
      <c r="F39" s="635"/>
      <c r="G39" s="636">
        <v>1.1000000000000001</v>
      </c>
      <c r="H39" s="637">
        <v>30</v>
      </c>
      <c r="I39" s="637">
        <v>2590</v>
      </c>
      <c r="J39" s="638">
        <v>2.7</v>
      </c>
      <c r="K39" s="635"/>
      <c r="L39" s="635"/>
      <c r="M39" s="635"/>
    </row>
    <row r="40" spans="1:13" x14ac:dyDescent="0.3">
      <c r="A40" s="635"/>
      <c r="B40" s="635"/>
      <c r="C40" s="635" t="s">
        <v>137</v>
      </c>
      <c r="D40" s="635" t="s">
        <v>138</v>
      </c>
      <c r="E40" s="635"/>
      <c r="F40" s="635"/>
      <c r="G40" s="636">
        <v>0.1</v>
      </c>
      <c r="H40" s="637">
        <v>3</v>
      </c>
      <c r="I40" s="637">
        <v>620</v>
      </c>
      <c r="J40" s="638">
        <v>6.7</v>
      </c>
      <c r="K40" s="635"/>
      <c r="L40" s="635"/>
      <c r="M40" s="635"/>
    </row>
    <row r="41" spans="1:13" x14ac:dyDescent="0.3">
      <c r="A41" s="635"/>
      <c r="B41" s="635"/>
      <c r="C41" s="635" t="s">
        <v>139</v>
      </c>
      <c r="D41" s="635" t="s">
        <v>140</v>
      </c>
      <c r="E41" s="635"/>
      <c r="F41" s="635"/>
      <c r="G41" s="636">
        <v>5.9</v>
      </c>
      <c r="H41" s="637">
        <v>167</v>
      </c>
      <c r="I41" s="637">
        <v>4550</v>
      </c>
      <c r="J41" s="638">
        <v>1.8</v>
      </c>
      <c r="K41" s="635"/>
      <c r="L41" s="635"/>
      <c r="M41" s="635"/>
    </row>
    <row r="42" spans="1:13" x14ac:dyDescent="0.3">
      <c r="A42" s="635"/>
      <c r="B42" s="635"/>
      <c r="C42" s="635" t="s">
        <v>141</v>
      </c>
      <c r="D42" s="635" t="s">
        <v>142</v>
      </c>
      <c r="E42" s="635"/>
      <c r="F42" s="635"/>
      <c r="G42" s="636">
        <v>0</v>
      </c>
      <c r="H42" s="637">
        <v>1</v>
      </c>
      <c r="I42" s="637">
        <v>30</v>
      </c>
      <c r="J42" s="638">
        <v>29</v>
      </c>
      <c r="K42" s="635"/>
      <c r="L42" s="635"/>
      <c r="M42" s="635"/>
    </row>
    <row r="43" spans="1:13" x14ac:dyDescent="0.3">
      <c r="A43" s="635"/>
      <c r="B43" s="635"/>
      <c r="C43" s="635"/>
      <c r="D43" s="635"/>
      <c r="E43" s="635"/>
      <c r="F43" s="635"/>
      <c r="G43" s="636"/>
      <c r="H43" s="637"/>
      <c r="I43" s="637"/>
      <c r="J43" s="638"/>
      <c r="K43" s="635"/>
      <c r="L43" s="635"/>
      <c r="M43" s="635"/>
    </row>
    <row r="44" spans="1:13" x14ac:dyDescent="0.3">
      <c r="A44" s="635"/>
      <c r="B44" s="635" t="s">
        <v>56</v>
      </c>
      <c r="C44" s="635" t="s">
        <v>57</v>
      </c>
      <c r="D44" s="635"/>
      <c r="E44" s="635"/>
      <c r="F44" s="635"/>
      <c r="G44" s="636">
        <v>3.5</v>
      </c>
      <c r="H44" s="637">
        <v>98</v>
      </c>
      <c r="I44" s="637">
        <v>3680</v>
      </c>
      <c r="J44" s="638">
        <v>2.2999999999999998</v>
      </c>
      <c r="K44" s="635"/>
      <c r="L44" s="635"/>
      <c r="M44" s="635"/>
    </row>
    <row r="45" spans="1:13" x14ac:dyDescent="0.3">
      <c r="A45" s="635"/>
      <c r="B45" s="635"/>
      <c r="C45" s="635" t="s">
        <v>143</v>
      </c>
      <c r="D45" s="635" t="s">
        <v>144</v>
      </c>
      <c r="E45" s="635"/>
      <c r="F45" s="635"/>
      <c r="G45" s="636">
        <v>1.2</v>
      </c>
      <c r="H45" s="637">
        <v>34</v>
      </c>
      <c r="I45" s="637">
        <v>1510</v>
      </c>
      <c r="J45" s="638">
        <v>4.0999999999999996</v>
      </c>
      <c r="K45" s="635"/>
      <c r="L45" s="635"/>
      <c r="M45" s="635"/>
    </row>
    <row r="46" spans="1:13" x14ac:dyDescent="0.3">
      <c r="A46" s="635"/>
      <c r="B46" s="635"/>
      <c r="C46" s="635" t="s">
        <v>145</v>
      </c>
      <c r="D46" s="635" t="s">
        <v>146</v>
      </c>
      <c r="E46" s="635"/>
      <c r="F46" s="635"/>
      <c r="G46" s="636">
        <v>0.8</v>
      </c>
      <c r="H46" s="637">
        <v>22</v>
      </c>
      <c r="I46" s="637">
        <v>1390</v>
      </c>
      <c r="J46" s="638">
        <v>4.0999999999999996</v>
      </c>
      <c r="K46" s="635"/>
      <c r="L46" s="635"/>
      <c r="M46" s="635"/>
    </row>
    <row r="47" spans="1:13" x14ac:dyDescent="0.3">
      <c r="A47" s="635"/>
      <c r="B47" s="635"/>
      <c r="C47" s="635" t="s">
        <v>147</v>
      </c>
      <c r="D47" s="635" t="s">
        <v>148</v>
      </c>
      <c r="E47" s="635"/>
      <c r="F47" s="635"/>
      <c r="G47" s="636">
        <v>1.5</v>
      </c>
      <c r="H47" s="637">
        <v>42</v>
      </c>
      <c r="I47" s="637">
        <v>2900</v>
      </c>
      <c r="J47" s="638">
        <v>2.1</v>
      </c>
      <c r="K47" s="635"/>
      <c r="L47" s="635"/>
      <c r="M47" s="635"/>
    </row>
    <row r="48" spans="1:13" x14ac:dyDescent="0.3">
      <c r="A48" s="635"/>
      <c r="B48" s="635"/>
      <c r="C48" s="635"/>
      <c r="D48" s="635"/>
      <c r="E48" s="635"/>
      <c r="F48" s="635"/>
      <c r="G48" s="636"/>
      <c r="H48" s="637"/>
      <c r="I48" s="637"/>
      <c r="J48" s="638"/>
      <c r="K48" s="635"/>
      <c r="L48" s="635"/>
      <c r="M48" s="635"/>
    </row>
    <row r="49" spans="1:13" x14ac:dyDescent="0.3">
      <c r="A49" s="635"/>
      <c r="B49" s="635" t="s">
        <v>58</v>
      </c>
      <c r="C49" s="635" t="s">
        <v>59</v>
      </c>
      <c r="D49" s="635"/>
      <c r="E49" s="635"/>
      <c r="F49" s="635"/>
      <c r="G49" s="636">
        <v>2.2000000000000002</v>
      </c>
      <c r="H49" s="637">
        <v>61</v>
      </c>
      <c r="I49" s="637">
        <v>4730</v>
      </c>
      <c r="J49" s="638">
        <v>1.9</v>
      </c>
      <c r="K49" s="635"/>
      <c r="L49" s="635"/>
      <c r="M49" s="635"/>
    </row>
    <row r="50" spans="1:13" x14ac:dyDescent="0.3">
      <c r="A50" s="635"/>
      <c r="B50" s="635"/>
      <c r="C50" s="635" t="s">
        <v>149</v>
      </c>
      <c r="D50" s="635" t="s">
        <v>150</v>
      </c>
      <c r="E50" s="635"/>
      <c r="F50" s="635"/>
      <c r="G50" s="636">
        <v>0.4</v>
      </c>
      <c r="H50" s="637">
        <v>12</v>
      </c>
      <c r="I50" s="637">
        <v>1310</v>
      </c>
      <c r="J50" s="638">
        <v>4.0999999999999996</v>
      </c>
      <c r="K50" s="635"/>
      <c r="L50" s="635"/>
      <c r="M50" s="635"/>
    </row>
    <row r="51" spans="1:13" x14ac:dyDescent="0.3">
      <c r="A51" s="635"/>
      <c r="B51" s="635"/>
      <c r="C51" s="635" t="s">
        <v>151</v>
      </c>
      <c r="D51" s="635" t="s">
        <v>152</v>
      </c>
      <c r="E51" s="635"/>
      <c r="F51" s="635"/>
      <c r="G51" s="636">
        <v>1.5</v>
      </c>
      <c r="H51" s="637">
        <v>43</v>
      </c>
      <c r="I51" s="637">
        <v>4040</v>
      </c>
      <c r="J51" s="638">
        <v>2.2000000000000002</v>
      </c>
      <c r="K51" s="635"/>
      <c r="L51" s="635"/>
      <c r="M51" s="635"/>
    </row>
    <row r="52" spans="1:13" x14ac:dyDescent="0.3">
      <c r="A52" s="635"/>
      <c r="B52" s="635"/>
      <c r="C52" s="635" t="s">
        <v>153</v>
      </c>
      <c r="D52" s="635" t="s">
        <v>154</v>
      </c>
      <c r="E52" s="635"/>
      <c r="F52" s="635"/>
      <c r="G52" s="636">
        <v>0.2</v>
      </c>
      <c r="H52" s="637">
        <v>6</v>
      </c>
      <c r="I52" s="637">
        <v>300</v>
      </c>
      <c r="J52" s="638">
        <v>11.6</v>
      </c>
      <c r="K52" s="635"/>
      <c r="L52" s="635"/>
      <c r="M52" s="635"/>
    </row>
    <row r="53" spans="1:13" x14ac:dyDescent="0.3">
      <c r="A53" s="635"/>
      <c r="B53" s="635"/>
      <c r="C53" s="635"/>
      <c r="D53" s="635"/>
      <c r="E53" s="635"/>
      <c r="F53" s="635"/>
      <c r="G53" s="636"/>
      <c r="H53" s="637"/>
      <c r="I53" s="637"/>
      <c r="J53" s="638"/>
      <c r="K53" s="635"/>
      <c r="L53" s="635"/>
      <c r="M53" s="635"/>
    </row>
    <row r="54" spans="1:13" x14ac:dyDescent="0.3">
      <c r="A54" s="635"/>
      <c r="B54" s="635" t="s">
        <v>60</v>
      </c>
      <c r="C54" s="635" t="s">
        <v>61</v>
      </c>
      <c r="D54" s="635"/>
      <c r="E54" s="635"/>
      <c r="F54" s="635"/>
      <c r="G54" s="636">
        <v>2.4</v>
      </c>
      <c r="H54" s="637">
        <v>69</v>
      </c>
      <c r="I54" s="637">
        <v>4190</v>
      </c>
      <c r="J54" s="638">
        <v>1.8</v>
      </c>
      <c r="K54" s="635"/>
      <c r="L54" s="635"/>
      <c r="M54" s="635"/>
    </row>
    <row r="55" spans="1:13" x14ac:dyDescent="0.3">
      <c r="A55" s="635"/>
      <c r="B55" s="635" t="s">
        <v>62</v>
      </c>
      <c r="C55" s="635" t="s">
        <v>63</v>
      </c>
      <c r="D55" s="635"/>
      <c r="E55" s="635"/>
      <c r="F55" s="635"/>
      <c r="G55" s="636">
        <v>0.8</v>
      </c>
      <c r="H55" s="637">
        <v>23</v>
      </c>
      <c r="I55" s="637">
        <v>3350</v>
      </c>
      <c r="J55" s="638">
        <v>2.1</v>
      </c>
      <c r="K55" s="635"/>
      <c r="L55" s="635"/>
      <c r="M55" s="635"/>
    </row>
    <row r="56" spans="1:13" x14ac:dyDescent="0.3">
      <c r="A56" s="635"/>
      <c r="B56" s="635"/>
      <c r="C56" s="635"/>
      <c r="D56" s="635"/>
      <c r="E56" s="635"/>
      <c r="F56" s="635"/>
      <c r="G56" s="636"/>
      <c r="H56" s="637"/>
      <c r="I56" s="637"/>
      <c r="J56" s="638"/>
      <c r="K56" s="635"/>
      <c r="L56" s="635"/>
      <c r="M56" s="635"/>
    </row>
    <row r="57" spans="1:13" x14ac:dyDescent="0.3">
      <c r="A57" s="635"/>
      <c r="B57" s="635" t="s">
        <v>64</v>
      </c>
      <c r="C57" s="635" t="s">
        <v>65</v>
      </c>
      <c r="D57" s="635"/>
      <c r="E57" s="635"/>
      <c r="F57" s="635"/>
      <c r="G57" s="636">
        <v>2.5</v>
      </c>
      <c r="H57" s="637">
        <v>72</v>
      </c>
      <c r="I57" s="637">
        <v>4390</v>
      </c>
      <c r="J57" s="638">
        <v>1.8</v>
      </c>
      <c r="K57" s="635"/>
      <c r="L57" s="635"/>
      <c r="M57" s="635"/>
    </row>
    <row r="58" spans="1:13" x14ac:dyDescent="0.3">
      <c r="A58" s="635"/>
      <c r="B58" s="635"/>
      <c r="C58" s="635" t="s">
        <v>155</v>
      </c>
      <c r="D58" s="635" t="s">
        <v>65</v>
      </c>
      <c r="E58" s="635"/>
      <c r="F58" s="635"/>
      <c r="G58" s="636">
        <v>1.3</v>
      </c>
      <c r="H58" s="637">
        <v>38</v>
      </c>
      <c r="I58" s="637">
        <v>3410</v>
      </c>
      <c r="J58" s="638">
        <v>2.5</v>
      </c>
      <c r="K58" s="635"/>
      <c r="L58" s="635"/>
      <c r="M58" s="635"/>
    </row>
    <row r="59" spans="1:13" x14ac:dyDescent="0.3">
      <c r="A59" s="635"/>
      <c r="B59" s="635"/>
      <c r="C59" s="635" t="s">
        <v>156</v>
      </c>
      <c r="D59" s="635" t="s">
        <v>157</v>
      </c>
      <c r="E59" s="635"/>
      <c r="F59" s="635"/>
      <c r="G59" s="636">
        <v>1.2</v>
      </c>
      <c r="H59" s="637">
        <v>34</v>
      </c>
      <c r="I59" s="637">
        <v>3230</v>
      </c>
      <c r="J59" s="638">
        <v>2.1</v>
      </c>
      <c r="K59" s="635"/>
      <c r="L59" s="635"/>
      <c r="M59" s="635"/>
    </row>
    <row r="60" spans="1:13" x14ac:dyDescent="0.3">
      <c r="A60" s="635"/>
      <c r="B60" s="635"/>
      <c r="C60" s="635"/>
      <c r="D60" s="635"/>
      <c r="E60" s="635"/>
      <c r="F60" s="635"/>
      <c r="G60" s="636"/>
      <c r="H60" s="637"/>
      <c r="I60" s="637"/>
      <c r="J60" s="638"/>
      <c r="K60" s="635"/>
      <c r="L60" s="635"/>
      <c r="M60" s="635"/>
    </row>
    <row r="61" spans="1:13" x14ac:dyDescent="0.3">
      <c r="A61" s="635"/>
      <c r="B61" s="635" t="s">
        <v>66</v>
      </c>
      <c r="C61" s="635" t="s">
        <v>67</v>
      </c>
      <c r="D61" s="635"/>
      <c r="E61" s="635"/>
      <c r="F61" s="635"/>
      <c r="G61" s="636">
        <v>0.6</v>
      </c>
      <c r="H61" s="637">
        <v>16</v>
      </c>
      <c r="I61" s="637">
        <v>1750</v>
      </c>
      <c r="J61" s="638">
        <v>3.1</v>
      </c>
      <c r="K61" s="635"/>
      <c r="L61" s="635"/>
      <c r="M61" s="635"/>
    </row>
    <row r="62" spans="1:13" x14ac:dyDescent="0.3">
      <c r="A62" s="635"/>
      <c r="B62" s="635" t="s">
        <v>68</v>
      </c>
      <c r="C62" s="635" t="s">
        <v>69</v>
      </c>
      <c r="D62" s="635"/>
      <c r="E62" s="635"/>
      <c r="F62" s="635"/>
      <c r="G62" s="636">
        <v>0.7</v>
      </c>
      <c r="H62" s="637">
        <v>20</v>
      </c>
      <c r="I62" s="637">
        <v>2490</v>
      </c>
      <c r="J62" s="638">
        <v>2.5</v>
      </c>
      <c r="K62" s="635"/>
      <c r="L62" s="635"/>
      <c r="M62" s="635"/>
    </row>
    <row r="63" spans="1:13" x14ac:dyDescent="0.3">
      <c r="A63" s="635"/>
      <c r="B63" s="635"/>
      <c r="C63" s="635"/>
      <c r="D63" s="635"/>
      <c r="E63" s="635"/>
      <c r="F63" s="635"/>
      <c r="G63" s="636"/>
      <c r="H63" s="637"/>
      <c r="I63" s="637"/>
      <c r="J63" s="638"/>
      <c r="K63" s="635"/>
      <c r="L63" s="635"/>
      <c r="M63" s="635"/>
    </row>
    <row r="64" spans="1:13" x14ac:dyDescent="0.3">
      <c r="A64" s="635"/>
      <c r="B64" s="635" t="s">
        <v>70</v>
      </c>
      <c r="C64" s="635" t="s">
        <v>71</v>
      </c>
      <c r="D64" s="635"/>
      <c r="E64" s="635"/>
      <c r="F64" s="635"/>
      <c r="G64" s="636">
        <v>0.4</v>
      </c>
      <c r="H64" s="637">
        <v>12</v>
      </c>
      <c r="I64" s="637">
        <v>1360</v>
      </c>
      <c r="J64" s="638">
        <v>4.0999999999999996</v>
      </c>
      <c r="K64" s="635"/>
      <c r="L64" s="635"/>
      <c r="M64" s="635"/>
    </row>
    <row r="65" spans="1:13" x14ac:dyDescent="0.3">
      <c r="A65" s="635"/>
      <c r="B65" s="635"/>
      <c r="C65" s="635" t="s">
        <v>158</v>
      </c>
      <c r="D65" s="635" t="s">
        <v>159</v>
      </c>
      <c r="E65" s="635"/>
      <c r="F65" s="635"/>
      <c r="G65" s="636">
        <v>0.2</v>
      </c>
      <c r="H65" s="637">
        <v>6</v>
      </c>
      <c r="I65" s="637">
        <v>530</v>
      </c>
      <c r="J65" s="638">
        <v>6.6</v>
      </c>
      <c r="K65" s="635"/>
      <c r="L65" s="635"/>
      <c r="M65" s="635"/>
    </row>
    <row r="66" spans="1:13" x14ac:dyDescent="0.3">
      <c r="A66" s="635"/>
      <c r="B66" s="635"/>
      <c r="C66" s="635" t="s">
        <v>160</v>
      </c>
      <c r="D66" s="635" t="s">
        <v>161</v>
      </c>
      <c r="E66" s="635"/>
      <c r="F66" s="635"/>
      <c r="G66" s="636">
        <v>0.2</v>
      </c>
      <c r="H66" s="637">
        <v>6</v>
      </c>
      <c r="I66" s="637">
        <v>970</v>
      </c>
      <c r="J66" s="638">
        <v>4.8</v>
      </c>
      <c r="K66" s="635"/>
      <c r="L66" s="635"/>
      <c r="M66" s="635"/>
    </row>
    <row r="67" spans="1:13" x14ac:dyDescent="0.3">
      <c r="A67" s="635"/>
      <c r="B67" s="635"/>
      <c r="C67" s="635"/>
      <c r="D67" s="635"/>
      <c r="E67" s="635"/>
      <c r="F67" s="635"/>
      <c r="G67" s="636"/>
      <c r="H67" s="637"/>
      <c r="I67" s="637"/>
      <c r="J67" s="638"/>
      <c r="K67" s="635"/>
      <c r="L67" s="635"/>
      <c r="M67" s="635"/>
    </row>
    <row r="68" spans="1:13" x14ac:dyDescent="0.3">
      <c r="A68" s="635"/>
      <c r="B68" s="635" t="s">
        <v>72</v>
      </c>
      <c r="C68" s="635" t="s">
        <v>73</v>
      </c>
      <c r="D68" s="635"/>
      <c r="E68" s="635"/>
      <c r="F68" s="635"/>
      <c r="G68" s="636">
        <v>4.4000000000000004</v>
      </c>
      <c r="H68" s="637">
        <v>124</v>
      </c>
      <c r="I68" s="637">
        <v>4740</v>
      </c>
      <c r="J68" s="638">
        <v>1.7</v>
      </c>
      <c r="K68" s="635"/>
      <c r="L68" s="635"/>
      <c r="M68" s="635"/>
    </row>
    <row r="69" spans="1:13" x14ac:dyDescent="0.3">
      <c r="A69" s="635"/>
      <c r="B69" s="635"/>
      <c r="C69" s="635" t="s">
        <v>162</v>
      </c>
      <c r="D69" s="635" t="s">
        <v>163</v>
      </c>
      <c r="E69" s="635"/>
      <c r="F69" s="635"/>
      <c r="G69" s="636">
        <v>0.7</v>
      </c>
      <c r="H69" s="637">
        <v>20</v>
      </c>
      <c r="I69" s="637">
        <v>2830</v>
      </c>
      <c r="J69" s="638">
        <v>3.2</v>
      </c>
      <c r="K69" s="635"/>
      <c r="L69" s="635"/>
      <c r="M69" s="635"/>
    </row>
    <row r="70" spans="1:13" x14ac:dyDescent="0.3">
      <c r="A70" s="635"/>
      <c r="B70" s="635"/>
      <c r="C70" s="635" t="s">
        <v>164</v>
      </c>
      <c r="D70" s="635" t="s">
        <v>165</v>
      </c>
      <c r="E70" s="635"/>
      <c r="F70" s="635"/>
      <c r="G70" s="636">
        <v>0.5</v>
      </c>
      <c r="H70" s="637">
        <v>14</v>
      </c>
      <c r="I70" s="637">
        <v>3370</v>
      </c>
      <c r="J70" s="638">
        <v>2.6</v>
      </c>
      <c r="K70" s="635"/>
      <c r="L70" s="635"/>
      <c r="M70" s="635"/>
    </row>
    <row r="71" spans="1:13" x14ac:dyDescent="0.3">
      <c r="A71" s="635"/>
      <c r="B71" s="635"/>
      <c r="C71" s="635" t="s">
        <v>166</v>
      </c>
      <c r="D71" s="635" t="s">
        <v>167</v>
      </c>
      <c r="E71" s="635"/>
      <c r="F71" s="635"/>
      <c r="G71" s="636">
        <v>0.6</v>
      </c>
      <c r="H71" s="637">
        <v>18</v>
      </c>
      <c r="I71" s="637">
        <v>2450</v>
      </c>
      <c r="J71" s="638">
        <v>2.6</v>
      </c>
      <c r="K71" s="635"/>
      <c r="L71" s="635"/>
      <c r="M71" s="635"/>
    </row>
    <row r="72" spans="1:13" x14ac:dyDescent="0.3">
      <c r="A72" s="635"/>
      <c r="B72" s="635"/>
      <c r="C72" s="635" t="s">
        <v>168</v>
      </c>
      <c r="D72" s="635" t="s">
        <v>169</v>
      </c>
      <c r="E72" s="635"/>
      <c r="F72" s="635"/>
      <c r="G72" s="636">
        <v>0.2</v>
      </c>
      <c r="H72" s="637">
        <v>4</v>
      </c>
      <c r="I72" s="637">
        <v>910</v>
      </c>
      <c r="J72" s="638">
        <v>4.0999999999999996</v>
      </c>
      <c r="K72" s="635"/>
      <c r="L72" s="635"/>
      <c r="M72" s="635"/>
    </row>
    <row r="73" spans="1:13" x14ac:dyDescent="0.3">
      <c r="A73" s="635"/>
      <c r="B73" s="635"/>
      <c r="C73" s="635" t="s">
        <v>170</v>
      </c>
      <c r="D73" s="635" t="s">
        <v>171</v>
      </c>
      <c r="E73" s="635"/>
      <c r="F73" s="635" t="s">
        <v>124</v>
      </c>
      <c r="G73" s="636">
        <v>0.6</v>
      </c>
      <c r="H73" s="637">
        <v>18</v>
      </c>
      <c r="I73" s="637">
        <v>2040</v>
      </c>
      <c r="J73" s="638">
        <v>3.2</v>
      </c>
      <c r="K73" s="635"/>
      <c r="L73" s="635"/>
      <c r="M73" s="635"/>
    </row>
    <row r="74" spans="1:13" x14ac:dyDescent="0.3">
      <c r="A74" s="635"/>
      <c r="B74" s="635"/>
      <c r="C74" s="635" t="s">
        <v>172</v>
      </c>
      <c r="D74" s="635" t="s">
        <v>173</v>
      </c>
      <c r="E74" s="635"/>
      <c r="F74" s="635" t="s">
        <v>124</v>
      </c>
      <c r="G74" s="636">
        <v>1.7</v>
      </c>
      <c r="H74" s="637">
        <v>49</v>
      </c>
      <c r="I74" s="637">
        <v>3320</v>
      </c>
      <c r="J74" s="638">
        <v>1.9</v>
      </c>
      <c r="K74" s="635"/>
      <c r="L74" s="635"/>
      <c r="M74" s="635"/>
    </row>
    <row r="75" spans="1:13" x14ac:dyDescent="0.3">
      <c r="A75" s="635"/>
      <c r="B75" s="635"/>
      <c r="C75" s="635"/>
      <c r="D75" s="635"/>
      <c r="E75" s="635"/>
      <c r="F75" s="635"/>
      <c r="G75" s="636"/>
      <c r="H75" s="637"/>
      <c r="I75" s="637"/>
      <c r="J75" s="638"/>
      <c r="K75" s="635"/>
      <c r="L75" s="635"/>
      <c r="M75" s="635"/>
    </row>
    <row r="76" spans="1:13" x14ac:dyDescent="0.3">
      <c r="A76" s="635"/>
      <c r="B76" s="635" t="s">
        <v>74</v>
      </c>
      <c r="C76" s="635" t="s">
        <v>75</v>
      </c>
      <c r="D76" s="635"/>
      <c r="E76" s="635"/>
      <c r="F76" s="635"/>
      <c r="G76" s="636">
        <v>0.5</v>
      </c>
      <c r="H76" s="637">
        <v>15</v>
      </c>
      <c r="I76" s="637">
        <v>1880</v>
      </c>
      <c r="J76" s="638">
        <v>3.2</v>
      </c>
      <c r="K76" s="635"/>
      <c r="L76" s="635"/>
      <c r="M76" s="635"/>
    </row>
    <row r="77" spans="1:13" x14ac:dyDescent="0.3">
      <c r="A77" s="635"/>
      <c r="B77" s="635" t="s">
        <v>76</v>
      </c>
      <c r="C77" s="635" t="s">
        <v>77</v>
      </c>
      <c r="D77" s="635"/>
      <c r="E77" s="635"/>
      <c r="F77" s="635"/>
      <c r="G77" s="636">
        <v>1</v>
      </c>
      <c r="H77" s="637">
        <v>29</v>
      </c>
      <c r="I77" s="637">
        <v>2240</v>
      </c>
      <c r="J77" s="638">
        <v>3.7</v>
      </c>
      <c r="K77" s="635"/>
      <c r="L77" s="635"/>
      <c r="M77" s="635"/>
    </row>
    <row r="78" spans="1:13" x14ac:dyDescent="0.3">
      <c r="A78" s="635"/>
      <c r="B78" s="635" t="s">
        <v>78</v>
      </c>
      <c r="C78" s="635" t="s">
        <v>79</v>
      </c>
      <c r="D78" s="635"/>
      <c r="E78" s="635"/>
      <c r="F78" s="635"/>
      <c r="G78" s="636">
        <v>0.2</v>
      </c>
      <c r="H78" s="637">
        <v>5</v>
      </c>
      <c r="I78" s="637">
        <v>920</v>
      </c>
      <c r="J78" s="638">
        <v>4.7</v>
      </c>
      <c r="K78" s="635"/>
      <c r="L78" s="635"/>
      <c r="M78" s="635"/>
    </row>
    <row r="79" spans="1:13" x14ac:dyDescent="0.3">
      <c r="A79" s="635"/>
      <c r="B79" s="635"/>
      <c r="C79" s="635"/>
      <c r="D79" s="635"/>
      <c r="E79" s="635"/>
      <c r="F79" s="635"/>
      <c r="G79" s="636"/>
      <c r="H79" s="637"/>
      <c r="I79" s="637"/>
      <c r="J79" s="638"/>
      <c r="K79" s="635"/>
      <c r="L79" s="635"/>
      <c r="M79" s="635"/>
    </row>
    <row r="80" spans="1:13" x14ac:dyDescent="0.3">
      <c r="A80" s="635"/>
      <c r="B80" s="635" t="s">
        <v>80</v>
      </c>
      <c r="C80" s="635" t="s">
        <v>81</v>
      </c>
      <c r="D80" s="635"/>
      <c r="E80" s="635"/>
      <c r="F80" s="635"/>
      <c r="G80" s="636">
        <v>5</v>
      </c>
      <c r="H80" s="637">
        <v>142</v>
      </c>
      <c r="I80" s="637">
        <v>5030</v>
      </c>
      <c r="J80" s="638">
        <v>1.8</v>
      </c>
      <c r="K80" s="635"/>
      <c r="L80" s="635"/>
      <c r="M80" s="635"/>
    </row>
    <row r="81" spans="1:13" x14ac:dyDescent="0.3">
      <c r="A81" s="635"/>
      <c r="B81" s="635"/>
      <c r="C81" s="635" t="s">
        <v>174</v>
      </c>
      <c r="D81" s="635" t="s">
        <v>175</v>
      </c>
      <c r="E81" s="635"/>
      <c r="F81" s="635"/>
      <c r="G81" s="636">
        <v>1.1000000000000001</v>
      </c>
      <c r="H81" s="637">
        <v>31</v>
      </c>
      <c r="I81" s="637">
        <v>3740</v>
      </c>
      <c r="J81" s="638">
        <v>2.4</v>
      </c>
      <c r="K81" s="635"/>
      <c r="L81" s="635"/>
      <c r="M81" s="635"/>
    </row>
    <row r="82" spans="1:13" x14ac:dyDescent="0.3">
      <c r="A82" s="635"/>
      <c r="B82" s="635"/>
      <c r="C82" s="635" t="s">
        <v>176</v>
      </c>
      <c r="D82" s="635" t="s">
        <v>177</v>
      </c>
      <c r="E82" s="635"/>
      <c r="F82" s="635"/>
      <c r="G82" s="636">
        <v>0.5</v>
      </c>
      <c r="H82" s="637">
        <v>13</v>
      </c>
      <c r="I82" s="637">
        <v>2730</v>
      </c>
      <c r="J82" s="638">
        <v>2.8</v>
      </c>
      <c r="K82" s="635"/>
      <c r="L82" s="635"/>
      <c r="M82" s="635"/>
    </row>
    <row r="83" spans="1:13" x14ac:dyDescent="0.3">
      <c r="A83" s="635"/>
      <c r="B83" s="635"/>
      <c r="C83" s="635" t="s">
        <v>178</v>
      </c>
      <c r="D83" s="635" t="s">
        <v>179</v>
      </c>
      <c r="E83" s="635"/>
      <c r="F83" s="635"/>
      <c r="G83" s="636">
        <v>1.8</v>
      </c>
      <c r="H83" s="637">
        <v>50</v>
      </c>
      <c r="I83" s="637">
        <v>4330</v>
      </c>
      <c r="J83" s="638">
        <v>2</v>
      </c>
      <c r="K83" s="635"/>
      <c r="L83" s="635"/>
      <c r="M83" s="635"/>
    </row>
    <row r="84" spans="1:13" x14ac:dyDescent="0.3">
      <c r="A84" s="635"/>
      <c r="B84" s="635"/>
      <c r="C84" s="635" t="s">
        <v>180</v>
      </c>
      <c r="D84" s="635" t="s">
        <v>181</v>
      </c>
      <c r="E84" s="635"/>
      <c r="F84" s="635"/>
      <c r="G84" s="636">
        <v>1.7</v>
      </c>
      <c r="H84" s="637">
        <v>48</v>
      </c>
      <c r="I84" s="637">
        <v>4530</v>
      </c>
      <c r="J84" s="638">
        <v>2.5</v>
      </c>
      <c r="K84" s="635"/>
      <c r="L84" s="635"/>
      <c r="M84" s="635"/>
    </row>
    <row r="85" spans="1:13" x14ac:dyDescent="0.3">
      <c r="A85" s="639"/>
      <c r="B85" s="639"/>
      <c r="C85" s="639"/>
      <c r="D85" s="639"/>
      <c r="E85" s="639"/>
      <c r="F85" s="639"/>
      <c r="G85" s="640"/>
      <c r="H85" s="641"/>
      <c r="I85" s="641"/>
      <c r="J85" s="642"/>
      <c r="K85" s="635"/>
      <c r="L85" s="635"/>
      <c r="M85" s="635"/>
    </row>
    <row r="86" spans="1:13" x14ac:dyDescent="0.3">
      <c r="A86" s="635"/>
      <c r="B86" s="635"/>
      <c r="C86" s="635"/>
      <c r="D86" s="635"/>
      <c r="E86" s="635"/>
      <c r="F86" s="635"/>
      <c r="G86" s="636"/>
      <c r="H86" s="637"/>
      <c r="I86" s="637"/>
      <c r="J86" s="638"/>
      <c r="K86" s="635"/>
      <c r="L86" s="635"/>
      <c r="M86" s="635"/>
    </row>
    <row r="87" spans="1:13" x14ac:dyDescent="0.3">
      <c r="A87" s="635" t="s">
        <v>111</v>
      </c>
      <c r="B87" s="635"/>
      <c r="C87" s="635"/>
      <c r="D87" s="635"/>
      <c r="E87" s="635"/>
      <c r="F87" s="635"/>
      <c r="G87" s="636"/>
      <c r="H87" s="637"/>
      <c r="I87" s="637"/>
      <c r="J87" s="638"/>
      <c r="K87" s="635"/>
      <c r="L87" s="635"/>
      <c r="M87" s="635"/>
    </row>
    <row r="88" spans="1:13" x14ac:dyDescent="0.3">
      <c r="A88" s="635" t="s">
        <v>182</v>
      </c>
      <c r="B88" s="635"/>
      <c r="C88" s="635"/>
      <c r="D88" s="635"/>
      <c r="E88" s="635"/>
      <c r="F88" s="635"/>
      <c r="G88" s="636"/>
      <c r="H88" s="637"/>
      <c r="I88" s="637"/>
      <c r="J88" s="638"/>
      <c r="K88" s="635"/>
      <c r="L88" s="635"/>
      <c r="M88" s="635"/>
    </row>
    <row r="89" spans="1:13" x14ac:dyDescent="0.3">
      <c r="A89" s="635" t="s">
        <v>112</v>
      </c>
      <c r="B89" s="635"/>
      <c r="C89" s="635"/>
      <c r="D89" s="635"/>
      <c r="E89" s="635"/>
      <c r="F89" s="635"/>
      <c r="G89" s="636"/>
      <c r="H89" s="637"/>
      <c r="I89" s="637"/>
      <c r="J89" s="638"/>
      <c r="K89" s="635"/>
      <c r="L89" s="635"/>
      <c r="M89" s="635"/>
    </row>
    <row r="90" spans="1:13" x14ac:dyDescent="0.3">
      <c r="A90" s="635"/>
      <c r="B90" s="635"/>
      <c r="C90" s="635"/>
      <c r="D90" s="635"/>
      <c r="E90" s="635"/>
      <c r="F90" s="635"/>
      <c r="G90" s="636"/>
      <c r="H90" s="637"/>
      <c r="I90" s="637"/>
      <c r="J90" s="638"/>
      <c r="K90" s="635"/>
      <c r="L90" s="635"/>
      <c r="M90" s="635"/>
    </row>
    <row r="91" spans="1:13" x14ac:dyDescent="0.3">
      <c r="G91" s="643"/>
    </row>
    <row r="92" spans="1:13" x14ac:dyDescent="0.3">
      <c r="G92" s="643"/>
    </row>
    <row r="93" spans="1:13" x14ac:dyDescent="0.3">
      <c r="G93" s="643"/>
    </row>
    <row r="94" spans="1:13" ht="15.6" x14ac:dyDescent="0.3">
      <c r="A94" s="159" t="s">
        <v>114</v>
      </c>
      <c r="B94" s="81"/>
      <c r="C94" s="106"/>
      <c r="D94" s="106"/>
      <c r="E94" s="106"/>
      <c r="F94" s="106"/>
      <c r="G94" s="130"/>
      <c r="H94" s="644"/>
      <c r="I94" s="644"/>
      <c r="J94" s="146"/>
    </row>
    <row r="95" spans="1:13" ht="34.799999999999997" x14ac:dyDescent="0.3">
      <c r="A95" s="160" t="s">
        <v>183</v>
      </c>
      <c r="B95" s="161"/>
      <c r="C95" s="31"/>
      <c r="D95" s="162"/>
      <c r="E95" s="162"/>
      <c r="F95" s="163"/>
      <c r="G95" s="205"/>
      <c r="H95" s="645"/>
      <c r="I95" s="645"/>
      <c r="J95" s="646"/>
    </row>
    <row r="96" spans="1:13" ht="17.399999999999999" x14ac:dyDescent="0.3">
      <c r="A96" s="41" t="s">
        <v>1360</v>
      </c>
      <c r="B96" s="168"/>
      <c r="C96" s="43"/>
      <c r="D96" s="169"/>
      <c r="E96" s="162"/>
      <c r="F96" s="163"/>
      <c r="G96" s="205"/>
      <c r="H96" s="645"/>
      <c r="I96" s="645"/>
      <c r="J96" s="647"/>
    </row>
    <row r="97" spans="1:13" x14ac:dyDescent="0.3">
      <c r="A97" s="71"/>
      <c r="B97" s="71"/>
      <c r="C97" s="72"/>
      <c r="D97" s="73"/>
      <c r="E97" s="73"/>
      <c r="F97" s="73"/>
      <c r="G97" s="73"/>
      <c r="H97" s="648"/>
      <c r="I97" s="648"/>
      <c r="J97" s="624"/>
    </row>
    <row r="98" spans="1:13" x14ac:dyDescent="0.3">
      <c r="A98" s="81"/>
      <c r="B98" s="81"/>
      <c r="C98" s="55"/>
      <c r="D98" s="84"/>
      <c r="E98" s="84"/>
      <c r="F98" s="84"/>
      <c r="G98" s="219"/>
      <c r="H98" s="649"/>
      <c r="I98" s="649"/>
      <c r="J98" s="217"/>
    </row>
    <row r="99" spans="1:13" x14ac:dyDescent="0.3">
      <c r="A99" s="172"/>
      <c r="B99" s="172"/>
      <c r="C99" s="173"/>
      <c r="D99" s="174"/>
      <c r="E99" s="174"/>
      <c r="F99" s="59"/>
      <c r="G99" s="650" t="s">
        <v>116</v>
      </c>
      <c r="H99" s="622" t="s">
        <v>25</v>
      </c>
      <c r="I99" s="622" t="s">
        <v>26</v>
      </c>
      <c r="J99" s="63" t="s">
        <v>117</v>
      </c>
    </row>
    <row r="100" spans="1:13" x14ac:dyDescent="0.3">
      <c r="A100" s="172"/>
      <c r="B100" s="172"/>
      <c r="C100" s="181"/>
      <c r="D100" s="174"/>
      <c r="E100" s="174"/>
      <c r="F100" s="59"/>
      <c r="G100" s="651" t="s">
        <v>29</v>
      </c>
      <c r="H100" s="622" t="s">
        <v>27</v>
      </c>
      <c r="I100" s="622" t="s">
        <v>28</v>
      </c>
      <c r="J100" s="63" t="s">
        <v>118</v>
      </c>
    </row>
    <row r="101" spans="1:13" x14ac:dyDescent="0.3">
      <c r="A101" s="172"/>
      <c r="B101" s="172"/>
      <c r="C101" s="181"/>
      <c r="D101" s="174"/>
      <c r="E101" s="174"/>
      <c r="F101" s="59"/>
      <c r="G101" s="650" t="s">
        <v>31</v>
      </c>
      <c r="H101" s="622" t="s">
        <v>29</v>
      </c>
      <c r="I101" s="622" t="s">
        <v>30</v>
      </c>
      <c r="J101" s="63" t="s">
        <v>119</v>
      </c>
    </row>
    <row r="102" spans="1:13" x14ac:dyDescent="0.3">
      <c r="A102" s="172"/>
      <c r="B102" s="172"/>
      <c r="C102" s="181"/>
      <c r="D102" s="174"/>
      <c r="E102" s="174"/>
      <c r="F102" s="59"/>
      <c r="G102" s="651" t="s">
        <v>32</v>
      </c>
      <c r="H102" s="622" t="s">
        <v>33</v>
      </c>
      <c r="I102" s="622" t="s">
        <v>120</v>
      </c>
      <c r="J102" s="63" t="s">
        <v>121</v>
      </c>
    </row>
    <row r="103" spans="1:13" x14ac:dyDescent="0.3">
      <c r="A103" s="71"/>
      <c r="B103" s="71"/>
      <c r="C103" s="72"/>
      <c r="D103" s="73"/>
      <c r="E103" s="73"/>
      <c r="F103" s="73"/>
      <c r="G103" s="73"/>
      <c r="H103" s="648"/>
      <c r="I103" s="648"/>
      <c r="J103" s="624"/>
    </row>
    <row r="104" spans="1:13" x14ac:dyDescent="0.3">
      <c r="G104" s="643"/>
    </row>
    <row r="105" spans="1:13" s="93" customFormat="1" ht="10.95" customHeight="1" x14ac:dyDescent="0.2">
      <c r="A105" s="111" t="s">
        <v>123</v>
      </c>
      <c r="B105" s="112"/>
      <c r="C105" s="113"/>
      <c r="F105" s="114" t="s">
        <v>124</v>
      </c>
      <c r="G105" s="652"/>
      <c r="H105" s="653"/>
      <c r="I105" s="653"/>
      <c r="J105" s="654"/>
      <c r="K105" s="53"/>
      <c r="L105" s="185"/>
    </row>
    <row r="106" spans="1:13" x14ac:dyDescent="0.3">
      <c r="G106" s="643"/>
    </row>
    <row r="107" spans="1:13" x14ac:dyDescent="0.3">
      <c r="A107" s="631">
        <v>1</v>
      </c>
      <c r="B107" s="631" t="s">
        <v>184</v>
      </c>
      <c r="C107" s="631"/>
      <c r="D107" s="631"/>
      <c r="E107" s="631"/>
      <c r="F107" s="631"/>
      <c r="G107" s="632"/>
      <c r="H107" s="633"/>
      <c r="I107" s="633"/>
      <c r="J107" s="634"/>
      <c r="K107" s="635"/>
      <c r="L107" s="635"/>
      <c r="M107" s="635"/>
    </row>
    <row r="108" spans="1:13" x14ac:dyDescent="0.3">
      <c r="A108" s="635"/>
      <c r="B108" s="635"/>
      <c r="C108" s="635"/>
      <c r="D108" s="635"/>
      <c r="E108" s="635"/>
      <c r="F108" s="635"/>
      <c r="G108" s="636"/>
      <c r="H108" s="637"/>
      <c r="I108" s="637"/>
      <c r="J108" s="638"/>
      <c r="K108" s="635"/>
      <c r="L108" s="635"/>
      <c r="M108" s="635"/>
    </row>
    <row r="109" spans="1:13" x14ac:dyDescent="0.3">
      <c r="A109" s="635"/>
      <c r="B109" s="635" t="s">
        <v>82</v>
      </c>
      <c r="C109" s="635" t="s">
        <v>185</v>
      </c>
      <c r="D109" s="635"/>
      <c r="E109" s="635"/>
      <c r="F109" s="635"/>
      <c r="G109" s="636">
        <v>0.1</v>
      </c>
      <c r="H109" s="637">
        <v>2</v>
      </c>
      <c r="I109" s="637">
        <v>320</v>
      </c>
      <c r="J109" s="638">
        <v>9.6999999999999993</v>
      </c>
      <c r="K109" s="635"/>
      <c r="L109" s="635"/>
      <c r="M109" s="635"/>
    </row>
    <row r="110" spans="1:13" x14ac:dyDescent="0.3">
      <c r="A110" s="635"/>
      <c r="B110" s="635" t="s">
        <v>83</v>
      </c>
      <c r="C110" s="635" t="s">
        <v>186</v>
      </c>
      <c r="D110" s="635"/>
      <c r="E110" s="635"/>
      <c r="F110" s="635"/>
      <c r="G110" s="636">
        <v>2.1</v>
      </c>
      <c r="H110" s="637">
        <v>60</v>
      </c>
      <c r="I110" s="637">
        <v>4200</v>
      </c>
      <c r="J110" s="638">
        <v>2.2000000000000002</v>
      </c>
      <c r="K110" s="635"/>
      <c r="L110" s="635"/>
      <c r="M110" s="635"/>
    </row>
    <row r="111" spans="1:13" x14ac:dyDescent="0.3">
      <c r="A111" s="635"/>
      <c r="B111" s="635" t="s">
        <v>85</v>
      </c>
      <c r="C111" s="635" t="s">
        <v>84</v>
      </c>
      <c r="D111" s="635"/>
      <c r="E111" s="635"/>
      <c r="F111" s="635"/>
      <c r="G111" s="636">
        <v>0.7</v>
      </c>
      <c r="H111" s="637">
        <v>20</v>
      </c>
      <c r="I111" s="637">
        <v>3370</v>
      </c>
      <c r="J111" s="638">
        <v>2</v>
      </c>
      <c r="K111" s="635"/>
      <c r="L111" s="635"/>
      <c r="M111" s="635"/>
    </row>
    <row r="112" spans="1:13" x14ac:dyDescent="0.3">
      <c r="A112" s="635"/>
      <c r="B112" s="635" t="s">
        <v>87</v>
      </c>
      <c r="C112" s="635" t="s">
        <v>86</v>
      </c>
      <c r="D112" s="635"/>
      <c r="E112" s="635"/>
      <c r="F112" s="635"/>
      <c r="G112" s="636">
        <v>1.9</v>
      </c>
      <c r="H112" s="637">
        <v>55</v>
      </c>
      <c r="I112" s="637">
        <v>4040</v>
      </c>
      <c r="J112" s="638">
        <v>1.7</v>
      </c>
      <c r="K112" s="635"/>
      <c r="L112" s="635"/>
      <c r="M112" s="635"/>
    </row>
    <row r="113" spans="1:13" x14ac:dyDescent="0.3">
      <c r="A113" s="635"/>
      <c r="B113" s="635"/>
      <c r="C113" s="635"/>
      <c r="D113" s="635"/>
      <c r="E113" s="635"/>
      <c r="F113" s="635"/>
      <c r="G113" s="636"/>
      <c r="H113" s="637"/>
      <c r="I113" s="637"/>
      <c r="J113" s="638"/>
      <c r="K113" s="635"/>
      <c r="L113" s="635"/>
      <c r="M113" s="635"/>
    </row>
    <row r="114" spans="1:13" x14ac:dyDescent="0.3">
      <c r="A114" s="635"/>
      <c r="B114" s="635" t="s">
        <v>89</v>
      </c>
      <c r="C114" s="635" t="s">
        <v>88</v>
      </c>
      <c r="D114" s="635"/>
      <c r="E114" s="635"/>
      <c r="F114" s="635"/>
      <c r="G114" s="636">
        <v>0.5</v>
      </c>
      <c r="H114" s="637">
        <v>14</v>
      </c>
      <c r="I114" s="637">
        <v>1890</v>
      </c>
      <c r="J114" s="638">
        <v>3.4</v>
      </c>
      <c r="K114" s="635"/>
      <c r="L114" s="635"/>
      <c r="M114" s="635"/>
    </row>
    <row r="115" spans="1:13" x14ac:dyDescent="0.3">
      <c r="A115" s="635"/>
      <c r="B115" s="635"/>
      <c r="C115" s="635" t="s">
        <v>187</v>
      </c>
      <c r="D115" s="635" t="s">
        <v>188</v>
      </c>
      <c r="E115" s="635"/>
      <c r="F115" s="635"/>
      <c r="G115" s="636">
        <v>0.3</v>
      </c>
      <c r="H115" s="637">
        <v>7</v>
      </c>
      <c r="I115" s="637">
        <v>1420</v>
      </c>
      <c r="J115" s="638">
        <v>3.9</v>
      </c>
      <c r="K115" s="635"/>
      <c r="L115" s="635"/>
      <c r="M115" s="635"/>
    </row>
    <row r="116" spans="1:13" x14ac:dyDescent="0.3">
      <c r="A116" s="635"/>
      <c r="B116" s="635"/>
      <c r="C116" s="635" t="s">
        <v>189</v>
      </c>
      <c r="D116" s="635" t="s">
        <v>190</v>
      </c>
      <c r="E116" s="635"/>
      <c r="F116" s="635"/>
      <c r="G116" s="636">
        <v>0.2</v>
      </c>
      <c r="H116" s="637">
        <v>7</v>
      </c>
      <c r="I116" s="637">
        <v>790</v>
      </c>
      <c r="J116" s="638">
        <v>5.0999999999999996</v>
      </c>
      <c r="K116" s="635"/>
      <c r="L116" s="635"/>
      <c r="M116" s="635"/>
    </row>
    <row r="117" spans="1:13" x14ac:dyDescent="0.3">
      <c r="A117" s="635"/>
      <c r="B117" s="635"/>
      <c r="C117" s="635"/>
      <c r="D117" s="635"/>
      <c r="E117" s="635"/>
      <c r="F117" s="635"/>
      <c r="G117" s="636"/>
      <c r="H117" s="637"/>
      <c r="I117" s="637"/>
      <c r="J117" s="638"/>
      <c r="K117" s="635"/>
      <c r="L117" s="635"/>
      <c r="M117" s="635"/>
    </row>
    <row r="118" spans="1:13" x14ac:dyDescent="0.3">
      <c r="A118" s="635"/>
      <c r="B118" s="635" t="s">
        <v>91</v>
      </c>
      <c r="C118" s="635" t="s">
        <v>90</v>
      </c>
      <c r="D118" s="635"/>
      <c r="E118" s="635"/>
      <c r="F118" s="635"/>
      <c r="G118" s="636">
        <v>0.4</v>
      </c>
      <c r="H118" s="637">
        <v>11</v>
      </c>
      <c r="I118" s="637">
        <v>1590</v>
      </c>
      <c r="J118" s="638">
        <v>5.6</v>
      </c>
      <c r="K118" s="635"/>
      <c r="L118" s="635"/>
      <c r="M118" s="635"/>
    </row>
    <row r="119" spans="1:13" x14ac:dyDescent="0.3">
      <c r="A119" s="635"/>
      <c r="B119" s="635" t="s">
        <v>93</v>
      </c>
      <c r="C119" s="635" t="s">
        <v>92</v>
      </c>
      <c r="D119" s="635"/>
      <c r="E119" s="635"/>
      <c r="F119" s="635"/>
      <c r="G119" s="636">
        <v>2.6</v>
      </c>
      <c r="H119" s="637">
        <v>72</v>
      </c>
      <c r="I119" s="637">
        <v>3810</v>
      </c>
      <c r="J119" s="638">
        <v>2.4</v>
      </c>
      <c r="K119" s="635"/>
      <c r="L119" s="635"/>
      <c r="M119" s="635"/>
    </row>
    <row r="120" spans="1:13" x14ac:dyDescent="0.3">
      <c r="A120" s="635"/>
      <c r="B120" s="635" t="s">
        <v>95</v>
      </c>
      <c r="C120" s="635" t="s">
        <v>94</v>
      </c>
      <c r="D120" s="635"/>
      <c r="E120" s="635"/>
      <c r="F120" s="635"/>
      <c r="G120" s="636">
        <v>0.9</v>
      </c>
      <c r="H120" s="637">
        <v>26</v>
      </c>
      <c r="I120" s="637">
        <v>2550</v>
      </c>
      <c r="J120" s="638">
        <v>5.8</v>
      </c>
      <c r="K120" s="635"/>
      <c r="L120" s="635"/>
      <c r="M120" s="635"/>
    </row>
    <row r="121" spans="1:13" x14ac:dyDescent="0.3">
      <c r="A121" s="635"/>
      <c r="B121" s="635" t="s">
        <v>97</v>
      </c>
      <c r="C121" s="635" t="s">
        <v>96</v>
      </c>
      <c r="D121" s="635"/>
      <c r="E121" s="635"/>
      <c r="F121" s="635"/>
      <c r="G121" s="636">
        <v>0.9</v>
      </c>
      <c r="H121" s="637">
        <v>27</v>
      </c>
      <c r="I121" s="637">
        <v>2180</v>
      </c>
      <c r="J121" s="638">
        <v>2.9</v>
      </c>
      <c r="K121" s="635"/>
      <c r="L121" s="635"/>
      <c r="M121" s="635"/>
    </row>
    <row r="122" spans="1:13" x14ac:dyDescent="0.3">
      <c r="A122" s="635"/>
      <c r="B122" s="635"/>
      <c r="C122" s="635"/>
      <c r="D122" s="635"/>
      <c r="E122" s="635"/>
      <c r="F122" s="635"/>
      <c r="G122" s="636"/>
      <c r="H122" s="637"/>
      <c r="I122" s="637"/>
      <c r="J122" s="638"/>
      <c r="K122" s="635"/>
      <c r="L122" s="635"/>
      <c r="M122" s="635"/>
    </row>
    <row r="123" spans="1:13" x14ac:dyDescent="0.3">
      <c r="A123" s="635"/>
      <c r="B123" s="635" t="s">
        <v>191</v>
      </c>
      <c r="C123" s="635" t="s">
        <v>98</v>
      </c>
      <c r="D123" s="635"/>
      <c r="E123" s="635"/>
      <c r="F123" s="635"/>
      <c r="G123" s="636">
        <v>3.2</v>
      </c>
      <c r="H123" s="637">
        <v>91</v>
      </c>
      <c r="I123" s="637">
        <v>4680</v>
      </c>
      <c r="J123" s="638">
        <v>3.1</v>
      </c>
      <c r="K123" s="635"/>
      <c r="L123" s="635"/>
      <c r="M123" s="635"/>
    </row>
    <row r="124" spans="1:13" x14ac:dyDescent="0.3">
      <c r="A124" s="635"/>
      <c r="B124" s="635"/>
      <c r="C124" s="635" t="s">
        <v>192</v>
      </c>
      <c r="D124" s="635" t="s">
        <v>193</v>
      </c>
      <c r="E124" s="635"/>
      <c r="F124" s="635"/>
      <c r="G124" s="636">
        <v>1.5</v>
      </c>
      <c r="H124" s="637">
        <v>43</v>
      </c>
      <c r="I124" s="637">
        <v>3930</v>
      </c>
      <c r="J124" s="638">
        <v>1.8</v>
      </c>
      <c r="K124" s="635"/>
      <c r="L124" s="635"/>
      <c r="M124" s="635"/>
    </row>
    <row r="125" spans="1:13" x14ac:dyDescent="0.3">
      <c r="A125" s="635"/>
      <c r="B125" s="635"/>
      <c r="C125" s="635" t="s">
        <v>194</v>
      </c>
      <c r="D125" s="635" t="s">
        <v>195</v>
      </c>
      <c r="E125" s="635"/>
      <c r="F125" s="635"/>
      <c r="G125" s="636">
        <v>1.3</v>
      </c>
      <c r="H125" s="637">
        <v>36</v>
      </c>
      <c r="I125" s="637">
        <v>3000</v>
      </c>
      <c r="J125" s="638">
        <v>7</v>
      </c>
      <c r="K125" s="635"/>
      <c r="L125" s="635"/>
      <c r="M125" s="635"/>
    </row>
    <row r="126" spans="1:13" x14ac:dyDescent="0.3">
      <c r="A126" s="635"/>
      <c r="B126" s="635"/>
      <c r="C126" s="635" t="s">
        <v>196</v>
      </c>
      <c r="D126" s="635" t="s">
        <v>197</v>
      </c>
      <c r="E126" s="635"/>
      <c r="F126" s="635"/>
      <c r="G126" s="636">
        <v>0.4</v>
      </c>
      <c r="H126" s="637">
        <v>12</v>
      </c>
      <c r="I126" s="637">
        <v>1710</v>
      </c>
      <c r="J126" s="638">
        <v>4.9000000000000004</v>
      </c>
      <c r="K126" s="635"/>
      <c r="L126" s="635"/>
      <c r="M126" s="635"/>
    </row>
    <row r="127" spans="1:13" x14ac:dyDescent="0.3">
      <c r="A127" s="635"/>
      <c r="B127" s="635"/>
      <c r="C127" s="635"/>
      <c r="D127" s="635"/>
      <c r="E127" s="635"/>
      <c r="F127" s="635"/>
      <c r="G127" s="636"/>
      <c r="H127" s="637"/>
      <c r="I127" s="637"/>
      <c r="J127" s="638"/>
      <c r="K127" s="635"/>
      <c r="L127" s="635"/>
      <c r="M127" s="635"/>
    </row>
    <row r="128" spans="1:13" x14ac:dyDescent="0.3">
      <c r="A128" s="635">
        <v>1.2</v>
      </c>
      <c r="B128" s="635" t="s">
        <v>99</v>
      </c>
      <c r="C128" s="635"/>
      <c r="D128" s="635"/>
      <c r="E128" s="635"/>
      <c r="F128" s="635"/>
      <c r="G128" s="636">
        <v>5.9</v>
      </c>
      <c r="H128" s="637">
        <v>165</v>
      </c>
      <c r="I128" s="637">
        <v>4900</v>
      </c>
      <c r="J128" s="638">
        <v>1.7</v>
      </c>
      <c r="K128" s="635"/>
      <c r="L128" s="635"/>
      <c r="M128" s="635"/>
    </row>
    <row r="129" spans="1:13" x14ac:dyDescent="0.3">
      <c r="A129" s="635"/>
      <c r="B129" s="635" t="s">
        <v>100</v>
      </c>
      <c r="C129" s="635" t="s">
        <v>101</v>
      </c>
      <c r="D129" s="635"/>
      <c r="E129" s="635"/>
      <c r="F129" s="635"/>
      <c r="G129" s="636">
        <v>1.2</v>
      </c>
      <c r="H129" s="637">
        <v>33</v>
      </c>
      <c r="I129" s="637">
        <v>2150</v>
      </c>
      <c r="J129" s="638">
        <v>2.8</v>
      </c>
      <c r="K129" s="635"/>
      <c r="L129" s="635"/>
      <c r="M129" s="635"/>
    </row>
    <row r="130" spans="1:13" x14ac:dyDescent="0.3">
      <c r="A130" s="635"/>
      <c r="B130" s="635" t="s">
        <v>102</v>
      </c>
      <c r="C130" s="635" t="s">
        <v>103</v>
      </c>
      <c r="D130" s="635"/>
      <c r="E130" s="635"/>
      <c r="F130" s="635"/>
      <c r="G130" s="636">
        <v>0.5</v>
      </c>
      <c r="H130" s="637">
        <v>15</v>
      </c>
      <c r="I130" s="637">
        <v>1570</v>
      </c>
      <c r="J130" s="638">
        <v>3.7</v>
      </c>
      <c r="K130" s="635"/>
      <c r="L130" s="635"/>
      <c r="M130" s="635"/>
    </row>
    <row r="131" spans="1:13" x14ac:dyDescent="0.3">
      <c r="A131" s="635"/>
      <c r="B131" s="635" t="s">
        <v>104</v>
      </c>
      <c r="C131" s="635" t="s">
        <v>105</v>
      </c>
      <c r="D131" s="635"/>
      <c r="E131" s="635"/>
      <c r="F131" s="635"/>
      <c r="G131" s="636">
        <v>0.1</v>
      </c>
      <c r="H131" s="637">
        <v>4</v>
      </c>
      <c r="I131" s="637">
        <v>430</v>
      </c>
      <c r="J131" s="638">
        <v>8.3000000000000007</v>
      </c>
      <c r="K131" s="635"/>
      <c r="L131" s="635"/>
      <c r="M131" s="635"/>
    </row>
    <row r="132" spans="1:13" x14ac:dyDescent="0.3">
      <c r="A132" s="635"/>
      <c r="B132" s="635" t="s">
        <v>106</v>
      </c>
      <c r="C132" s="635" t="s">
        <v>198</v>
      </c>
      <c r="D132" s="635"/>
      <c r="E132" s="635"/>
      <c r="F132" s="635"/>
      <c r="G132" s="636">
        <v>1.2</v>
      </c>
      <c r="H132" s="637">
        <v>33</v>
      </c>
      <c r="I132" s="637">
        <v>3090</v>
      </c>
      <c r="J132" s="638">
        <v>2.4</v>
      </c>
      <c r="K132" s="635"/>
      <c r="L132" s="635"/>
      <c r="M132" s="635"/>
    </row>
    <row r="133" spans="1:13" x14ac:dyDescent="0.3">
      <c r="A133" s="635"/>
      <c r="B133" s="635" t="s">
        <v>107</v>
      </c>
      <c r="C133" s="635" t="s">
        <v>108</v>
      </c>
      <c r="D133" s="635"/>
      <c r="E133" s="635"/>
      <c r="F133" s="635"/>
      <c r="G133" s="636">
        <v>0.3</v>
      </c>
      <c r="H133" s="637">
        <v>9</v>
      </c>
      <c r="I133" s="637">
        <v>1240</v>
      </c>
      <c r="J133" s="638">
        <v>5.6</v>
      </c>
      <c r="K133" s="635"/>
      <c r="L133" s="635"/>
      <c r="M133" s="635"/>
    </row>
    <row r="134" spans="1:13" x14ac:dyDescent="0.3">
      <c r="A134" s="635"/>
      <c r="B134" s="635" t="s">
        <v>109</v>
      </c>
      <c r="C134" s="635" t="s">
        <v>199</v>
      </c>
      <c r="D134" s="635"/>
      <c r="E134" s="635"/>
      <c r="F134" s="635"/>
      <c r="G134" s="636">
        <v>2.5</v>
      </c>
      <c r="H134" s="637">
        <v>72</v>
      </c>
      <c r="I134" s="637">
        <v>3490</v>
      </c>
      <c r="J134" s="638">
        <v>2.7</v>
      </c>
      <c r="K134" s="635"/>
      <c r="L134" s="635"/>
      <c r="M134" s="635"/>
    </row>
    <row r="135" spans="1:13" x14ac:dyDescent="0.3">
      <c r="A135" s="635"/>
      <c r="B135" s="635"/>
      <c r="C135" s="635"/>
      <c r="D135" s="635"/>
      <c r="E135" s="635"/>
      <c r="F135" s="635"/>
      <c r="G135" s="636"/>
      <c r="H135" s="637"/>
      <c r="I135" s="637"/>
      <c r="J135" s="638"/>
      <c r="K135" s="635"/>
      <c r="L135" s="635"/>
      <c r="M135" s="635"/>
    </row>
    <row r="136" spans="1:13" x14ac:dyDescent="0.3">
      <c r="A136" s="639"/>
      <c r="B136" s="639"/>
      <c r="C136" s="639"/>
      <c r="D136" s="639"/>
      <c r="E136" s="639"/>
      <c r="F136" s="639"/>
      <c r="G136" s="640"/>
      <c r="H136" s="641"/>
      <c r="I136" s="641"/>
      <c r="J136" s="642"/>
      <c r="K136" s="635"/>
      <c r="L136" s="635"/>
      <c r="M136" s="635"/>
    </row>
    <row r="137" spans="1:13" x14ac:dyDescent="0.3">
      <c r="A137" s="631">
        <v>2</v>
      </c>
      <c r="B137" s="631" t="s">
        <v>8</v>
      </c>
      <c r="C137" s="631"/>
      <c r="D137" s="631"/>
      <c r="E137" s="631"/>
      <c r="F137" s="631"/>
      <c r="G137" s="632">
        <v>14.1</v>
      </c>
      <c r="H137" s="633">
        <v>397</v>
      </c>
      <c r="I137" s="633">
        <v>3520</v>
      </c>
      <c r="J137" s="634">
        <v>2.2000000000000002</v>
      </c>
      <c r="K137" s="635"/>
      <c r="L137" s="635"/>
      <c r="M137" s="635"/>
    </row>
    <row r="138" spans="1:13" x14ac:dyDescent="0.3">
      <c r="A138" s="635"/>
      <c r="B138" s="635"/>
      <c r="C138" s="635"/>
      <c r="D138" s="635"/>
      <c r="E138" s="635"/>
      <c r="F138" s="635"/>
      <c r="G138" s="636"/>
      <c r="H138" s="637"/>
      <c r="I138" s="637"/>
      <c r="J138" s="638"/>
      <c r="K138" s="635"/>
      <c r="L138" s="635"/>
      <c r="M138" s="635"/>
    </row>
    <row r="139" spans="1:13" x14ac:dyDescent="0.3">
      <c r="A139" s="635">
        <v>2.1</v>
      </c>
      <c r="B139" s="635" t="s">
        <v>200</v>
      </c>
      <c r="C139" s="635"/>
      <c r="D139" s="635"/>
      <c r="E139" s="635"/>
      <c r="F139" s="635"/>
      <c r="G139" s="636">
        <v>11.3</v>
      </c>
      <c r="H139" s="637">
        <v>318</v>
      </c>
      <c r="I139" s="637">
        <v>3310</v>
      </c>
      <c r="J139" s="638">
        <v>2.4</v>
      </c>
      <c r="K139" s="635"/>
      <c r="L139" s="635"/>
      <c r="M139" s="635"/>
    </row>
    <row r="140" spans="1:13" x14ac:dyDescent="0.3">
      <c r="A140" s="635"/>
      <c r="B140" s="635" t="s">
        <v>201</v>
      </c>
      <c r="C140" s="635" t="s">
        <v>202</v>
      </c>
      <c r="D140" s="635"/>
      <c r="E140" s="635"/>
      <c r="F140" s="635"/>
      <c r="G140" s="636">
        <v>2.4</v>
      </c>
      <c r="H140" s="637">
        <v>69</v>
      </c>
      <c r="I140" s="637">
        <v>1140</v>
      </c>
      <c r="J140" s="638">
        <v>3.9</v>
      </c>
      <c r="K140" s="635"/>
      <c r="L140" s="635"/>
      <c r="M140" s="635"/>
    </row>
    <row r="141" spans="1:13" x14ac:dyDescent="0.3">
      <c r="A141" s="635"/>
      <c r="B141" s="635"/>
      <c r="C141" s="635"/>
      <c r="D141" s="635"/>
      <c r="E141" s="635"/>
      <c r="F141" s="635"/>
      <c r="G141" s="636"/>
      <c r="H141" s="637"/>
      <c r="I141" s="637"/>
      <c r="J141" s="638"/>
      <c r="K141" s="635"/>
      <c r="L141" s="635"/>
      <c r="M141" s="635"/>
    </row>
    <row r="142" spans="1:13" x14ac:dyDescent="0.3">
      <c r="A142" s="635"/>
      <c r="B142" s="635" t="s">
        <v>203</v>
      </c>
      <c r="C142" s="635" t="s">
        <v>204</v>
      </c>
      <c r="D142" s="635"/>
      <c r="E142" s="635"/>
      <c r="F142" s="635"/>
      <c r="G142" s="636">
        <v>5.5</v>
      </c>
      <c r="H142" s="637">
        <v>155</v>
      </c>
      <c r="I142" s="637">
        <v>2210</v>
      </c>
      <c r="J142" s="638">
        <v>3.3</v>
      </c>
      <c r="K142" s="635"/>
      <c r="L142" s="635"/>
      <c r="M142" s="635"/>
    </row>
    <row r="143" spans="1:13" x14ac:dyDescent="0.3">
      <c r="A143" s="635"/>
      <c r="B143" s="635"/>
      <c r="C143" s="635" t="s">
        <v>205</v>
      </c>
      <c r="D143" s="635" t="s">
        <v>206</v>
      </c>
      <c r="E143" s="635"/>
      <c r="F143" s="635"/>
      <c r="G143" s="636">
        <v>4.7</v>
      </c>
      <c r="H143" s="637">
        <v>133</v>
      </c>
      <c r="I143" s="637">
        <v>1990</v>
      </c>
      <c r="J143" s="638">
        <v>3.5</v>
      </c>
      <c r="K143" s="635"/>
      <c r="L143" s="635"/>
      <c r="M143" s="635"/>
    </row>
    <row r="144" spans="1:13" x14ac:dyDescent="0.3">
      <c r="A144" s="635"/>
      <c r="B144" s="635"/>
      <c r="C144" s="635" t="s">
        <v>207</v>
      </c>
      <c r="D144" s="635" t="s">
        <v>208</v>
      </c>
      <c r="E144" s="635"/>
      <c r="F144" s="635"/>
      <c r="G144" s="636">
        <v>0.2</v>
      </c>
      <c r="H144" s="637">
        <v>5</v>
      </c>
      <c r="I144" s="637">
        <v>160</v>
      </c>
      <c r="J144" s="638">
        <v>11.1</v>
      </c>
      <c r="K144" s="635"/>
      <c r="L144" s="635"/>
      <c r="M144" s="635"/>
    </row>
    <row r="145" spans="1:13" x14ac:dyDescent="0.3">
      <c r="A145" s="635"/>
      <c r="B145" s="635"/>
      <c r="C145" s="635" t="s">
        <v>209</v>
      </c>
      <c r="D145" s="635" t="s">
        <v>210</v>
      </c>
      <c r="E145" s="635"/>
      <c r="F145" s="635"/>
      <c r="G145" s="636">
        <v>0.6</v>
      </c>
      <c r="H145" s="637">
        <v>18</v>
      </c>
      <c r="I145" s="637">
        <v>460</v>
      </c>
      <c r="J145" s="638">
        <v>7.2</v>
      </c>
      <c r="K145" s="635"/>
      <c r="L145" s="635"/>
      <c r="M145" s="635"/>
    </row>
    <row r="146" spans="1:13" x14ac:dyDescent="0.3">
      <c r="A146" s="635"/>
      <c r="B146" s="635"/>
      <c r="C146" s="635"/>
      <c r="D146" s="635"/>
      <c r="E146" s="635"/>
      <c r="F146" s="635"/>
      <c r="G146" s="636"/>
      <c r="H146" s="637"/>
      <c r="I146" s="637"/>
      <c r="J146" s="638"/>
      <c r="K146" s="635"/>
      <c r="L146" s="635"/>
      <c r="M146" s="635"/>
    </row>
    <row r="147" spans="1:13" x14ac:dyDescent="0.3">
      <c r="A147" s="635"/>
      <c r="B147" s="635" t="s">
        <v>211</v>
      </c>
      <c r="C147" s="635" t="s">
        <v>212</v>
      </c>
      <c r="D147" s="635"/>
      <c r="E147" s="635"/>
      <c r="F147" s="635"/>
      <c r="G147" s="636">
        <v>3.3</v>
      </c>
      <c r="H147" s="637">
        <v>93</v>
      </c>
      <c r="I147" s="637">
        <v>1980</v>
      </c>
      <c r="J147" s="638">
        <v>3.2</v>
      </c>
      <c r="K147" s="635"/>
      <c r="L147" s="635"/>
      <c r="M147" s="635"/>
    </row>
    <row r="148" spans="1:13" x14ac:dyDescent="0.3">
      <c r="A148" s="635"/>
      <c r="B148" s="635"/>
      <c r="C148" s="635" t="s">
        <v>213</v>
      </c>
      <c r="D148" s="635" t="s">
        <v>214</v>
      </c>
      <c r="E148" s="635"/>
      <c r="F148" s="635"/>
      <c r="G148" s="636">
        <v>2.8</v>
      </c>
      <c r="H148" s="637">
        <v>80</v>
      </c>
      <c r="I148" s="637">
        <v>1720</v>
      </c>
      <c r="J148" s="638">
        <v>3.5</v>
      </c>
      <c r="K148" s="635"/>
      <c r="L148" s="635"/>
      <c r="M148" s="635"/>
    </row>
    <row r="149" spans="1:13" x14ac:dyDescent="0.3">
      <c r="A149" s="635"/>
      <c r="B149" s="635"/>
      <c r="C149" s="635" t="s">
        <v>215</v>
      </c>
      <c r="D149" s="635" t="s">
        <v>216</v>
      </c>
      <c r="E149" s="635"/>
      <c r="F149" s="635"/>
      <c r="G149" s="636">
        <v>0.5</v>
      </c>
      <c r="H149" s="637">
        <v>14</v>
      </c>
      <c r="I149" s="637">
        <v>540</v>
      </c>
      <c r="J149" s="638">
        <v>6.4</v>
      </c>
      <c r="K149" s="635"/>
      <c r="L149" s="635"/>
      <c r="M149" s="635"/>
    </row>
    <row r="150" spans="1:13" x14ac:dyDescent="0.3">
      <c r="A150" s="635"/>
      <c r="B150" s="635"/>
      <c r="C150" s="635"/>
      <c r="D150" s="635"/>
      <c r="E150" s="635"/>
      <c r="F150" s="635"/>
      <c r="G150" s="636"/>
      <c r="H150" s="637"/>
      <c r="I150" s="637"/>
      <c r="J150" s="638"/>
      <c r="K150" s="635"/>
      <c r="L150" s="635"/>
      <c r="M150" s="635"/>
    </row>
    <row r="151" spans="1:13" x14ac:dyDescent="0.3">
      <c r="A151" s="635"/>
      <c r="B151" s="635" t="s">
        <v>217</v>
      </c>
      <c r="C151" s="635" t="s">
        <v>218</v>
      </c>
      <c r="D151" s="635"/>
      <c r="E151" s="635"/>
      <c r="F151" s="635"/>
      <c r="G151" s="636">
        <v>0</v>
      </c>
      <c r="H151" s="637">
        <v>1</v>
      </c>
      <c r="I151" s="637">
        <v>70</v>
      </c>
      <c r="J151" s="638">
        <v>15.2</v>
      </c>
      <c r="K151" s="635"/>
      <c r="L151" s="635"/>
      <c r="M151" s="635"/>
    </row>
    <row r="152" spans="1:13" x14ac:dyDescent="0.3">
      <c r="A152" s="635"/>
      <c r="B152" s="635"/>
      <c r="C152" s="635"/>
      <c r="D152" s="635"/>
      <c r="E152" s="635"/>
      <c r="F152" s="635"/>
      <c r="G152" s="636"/>
      <c r="H152" s="637"/>
      <c r="I152" s="637"/>
      <c r="J152" s="638"/>
      <c r="K152" s="635"/>
      <c r="L152" s="635"/>
      <c r="M152" s="635"/>
    </row>
    <row r="153" spans="1:13" x14ac:dyDescent="0.3">
      <c r="A153" s="635">
        <v>2.2000000000000002</v>
      </c>
      <c r="B153" s="635" t="s">
        <v>219</v>
      </c>
      <c r="C153" s="635"/>
      <c r="D153" s="635"/>
      <c r="E153" s="635"/>
      <c r="F153" s="635"/>
      <c r="G153" s="636">
        <v>2.8</v>
      </c>
      <c r="H153" s="637">
        <v>79</v>
      </c>
      <c r="I153" s="637">
        <v>650</v>
      </c>
      <c r="J153" s="638">
        <v>6</v>
      </c>
      <c r="K153" s="635"/>
      <c r="L153" s="635"/>
      <c r="M153" s="635"/>
    </row>
    <row r="154" spans="1:13" x14ac:dyDescent="0.3">
      <c r="A154" s="635"/>
      <c r="B154" s="635" t="s">
        <v>220</v>
      </c>
      <c r="C154" s="635" t="s">
        <v>221</v>
      </c>
      <c r="D154" s="635"/>
      <c r="E154" s="635"/>
      <c r="F154" s="635"/>
      <c r="G154" s="636">
        <v>1.8</v>
      </c>
      <c r="H154" s="637">
        <v>50</v>
      </c>
      <c r="I154" s="637">
        <v>450</v>
      </c>
      <c r="J154" s="638">
        <v>8.1</v>
      </c>
      <c r="K154" s="635"/>
      <c r="L154" s="635"/>
      <c r="M154" s="635"/>
    </row>
    <row r="155" spans="1:13" x14ac:dyDescent="0.3">
      <c r="A155" s="635"/>
      <c r="B155" s="635"/>
      <c r="C155" s="635"/>
      <c r="D155" s="635"/>
      <c r="E155" s="635"/>
      <c r="F155" s="635"/>
      <c r="G155" s="636"/>
      <c r="H155" s="637"/>
      <c r="I155" s="637"/>
      <c r="J155" s="638"/>
      <c r="K155" s="635"/>
      <c r="L155" s="635"/>
      <c r="M155" s="635"/>
    </row>
    <row r="156" spans="1:13" x14ac:dyDescent="0.3">
      <c r="A156" s="635"/>
      <c r="B156" s="635" t="s">
        <v>222</v>
      </c>
      <c r="C156" s="635" t="s">
        <v>223</v>
      </c>
      <c r="D156" s="635"/>
      <c r="E156" s="635"/>
      <c r="F156" s="635"/>
      <c r="G156" s="636">
        <v>1</v>
      </c>
      <c r="H156" s="637">
        <v>29</v>
      </c>
      <c r="I156" s="637">
        <v>330</v>
      </c>
      <c r="J156" s="638">
        <v>7.9</v>
      </c>
      <c r="K156" s="635"/>
      <c r="L156" s="635"/>
      <c r="M156" s="635"/>
    </row>
    <row r="157" spans="1:13" x14ac:dyDescent="0.3">
      <c r="A157" s="635"/>
      <c r="B157" s="635"/>
      <c r="C157" s="635" t="s">
        <v>224</v>
      </c>
      <c r="D157" s="635" t="s">
        <v>225</v>
      </c>
      <c r="E157" s="635"/>
      <c r="F157" s="635"/>
      <c r="G157" s="655" t="s">
        <v>230</v>
      </c>
      <c r="H157" s="656" t="s">
        <v>230</v>
      </c>
      <c r="I157" s="656" t="s">
        <v>230</v>
      </c>
      <c r="J157" s="657" t="s">
        <v>230</v>
      </c>
      <c r="K157" s="635"/>
      <c r="L157" s="635"/>
      <c r="M157" s="635"/>
    </row>
    <row r="158" spans="1:13" x14ac:dyDescent="0.3">
      <c r="A158" s="635"/>
      <c r="B158" s="635"/>
      <c r="C158" s="635" t="s">
        <v>226</v>
      </c>
      <c r="D158" s="635" t="s">
        <v>227</v>
      </c>
      <c r="E158" s="635"/>
      <c r="F158" s="635"/>
      <c r="G158" s="636">
        <v>1</v>
      </c>
      <c r="H158" s="637">
        <v>28</v>
      </c>
      <c r="I158" s="637">
        <v>330</v>
      </c>
      <c r="J158" s="638">
        <v>8.1</v>
      </c>
      <c r="K158" s="635"/>
      <c r="L158" s="635"/>
      <c r="M158" s="635"/>
    </row>
    <row r="159" spans="1:13" x14ac:dyDescent="0.3">
      <c r="A159" s="635"/>
      <c r="B159" s="635"/>
      <c r="C159" s="635" t="s">
        <v>228</v>
      </c>
      <c r="D159" s="635" t="s">
        <v>229</v>
      </c>
      <c r="E159" s="635"/>
      <c r="F159" s="635"/>
      <c r="G159" s="655" t="s">
        <v>230</v>
      </c>
      <c r="H159" s="656" t="s">
        <v>230</v>
      </c>
      <c r="I159" s="656" t="s">
        <v>230</v>
      </c>
      <c r="J159" s="657" t="s">
        <v>230</v>
      </c>
      <c r="K159" s="635"/>
      <c r="L159" s="635"/>
      <c r="M159" s="635"/>
    </row>
    <row r="160" spans="1:13" x14ac:dyDescent="0.3">
      <c r="A160" s="635"/>
      <c r="B160" s="635"/>
      <c r="C160" s="635"/>
      <c r="D160" s="635"/>
      <c r="E160" s="635"/>
      <c r="F160" s="635"/>
      <c r="G160" s="636"/>
      <c r="H160" s="637"/>
      <c r="I160" s="637"/>
      <c r="J160" s="638"/>
      <c r="K160" s="635"/>
      <c r="L160" s="635"/>
      <c r="M160" s="635"/>
    </row>
    <row r="161" spans="1:13" x14ac:dyDescent="0.3">
      <c r="A161" s="639"/>
      <c r="B161" s="639"/>
      <c r="C161" s="639"/>
      <c r="D161" s="639"/>
      <c r="E161" s="639"/>
      <c r="F161" s="639"/>
      <c r="G161" s="640"/>
      <c r="H161" s="641"/>
      <c r="I161" s="641"/>
      <c r="J161" s="642"/>
      <c r="K161" s="635"/>
      <c r="L161" s="635"/>
      <c r="M161" s="635"/>
    </row>
    <row r="162" spans="1:13" x14ac:dyDescent="0.3">
      <c r="A162" s="631" t="s">
        <v>231</v>
      </c>
      <c r="B162" s="631" t="s">
        <v>9</v>
      </c>
      <c r="C162" s="631"/>
      <c r="D162" s="631"/>
      <c r="E162" s="631"/>
      <c r="F162" s="631"/>
      <c r="G162" s="632">
        <v>14.5</v>
      </c>
      <c r="H162" s="633">
        <v>408</v>
      </c>
      <c r="I162" s="633">
        <v>2710</v>
      </c>
      <c r="J162" s="634">
        <v>3.4</v>
      </c>
      <c r="K162" s="635"/>
      <c r="L162" s="635"/>
      <c r="M162" s="635"/>
    </row>
    <row r="163" spans="1:13" x14ac:dyDescent="0.3">
      <c r="A163" s="635"/>
      <c r="B163" s="635"/>
      <c r="C163" s="635"/>
      <c r="D163" s="635"/>
      <c r="E163" s="635"/>
      <c r="F163" s="635"/>
      <c r="G163" s="636"/>
      <c r="H163" s="637"/>
      <c r="I163" s="637"/>
      <c r="J163" s="638"/>
      <c r="K163" s="635"/>
      <c r="L163" s="635"/>
      <c r="M163" s="635"/>
    </row>
    <row r="164" spans="1:13" x14ac:dyDescent="0.3">
      <c r="A164" s="635">
        <v>3.1</v>
      </c>
      <c r="B164" s="635" t="s">
        <v>232</v>
      </c>
      <c r="C164" s="635"/>
      <c r="D164" s="635"/>
      <c r="E164" s="635"/>
      <c r="F164" s="635"/>
      <c r="G164" s="636">
        <v>11.7</v>
      </c>
      <c r="H164" s="637">
        <v>331</v>
      </c>
      <c r="I164" s="637">
        <v>2560</v>
      </c>
      <c r="J164" s="638">
        <v>3.4</v>
      </c>
      <c r="K164" s="635"/>
      <c r="L164" s="635"/>
      <c r="M164" s="635"/>
    </row>
    <row r="165" spans="1:13" x14ac:dyDescent="0.3">
      <c r="A165" s="635"/>
      <c r="B165" s="635" t="s">
        <v>233</v>
      </c>
      <c r="C165" s="635" t="s">
        <v>234</v>
      </c>
      <c r="D165" s="635"/>
      <c r="E165" s="635"/>
      <c r="F165" s="635"/>
      <c r="G165" s="636">
        <v>2.6</v>
      </c>
      <c r="H165" s="637">
        <v>74</v>
      </c>
      <c r="I165" s="637">
        <v>620</v>
      </c>
      <c r="J165" s="638">
        <v>6.3</v>
      </c>
      <c r="K165" s="635"/>
      <c r="L165" s="635"/>
      <c r="M165" s="635"/>
    </row>
    <row r="166" spans="1:13" x14ac:dyDescent="0.3">
      <c r="A166" s="635"/>
      <c r="B166" s="635" t="s">
        <v>235</v>
      </c>
      <c r="C166" s="635" t="s">
        <v>236</v>
      </c>
      <c r="D166" s="635"/>
      <c r="E166" s="635"/>
      <c r="F166" s="635"/>
      <c r="G166" s="636">
        <v>0.4</v>
      </c>
      <c r="H166" s="637">
        <v>10</v>
      </c>
      <c r="I166" s="637">
        <v>270</v>
      </c>
      <c r="J166" s="638">
        <v>9.6</v>
      </c>
      <c r="K166" s="635"/>
      <c r="L166" s="635"/>
      <c r="M166" s="635"/>
    </row>
    <row r="167" spans="1:13" x14ac:dyDescent="0.3">
      <c r="A167" s="635"/>
      <c r="B167" s="635" t="s">
        <v>237</v>
      </c>
      <c r="C167" s="635" t="s">
        <v>238</v>
      </c>
      <c r="D167" s="635"/>
      <c r="E167" s="635"/>
      <c r="F167" s="635"/>
      <c r="G167" s="636">
        <v>4.7</v>
      </c>
      <c r="H167" s="637">
        <v>132</v>
      </c>
      <c r="I167" s="637">
        <v>1230</v>
      </c>
      <c r="J167" s="638">
        <v>4.8</v>
      </c>
      <c r="K167" s="635"/>
      <c r="L167" s="635"/>
      <c r="M167" s="635"/>
    </row>
    <row r="168" spans="1:13" x14ac:dyDescent="0.3">
      <c r="A168" s="635"/>
      <c r="B168" s="635" t="s">
        <v>239</v>
      </c>
      <c r="C168" s="635" t="s">
        <v>240</v>
      </c>
      <c r="D168" s="635"/>
      <c r="E168" s="635"/>
      <c r="F168" s="635"/>
      <c r="G168" s="636">
        <v>0.8</v>
      </c>
      <c r="H168" s="637">
        <v>21</v>
      </c>
      <c r="I168" s="637">
        <v>570</v>
      </c>
      <c r="J168" s="638">
        <v>6.2</v>
      </c>
      <c r="K168" s="635"/>
      <c r="L168" s="635"/>
      <c r="M168" s="635"/>
    </row>
    <row r="169" spans="1:13" x14ac:dyDescent="0.3">
      <c r="A169" s="635"/>
      <c r="B169" s="635" t="s">
        <v>241</v>
      </c>
      <c r="C169" s="635" t="s">
        <v>242</v>
      </c>
      <c r="D169" s="635"/>
      <c r="E169" s="635"/>
      <c r="F169" s="635"/>
      <c r="G169" s="636">
        <v>0.7</v>
      </c>
      <c r="H169" s="637">
        <v>19</v>
      </c>
      <c r="I169" s="637">
        <v>230</v>
      </c>
      <c r="J169" s="638">
        <v>11.7</v>
      </c>
      <c r="K169" s="635"/>
      <c r="L169" s="635"/>
      <c r="M169" s="635"/>
    </row>
    <row r="170" spans="1:13" x14ac:dyDescent="0.3">
      <c r="A170" s="635"/>
      <c r="B170" s="635" t="s">
        <v>243</v>
      </c>
      <c r="C170" s="635" t="s">
        <v>244</v>
      </c>
      <c r="D170" s="635"/>
      <c r="E170" s="635"/>
      <c r="F170" s="635"/>
      <c r="G170" s="636">
        <v>0.6</v>
      </c>
      <c r="H170" s="637">
        <v>17</v>
      </c>
      <c r="I170" s="637">
        <v>250</v>
      </c>
      <c r="J170" s="638">
        <v>9.6999999999999993</v>
      </c>
      <c r="K170" s="635"/>
      <c r="L170" s="635"/>
      <c r="M170" s="635"/>
    </row>
    <row r="171" spans="1:13" x14ac:dyDescent="0.3">
      <c r="A171" s="635"/>
      <c r="B171" s="635" t="s">
        <v>245</v>
      </c>
      <c r="C171" s="635" t="s">
        <v>246</v>
      </c>
      <c r="D171" s="635"/>
      <c r="E171" s="635"/>
      <c r="F171" s="635"/>
      <c r="G171" s="636">
        <v>0.5</v>
      </c>
      <c r="H171" s="637">
        <v>13</v>
      </c>
      <c r="I171" s="637">
        <v>180</v>
      </c>
      <c r="J171" s="638">
        <v>13.4</v>
      </c>
      <c r="K171" s="635"/>
      <c r="L171" s="635"/>
      <c r="M171" s="635"/>
    </row>
    <row r="172" spans="1:13" x14ac:dyDescent="0.3">
      <c r="A172" s="639"/>
      <c r="B172" s="639" t="s">
        <v>247</v>
      </c>
      <c r="C172" s="639" t="s">
        <v>248</v>
      </c>
      <c r="D172" s="639"/>
      <c r="E172" s="639"/>
      <c r="F172" s="639"/>
      <c r="G172" s="640">
        <v>0.3</v>
      </c>
      <c r="H172" s="641">
        <v>10</v>
      </c>
      <c r="I172" s="641">
        <v>250</v>
      </c>
      <c r="J172" s="642">
        <v>10.1</v>
      </c>
      <c r="K172" s="635"/>
      <c r="L172" s="635"/>
      <c r="M172" s="635"/>
    </row>
    <row r="173" spans="1:13" x14ac:dyDescent="0.3">
      <c r="A173" s="635"/>
      <c r="B173" s="635"/>
      <c r="C173" s="635"/>
      <c r="D173" s="635"/>
      <c r="E173" s="635"/>
      <c r="F173" s="635"/>
      <c r="G173" s="636"/>
      <c r="H173" s="637"/>
      <c r="I173" s="637"/>
      <c r="J173" s="638"/>
      <c r="K173" s="635"/>
      <c r="L173" s="635"/>
      <c r="M173" s="635"/>
    </row>
    <row r="174" spans="1:13" x14ac:dyDescent="0.3">
      <c r="A174" s="635"/>
      <c r="B174" s="635"/>
      <c r="C174" s="635"/>
      <c r="D174" s="635"/>
      <c r="E174" s="635"/>
      <c r="F174" s="635"/>
      <c r="G174" s="636"/>
      <c r="H174" s="637"/>
      <c r="I174" s="637"/>
      <c r="J174" s="638"/>
      <c r="K174" s="635"/>
      <c r="L174" s="635"/>
      <c r="M174" s="635"/>
    </row>
    <row r="175" spans="1:13" x14ac:dyDescent="0.3">
      <c r="A175" s="635" t="s">
        <v>111</v>
      </c>
      <c r="B175" s="635"/>
      <c r="C175" s="635"/>
      <c r="D175" s="635"/>
      <c r="E175" s="635"/>
      <c r="F175" s="635"/>
      <c r="G175" s="636"/>
      <c r="H175" s="637"/>
      <c r="I175" s="637"/>
      <c r="J175" s="638"/>
      <c r="K175" s="635"/>
      <c r="L175" s="635"/>
      <c r="M175" s="635"/>
    </row>
    <row r="176" spans="1:13" x14ac:dyDescent="0.3">
      <c r="A176" s="635" t="s">
        <v>182</v>
      </c>
      <c r="B176" s="635"/>
      <c r="C176" s="635"/>
      <c r="D176" s="635"/>
      <c r="E176" s="635"/>
      <c r="F176" s="635"/>
      <c r="G176" s="636"/>
      <c r="H176" s="637"/>
      <c r="I176" s="637"/>
      <c r="J176" s="638"/>
      <c r="K176" s="635"/>
      <c r="L176" s="635"/>
      <c r="M176" s="635"/>
    </row>
    <row r="177" spans="1:13" x14ac:dyDescent="0.3">
      <c r="A177" s="635" t="s">
        <v>112</v>
      </c>
      <c r="B177" s="635"/>
      <c r="C177" s="635"/>
      <c r="D177" s="635"/>
      <c r="E177" s="635"/>
      <c r="F177" s="635"/>
      <c r="G177" s="636"/>
      <c r="H177" s="637"/>
      <c r="I177" s="637"/>
      <c r="J177" s="638"/>
      <c r="K177" s="635"/>
      <c r="L177" s="635"/>
      <c r="M177" s="635"/>
    </row>
    <row r="178" spans="1:13" x14ac:dyDescent="0.3">
      <c r="G178" s="643"/>
    </row>
    <row r="179" spans="1:13" x14ac:dyDescent="0.3">
      <c r="G179" s="643"/>
    </row>
    <row r="180" spans="1:13" x14ac:dyDescent="0.3">
      <c r="G180" s="643"/>
    </row>
    <row r="181" spans="1:13" x14ac:dyDescent="0.3">
      <c r="G181" s="643"/>
    </row>
    <row r="182" spans="1:13" ht="15.6" x14ac:dyDescent="0.3">
      <c r="A182" s="159" t="s">
        <v>114</v>
      </c>
      <c r="B182" s="129"/>
      <c r="C182" s="157"/>
      <c r="D182" s="219"/>
      <c r="E182" s="219"/>
      <c r="F182" s="130"/>
      <c r="G182" s="219"/>
      <c r="H182" s="649"/>
      <c r="I182" s="649"/>
      <c r="J182" s="135"/>
      <c r="K182" s="218"/>
    </row>
    <row r="183" spans="1:13" ht="34.799999999999997" x14ac:dyDescent="0.3">
      <c r="A183" s="160" t="s">
        <v>183</v>
      </c>
      <c r="B183" s="161"/>
      <c r="C183" s="31"/>
      <c r="D183" s="32"/>
      <c r="E183" s="32"/>
      <c r="F183" s="33"/>
      <c r="G183" s="658"/>
      <c r="H183" s="659"/>
      <c r="I183" s="659"/>
      <c r="J183" s="646"/>
      <c r="K183" s="37"/>
    </row>
    <row r="184" spans="1:13" ht="17.399999999999999" x14ac:dyDescent="0.3">
      <c r="A184" s="41" t="s">
        <v>1360</v>
      </c>
      <c r="B184" s="168"/>
      <c r="C184" s="43"/>
      <c r="D184" s="44"/>
      <c r="E184" s="32"/>
      <c r="F184" s="33"/>
      <c r="G184" s="658"/>
      <c r="H184" s="659"/>
      <c r="I184" s="659"/>
      <c r="J184" s="660"/>
      <c r="K184" s="37"/>
    </row>
    <row r="185" spans="1:13" ht="2.5499999999999998" customHeight="1" x14ac:dyDescent="0.3">
      <c r="A185" s="71"/>
      <c r="B185" s="71"/>
      <c r="C185" s="72"/>
      <c r="D185" s="73"/>
      <c r="E185" s="73"/>
      <c r="F185" s="73"/>
      <c r="G185" s="73"/>
      <c r="H185" s="648"/>
      <c r="I185" s="648"/>
      <c r="J185" s="624"/>
      <c r="K185" s="53"/>
    </row>
    <row r="186" spans="1:13" x14ac:dyDescent="0.3">
      <c r="A186" s="81"/>
      <c r="B186" s="81"/>
      <c r="C186" s="55"/>
      <c r="D186" s="84"/>
      <c r="E186" s="84"/>
      <c r="F186" s="84"/>
      <c r="G186" s="219"/>
      <c r="H186" s="649"/>
      <c r="I186" s="649"/>
      <c r="J186" s="217"/>
      <c r="K186" s="53"/>
    </row>
    <row r="187" spans="1:13" x14ac:dyDescent="0.3">
      <c r="A187" s="172"/>
      <c r="B187" s="172"/>
      <c r="C187" s="173"/>
      <c r="D187" s="174"/>
      <c r="E187" s="174"/>
      <c r="F187" s="59"/>
      <c r="G187" s="650" t="s">
        <v>116</v>
      </c>
      <c r="H187" s="622" t="s">
        <v>25</v>
      </c>
      <c r="I187" s="622" t="s">
        <v>26</v>
      </c>
      <c r="J187" s="63" t="s">
        <v>117</v>
      </c>
      <c r="K187" s="179"/>
    </row>
    <row r="188" spans="1:13" x14ac:dyDescent="0.3">
      <c r="A188" s="172"/>
      <c r="B188" s="172"/>
      <c r="C188" s="181"/>
      <c r="D188" s="174"/>
      <c r="E188" s="174"/>
      <c r="F188" s="59"/>
      <c r="G188" s="651" t="s">
        <v>29</v>
      </c>
      <c r="H188" s="622" t="s">
        <v>27</v>
      </c>
      <c r="I188" s="622" t="s">
        <v>28</v>
      </c>
      <c r="J188" s="63" t="s">
        <v>118</v>
      </c>
      <c r="K188" s="179"/>
    </row>
    <row r="189" spans="1:13" x14ac:dyDescent="0.3">
      <c r="A189" s="172"/>
      <c r="B189" s="172"/>
      <c r="C189" s="181"/>
      <c r="D189" s="174"/>
      <c r="E189" s="174"/>
      <c r="F189" s="59"/>
      <c r="G189" s="650" t="s">
        <v>31</v>
      </c>
      <c r="H189" s="622" t="s">
        <v>29</v>
      </c>
      <c r="I189" s="622" t="s">
        <v>30</v>
      </c>
      <c r="J189" s="63" t="s">
        <v>119</v>
      </c>
      <c r="K189" s="179"/>
    </row>
    <row r="190" spans="1:13" x14ac:dyDescent="0.3">
      <c r="A190" s="172"/>
      <c r="B190" s="172"/>
      <c r="C190" s="181"/>
      <c r="D190" s="174"/>
      <c r="E190" s="174"/>
      <c r="F190" s="59"/>
      <c r="G190" s="651" t="s">
        <v>32</v>
      </c>
      <c r="H190" s="622" t="s">
        <v>33</v>
      </c>
      <c r="I190" s="622" t="s">
        <v>120</v>
      </c>
      <c r="J190" s="63" t="s">
        <v>121</v>
      </c>
      <c r="K190" s="179"/>
    </row>
    <row r="191" spans="1:13" x14ac:dyDescent="0.3">
      <c r="A191" s="71"/>
      <c r="B191" s="71"/>
      <c r="C191" s="72"/>
      <c r="D191" s="73"/>
      <c r="E191" s="73"/>
      <c r="F191" s="73"/>
      <c r="G191" s="73"/>
      <c r="H191" s="648"/>
      <c r="I191" s="648"/>
      <c r="J191" s="624"/>
      <c r="K191" s="53"/>
    </row>
    <row r="192" spans="1:13" ht="2.5499999999999998" customHeight="1" x14ac:dyDescent="0.3">
      <c r="A192" s="80"/>
      <c r="B192" s="81"/>
      <c r="C192" s="82"/>
      <c r="D192" s="83"/>
      <c r="E192" s="83"/>
      <c r="F192" s="84"/>
      <c r="G192" s="83"/>
      <c r="H192" s="661"/>
      <c r="I192" s="661"/>
      <c r="J192" s="231"/>
      <c r="K192" s="53"/>
    </row>
    <row r="193" spans="1:13" x14ac:dyDescent="0.3">
      <c r="A193" s="111" t="s">
        <v>123</v>
      </c>
      <c r="B193" s="112"/>
      <c r="C193" s="113"/>
      <c r="D193" s="93"/>
      <c r="F193" t="s">
        <v>124</v>
      </c>
      <c r="G193" s="643"/>
    </row>
    <row r="194" spans="1:13" x14ac:dyDescent="0.3">
      <c r="G194" s="643"/>
    </row>
    <row r="195" spans="1:13" x14ac:dyDescent="0.3">
      <c r="A195" s="631" t="s">
        <v>231</v>
      </c>
      <c r="B195" s="631" t="s">
        <v>249</v>
      </c>
      <c r="C195" s="631"/>
      <c r="D195" s="631"/>
      <c r="E195" s="631"/>
      <c r="F195" s="631"/>
      <c r="G195" s="632"/>
      <c r="H195" s="633"/>
      <c r="I195" s="633"/>
      <c r="J195" s="634"/>
      <c r="K195" s="635"/>
      <c r="L195" s="635"/>
      <c r="M195" s="635"/>
    </row>
    <row r="196" spans="1:13" x14ac:dyDescent="0.3">
      <c r="A196" s="635"/>
      <c r="B196" s="635"/>
      <c r="C196" s="635"/>
      <c r="D196" s="635"/>
      <c r="E196" s="635"/>
      <c r="F196" s="635"/>
      <c r="G196" s="636"/>
      <c r="H196" s="637"/>
      <c r="I196" s="637"/>
      <c r="J196" s="638"/>
      <c r="K196" s="635"/>
      <c r="L196" s="635"/>
      <c r="M196" s="635"/>
    </row>
    <row r="197" spans="1:13" x14ac:dyDescent="0.3">
      <c r="A197" s="635"/>
      <c r="B197" s="635" t="s">
        <v>250</v>
      </c>
      <c r="C197" s="635" t="s">
        <v>251</v>
      </c>
      <c r="D197" s="635"/>
      <c r="E197" s="635"/>
      <c r="F197" s="635"/>
      <c r="G197" s="636">
        <v>0.8</v>
      </c>
      <c r="H197" s="637">
        <v>22</v>
      </c>
      <c r="I197" s="637">
        <v>810</v>
      </c>
      <c r="J197" s="638">
        <v>6.6</v>
      </c>
      <c r="K197" s="635"/>
      <c r="L197" s="635"/>
      <c r="M197" s="635"/>
    </row>
    <row r="198" spans="1:13" x14ac:dyDescent="0.3">
      <c r="A198" s="635"/>
      <c r="B198" s="635"/>
      <c r="C198" s="635" t="s">
        <v>252</v>
      </c>
      <c r="D198" s="635" t="s">
        <v>253</v>
      </c>
      <c r="E198" s="635"/>
      <c r="F198" s="635"/>
      <c r="G198" s="636">
        <v>0.3</v>
      </c>
      <c r="H198" s="637">
        <v>7</v>
      </c>
      <c r="I198" s="637">
        <v>280</v>
      </c>
      <c r="J198" s="638">
        <v>10.3</v>
      </c>
      <c r="K198" s="635"/>
      <c r="L198" s="635"/>
      <c r="M198" s="635"/>
    </row>
    <row r="199" spans="1:13" x14ac:dyDescent="0.3">
      <c r="A199" s="635"/>
      <c r="B199" s="635"/>
      <c r="C199" s="635" t="s">
        <v>254</v>
      </c>
      <c r="D199" s="635" t="s">
        <v>255</v>
      </c>
      <c r="E199" s="635"/>
      <c r="F199" s="635"/>
      <c r="G199" s="636">
        <v>0.4</v>
      </c>
      <c r="H199" s="637">
        <v>12</v>
      </c>
      <c r="I199" s="637">
        <v>480</v>
      </c>
      <c r="J199" s="638">
        <v>9.5</v>
      </c>
      <c r="K199" s="635"/>
      <c r="L199" s="635"/>
      <c r="M199" s="635"/>
    </row>
    <row r="200" spans="1:13" x14ac:dyDescent="0.3">
      <c r="A200" s="635"/>
      <c r="B200" s="635"/>
      <c r="C200" s="635" t="s">
        <v>256</v>
      </c>
      <c r="D200" s="635" t="s">
        <v>257</v>
      </c>
      <c r="E200" s="635"/>
      <c r="F200" s="635"/>
      <c r="G200" s="636">
        <v>0.1</v>
      </c>
      <c r="H200" s="637">
        <v>2</v>
      </c>
      <c r="I200" s="637">
        <v>120</v>
      </c>
      <c r="J200" s="638">
        <v>12.6</v>
      </c>
      <c r="K200" s="635"/>
      <c r="L200" s="635"/>
      <c r="M200" s="635"/>
    </row>
    <row r="201" spans="1:13" x14ac:dyDescent="0.3">
      <c r="A201" s="635"/>
      <c r="B201" s="635"/>
      <c r="C201" s="635" t="s">
        <v>258</v>
      </c>
      <c r="D201" s="635" t="s">
        <v>259</v>
      </c>
      <c r="E201" s="635"/>
      <c r="F201" s="635"/>
      <c r="G201" s="636">
        <v>0.1</v>
      </c>
      <c r="H201" s="637">
        <v>2</v>
      </c>
      <c r="I201" s="637">
        <v>20</v>
      </c>
      <c r="J201" s="638">
        <v>28.5</v>
      </c>
      <c r="K201" s="635"/>
      <c r="L201" s="635"/>
      <c r="M201" s="635"/>
    </row>
    <row r="202" spans="1:13" x14ac:dyDescent="0.3">
      <c r="A202" s="635"/>
      <c r="B202" s="635"/>
      <c r="C202" s="635"/>
      <c r="D202" s="635"/>
      <c r="E202" s="635"/>
      <c r="F202" s="635"/>
      <c r="G202" s="636"/>
      <c r="H202" s="637"/>
      <c r="I202" s="637"/>
      <c r="J202" s="638"/>
      <c r="K202" s="635"/>
      <c r="L202" s="635"/>
      <c r="M202" s="635"/>
    </row>
    <row r="203" spans="1:13" x14ac:dyDescent="0.3">
      <c r="A203" s="635"/>
      <c r="B203" s="635" t="s">
        <v>260</v>
      </c>
      <c r="C203" s="635" t="s">
        <v>261</v>
      </c>
      <c r="D203" s="635"/>
      <c r="E203" s="635"/>
      <c r="F203" s="635"/>
      <c r="G203" s="636">
        <v>0.3</v>
      </c>
      <c r="H203" s="637">
        <v>9</v>
      </c>
      <c r="I203" s="637">
        <v>260</v>
      </c>
      <c r="J203" s="638">
        <v>11.4</v>
      </c>
      <c r="K203" s="635"/>
      <c r="L203" s="635"/>
      <c r="M203" s="635"/>
    </row>
    <row r="204" spans="1:13" x14ac:dyDescent="0.3">
      <c r="A204" s="635"/>
      <c r="B204" s="635"/>
      <c r="C204" s="635"/>
      <c r="D204" s="635"/>
      <c r="E204" s="635"/>
      <c r="F204" s="635"/>
      <c r="G204" s="636"/>
      <c r="H204" s="637"/>
      <c r="I204" s="637"/>
      <c r="J204" s="638"/>
      <c r="K204" s="635"/>
      <c r="L204" s="635"/>
      <c r="M204" s="635"/>
    </row>
    <row r="205" spans="1:13" x14ac:dyDescent="0.3">
      <c r="A205" s="635"/>
      <c r="B205" s="635" t="s">
        <v>262</v>
      </c>
      <c r="C205" s="635" t="s">
        <v>263</v>
      </c>
      <c r="D205" s="635"/>
      <c r="E205" s="635"/>
      <c r="F205" s="635"/>
      <c r="G205" s="636">
        <v>0.1</v>
      </c>
      <c r="H205" s="637">
        <v>2</v>
      </c>
      <c r="I205" s="637">
        <v>40</v>
      </c>
      <c r="J205" s="638">
        <v>20.3</v>
      </c>
      <c r="K205" s="635"/>
      <c r="L205" s="635"/>
      <c r="M205" s="635"/>
    </row>
    <row r="206" spans="1:13" x14ac:dyDescent="0.3">
      <c r="A206" s="635"/>
      <c r="B206" s="635"/>
      <c r="C206" s="635" t="s">
        <v>264</v>
      </c>
      <c r="D206" s="635" t="s">
        <v>265</v>
      </c>
      <c r="E206" s="635"/>
      <c r="F206" s="635"/>
      <c r="G206" s="636">
        <v>0.1</v>
      </c>
      <c r="H206" s="637">
        <v>2</v>
      </c>
      <c r="I206" s="637">
        <v>30</v>
      </c>
      <c r="J206" s="638">
        <v>26.2</v>
      </c>
      <c r="K206" s="635"/>
      <c r="L206" s="635"/>
      <c r="M206" s="635"/>
    </row>
    <row r="207" spans="1:13" x14ac:dyDescent="0.3">
      <c r="A207" s="635"/>
      <c r="B207" s="635"/>
      <c r="C207" s="635" t="s">
        <v>266</v>
      </c>
      <c r="D207" s="635" t="s">
        <v>267</v>
      </c>
      <c r="E207" s="635"/>
      <c r="F207" s="635"/>
      <c r="G207" s="655" t="s">
        <v>1237</v>
      </c>
      <c r="H207" s="656" t="s">
        <v>1113</v>
      </c>
      <c r="I207" s="637">
        <v>20</v>
      </c>
      <c r="J207" s="638">
        <v>30.8</v>
      </c>
      <c r="K207" s="635"/>
      <c r="L207" s="635"/>
      <c r="M207" s="635"/>
    </row>
    <row r="208" spans="1:13" x14ac:dyDescent="0.3">
      <c r="A208" s="635"/>
      <c r="B208" s="635"/>
      <c r="C208" s="635"/>
      <c r="D208" s="635"/>
      <c r="E208" s="635"/>
      <c r="F208" s="635"/>
      <c r="G208" s="636"/>
      <c r="H208" s="637"/>
      <c r="I208" s="637"/>
      <c r="J208" s="638"/>
      <c r="K208" s="635"/>
      <c r="L208" s="635"/>
      <c r="M208" s="635"/>
    </row>
    <row r="209" spans="1:13" x14ac:dyDescent="0.3">
      <c r="A209" s="635">
        <v>3.2</v>
      </c>
      <c r="B209" s="635" t="s">
        <v>268</v>
      </c>
      <c r="C209" s="635"/>
      <c r="D209" s="635"/>
      <c r="E209" s="635"/>
      <c r="F209" s="635"/>
      <c r="G209" s="636">
        <v>2.7</v>
      </c>
      <c r="H209" s="637">
        <v>77</v>
      </c>
      <c r="I209" s="637">
        <v>730</v>
      </c>
      <c r="J209" s="638">
        <v>6.8</v>
      </c>
      <c r="K209" s="635"/>
      <c r="L209" s="635"/>
      <c r="M209" s="635"/>
    </row>
    <row r="210" spans="1:13" x14ac:dyDescent="0.3">
      <c r="A210" s="635"/>
      <c r="B210" s="635" t="s">
        <v>269</v>
      </c>
      <c r="C210" s="635" t="s">
        <v>270</v>
      </c>
      <c r="D210" s="635"/>
      <c r="E210" s="635"/>
      <c r="F210" s="635"/>
      <c r="G210" s="636">
        <v>1.2</v>
      </c>
      <c r="H210" s="637">
        <v>35</v>
      </c>
      <c r="I210" s="637">
        <v>230</v>
      </c>
      <c r="J210" s="638">
        <v>12.4</v>
      </c>
      <c r="K210" s="635"/>
      <c r="L210" s="635"/>
      <c r="M210" s="635"/>
    </row>
    <row r="211" spans="1:13" x14ac:dyDescent="0.3">
      <c r="A211" s="635"/>
      <c r="B211" s="635" t="s">
        <v>271</v>
      </c>
      <c r="C211" s="635" t="s">
        <v>272</v>
      </c>
      <c r="D211" s="635"/>
      <c r="E211" s="635"/>
      <c r="F211" s="635"/>
      <c r="G211" s="636">
        <v>1.1000000000000001</v>
      </c>
      <c r="H211" s="637">
        <v>32</v>
      </c>
      <c r="I211" s="637">
        <v>420</v>
      </c>
      <c r="J211" s="638">
        <v>8</v>
      </c>
      <c r="K211" s="635"/>
      <c r="L211" s="635"/>
      <c r="M211" s="635"/>
    </row>
    <row r="212" spans="1:13" x14ac:dyDescent="0.3">
      <c r="A212" s="635"/>
      <c r="B212" s="635" t="s">
        <v>273</v>
      </c>
      <c r="C212" s="635" t="s">
        <v>274</v>
      </c>
      <c r="D212" s="635"/>
      <c r="E212" s="635"/>
      <c r="F212" s="635"/>
      <c r="G212" s="636">
        <v>0.4</v>
      </c>
      <c r="H212" s="637">
        <v>10</v>
      </c>
      <c r="I212" s="637">
        <v>140</v>
      </c>
      <c r="J212" s="638">
        <v>10.9</v>
      </c>
      <c r="K212" s="635"/>
      <c r="L212" s="635"/>
      <c r="M212" s="635"/>
    </row>
    <row r="213" spans="1:13" x14ac:dyDescent="0.3">
      <c r="A213" s="635"/>
      <c r="B213" s="635" t="s">
        <v>275</v>
      </c>
      <c r="C213" s="635" t="s">
        <v>276</v>
      </c>
      <c r="D213" s="635"/>
      <c r="E213" s="635"/>
      <c r="F213" s="635"/>
      <c r="G213" s="636">
        <v>0</v>
      </c>
      <c r="H213" s="637">
        <v>0</v>
      </c>
      <c r="I213" s="637">
        <v>10</v>
      </c>
      <c r="J213" s="638">
        <v>31.4</v>
      </c>
      <c r="K213" s="635"/>
      <c r="L213" s="635"/>
      <c r="M213" s="635"/>
    </row>
    <row r="214" spans="1:13" x14ac:dyDescent="0.3">
      <c r="A214" s="635"/>
      <c r="B214" s="635"/>
      <c r="C214" s="635"/>
      <c r="D214" s="635"/>
      <c r="E214" s="635"/>
      <c r="F214" s="635"/>
      <c r="G214" s="636"/>
      <c r="H214" s="637"/>
      <c r="I214" s="637"/>
      <c r="J214" s="638"/>
      <c r="K214" s="635"/>
      <c r="L214" s="635"/>
      <c r="M214" s="635"/>
    </row>
    <row r="215" spans="1:13" x14ac:dyDescent="0.3">
      <c r="A215" s="639"/>
      <c r="B215" s="639"/>
      <c r="C215" s="639"/>
      <c r="D215" s="639"/>
      <c r="E215" s="639"/>
      <c r="F215" s="639"/>
      <c r="G215" s="640"/>
      <c r="H215" s="641"/>
      <c r="I215" s="641"/>
      <c r="J215" s="642"/>
      <c r="K215" s="635"/>
      <c r="L215" s="635"/>
      <c r="M215" s="635"/>
    </row>
    <row r="216" spans="1:13" x14ac:dyDescent="0.3">
      <c r="A216" s="631">
        <v>4</v>
      </c>
      <c r="B216" s="631" t="s">
        <v>1361</v>
      </c>
      <c r="C216" s="631"/>
      <c r="D216" s="631"/>
      <c r="E216" s="631"/>
      <c r="F216" s="631"/>
      <c r="G216" s="632">
        <v>84.6</v>
      </c>
      <c r="H216" s="633">
        <v>2386</v>
      </c>
      <c r="I216" s="633">
        <v>5390</v>
      </c>
      <c r="J216" s="634">
        <v>1.9</v>
      </c>
      <c r="K216" s="635"/>
      <c r="L216" s="635"/>
      <c r="M216" s="635"/>
    </row>
    <row r="217" spans="1:13" x14ac:dyDescent="0.3">
      <c r="A217" s="635"/>
      <c r="B217" s="635"/>
      <c r="C217" s="635"/>
      <c r="D217" s="635"/>
      <c r="E217" s="635"/>
      <c r="F217" s="635"/>
      <c r="G217" s="636"/>
      <c r="H217" s="637"/>
      <c r="I217" s="637"/>
      <c r="J217" s="638"/>
      <c r="K217" s="635"/>
      <c r="L217" s="635"/>
      <c r="M217" s="635"/>
    </row>
    <row r="218" spans="1:13" x14ac:dyDescent="0.3">
      <c r="A218" s="635">
        <v>4.0999999999999996</v>
      </c>
      <c r="B218" s="635" t="s">
        <v>278</v>
      </c>
      <c r="C218" s="635"/>
      <c r="D218" s="635"/>
      <c r="E218" s="635"/>
      <c r="F218" s="635"/>
      <c r="G218" s="636">
        <v>51.2</v>
      </c>
      <c r="H218" s="637">
        <v>1443</v>
      </c>
      <c r="I218" s="637">
        <v>1350</v>
      </c>
      <c r="J218" s="638">
        <v>3.2</v>
      </c>
      <c r="K218" s="635"/>
      <c r="L218" s="635"/>
      <c r="M218" s="635"/>
    </row>
    <row r="219" spans="1:13" x14ac:dyDescent="0.3">
      <c r="A219" s="635"/>
      <c r="B219" s="635" t="s">
        <v>279</v>
      </c>
      <c r="C219" s="635" t="s">
        <v>280</v>
      </c>
      <c r="D219" s="635"/>
      <c r="E219" s="635"/>
      <c r="F219" s="635"/>
      <c r="G219" s="636">
        <v>51</v>
      </c>
      <c r="H219" s="637">
        <v>1439</v>
      </c>
      <c r="I219" s="637">
        <v>1340</v>
      </c>
      <c r="J219" s="638">
        <v>3.2</v>
      </c>
      <c r="K219" s="635"/>
      <c r="L219" s="635"/>
      <c r="M219" s="635"/>
    </row>
    <row r="220" spans="1:13" x14ac:dyDescent="0.3">
      <c r="A220" s="635"/>
      <c r="B220" s="635" t="s">
        <v>281</v>
      </c>
      <c r="C220" s="635" t="s">
        <v>1122</v>
      </c>
      <c r="D220" s="635"/>
      <c r="E220" s="635"/>
      <c r="F220" s="635"/>
      <c r="G220" s="636">
        <v>9.6999999999999993</v>
      </c>
      <c r="H220" s="637">
        <v>274</v>
      </c>
      <c r="I220" s="637">
        <v>750</v>
      </c>
      <c r="J220" s="638">
        <v>6.6</v>
      </c>
      <c r="K220" s="635"/>
      <c r="L220" s="635"/>
      <c r="M220" s="635"/>
    </row>
    <row r="221" spans="1:13" x14ac:dyDescent="0.3">
      <c r="A221" s="635"/>
      <c r="B221" s="635" t="s">
        <v>283</v>
      </c>
      <c r="C221" s="635" t="s">
        <v>1362</v>
      </c>
      <c r="D221" s="635"/>
      <c r="E221" s="635"/>
      <c r="F221" s="635"/>
      <c r="G221" s="636">
        <v>41.3</v>
      </c>
      <c r="H221" s="637">
        <v>1165</v>
      </c>
      <c r="I221" s="637">
        <v>1210</v>
      </c>
      <c r="J221" s="638">
        <v>3.7</v>
      </c>
      <c r="K221" s="635"/>
      <c r="L221" s="635"/>
      <c r="M221" s="635"/>
    </row>
    <row r="222" spans="1:13" x14ac:dyDescent="0.3">
      <c r="A222" s="635"/>
      <c r="B222" s="635" t="s">
        <v>285</v>
      </c>
      <c r="C222" s="635" t="s">
        <v>286</v>
      </c>
      <c r="D222" s="635"/>
      <c r="E222" s="635"/>
      <c r="F222" s="635"/>
      <c r="G222" s="636">
        <v>0.1</v>
      </c>
      <c r="H222" s="637">
        <v>3</v>
      </c>
      <c r="I222" s="637">
        <v>10</v>
      </c>
      <c r="J222" s="638">
        <v>41.5</v>
      </c>
      <c r="K222" s="635"/>
      <c r="L222" s="635"/>
      <c r="M222" s="635"/>
    </row>
    <row r="223" spans="1:13" x14ac:dyDescent="0.3">
      <c r="A223" s="635"/>
      <c r="B223" s="635"/>
      <c r="C223" s="635"/>
      <c r="D223" s="635"/>
      <c r="E223" s="635"/>
      <c r="F223" s="635"/>
      <c r="G223" s="636"/>
      <c r="H223" s="637"/>
      <c r="I223" s="637"/>
      <c r="J223" s="638"/>
      <c r="K223" s="635"/>
      <c r="L223" s="635"/>
      <c r="M223" s="635"/>
    </row>
    <row r="224" spans="1:13" x14ac:dyDescent="0.3">
      <c r="A224" s="635">
        <v>4.2</v>
      </c>
      <c r="B224" s="635" t="s">
        <v>287</v>
      </c>
      <c r="C224" s="635"/>
      <c r="D224" s="635"/>
      <c r="E224" s="635"/>
      <c r="F224" s="635"/>
      <c r="G224" s="636">
        <v>10</v>
      </c>
      <c r="H224" s="637">
        <v>283</v>
      </c>
      <c r="I224" s="637">
        <v>2230</v>
      </c>
      <c r="J224" s="638">
        <v>6</v>
      </c>
      <c r="K224" s="635"/>
      <c r="L224" s="635"/>
      <c r="M224" s="635"/>
    </row>
    <row r="225" spans="1:13" x14ac:dyDescent="0.3">
      <c r="A225" s="635"/>
      <c r="B225" s="635" t="s">
        <v>288</v>
      </c>
      <c r="C225" s="635" t="s">
        <v>289</v>
      </c>
      <c r="D225" s="635"/>
      <c r="E225" s="635"/>
      <c r="F225" s="635"/>
      <c r="G225" s="636">
        <v>1.2</v>
      </c>
      <c r="H225" s="637">
        <v>34</v>
      </c>
      <c r="I225" s="637">
        <v>1040</v>
      </c>
      <c r="J225" s="638">
        <v>11.5</v>
      </c>
      <c r="K225" s="635"/>
      <c r="L225" s="635"/>
      <c r="M225" s="635"/>
    </row>
    <row r="226" spans="1:13" x14ac:dyDescent="0.3">
      <c r="A226" s="635"/>
      <c r="B226" s="635" t="s">
        <v>290</v>
      </c>
      <c r="C226" s="635" t="s">
        <v>291</v>
      </c>
      <c r="D226" s="635"/>
      <c r="E226" s="635"/>
      <c r="F226" s="635"/>
      <c r="G226" s="636">
        <v>5.6</v>
      </c>
      <c r="H226" s="637">
        <v>157</v>
      </c>
      <c r="I226" s="637">
        <v>1000</v>
      </c>
      <c r="J226" s="638">
        <v>9.9</v>
      </c>
      <c r="K226" s="635"/>
      <c r="L226" s="635"/>
      <c r="M226" s="635"/>
    </row>
    <row r="227" spans="1:13" x14ac:dyDescent="0.3">
      <c r="A227" s="635"/>
      <c r="B227" s="635" t="s">
        <v>292</v>
      </c>
      <c r="C227" s="635" t="s">
        <v>293</v>
      </c>
      <c r="D227" s="635"/>
      <c r="E227" s="635"/>
      <c r="F227" s="635"/>
      <c r="G227" s="636">
        <v>1.9</v>
      </c>
      <c r="H227" s="637">
        <v>53</v>
      </c>
      <c r="I227" s="637">
        <v>550</v>
      </c>
      <c r="J227" s="638">
        <v>7.9</v>
      </c>
      <c r="K227" s="635"/>
      <c r="L227" s="635"/>
      <c r="M227" s="635"/>
    </row>
    <row r="228" spans="1:13" x14ac:dyDescent="0.3">
      <c r="A228" s="635"/>
      <c r="B228" s="635" t="s">
        <v>294</v>
      </c>
      <c r="C228" s="635" t="s">
        <v>295</v>
      </c>
      <c r="D228" s="635"/>
      <c r="E228" s="635"/>
      <c r="F228" s="635"/>
      <c r="G228" s="636">
        <v>1.4</v>
      </c>
      <c r="H228" s="637">
        <v>39</v>
      </c>
      <c r="I228" s="637">
        <v>480</v>
      </c>
      <c r="J228" s="638">
        <v>12.3</v>
      </c>
      <c r="K228" s="635"/>
      <c r="L228" s="635"/>
      <c r="M228" s="635"/>
    </row>
    <row r="229" spans="1:13" x14ac:dyDescent="0.3">
      <c r="A229" s="635"/>
      <c r="B229" s="635"/>
      <c r="C229" s="635"/>
      <c r="D229" s="635"/>
      <c r="E229" s="635"/>
      <c r="F229" s="635"/>
      <c r="G229" s="636"/>
      <c r="H229" s="637"/>
      <c r="I229" s="637"/>
      <c r="J229" s="638"/>
      <c r="K229" s="635"/>
      <c r="L229" s="635"/>
      <c r="M229" s="635"/>
    </row>
    <row r="230" spans="1:13" x14ac:dyDescent="0.3">
      <c r="A230" s="635">
        <v>4.3</v>
      </c>
      <c r="B230" s="635" t="s">
        <v>296</v>
      </c>
      <c r="C230" s="635"/>
      <c r="D230" s="635"/>
      <c r="E230" s="635"/>
      <c r="F230" s="635"/>
      <c r="G230" s="636">
        <v>9.9</v>
      </c>
      <c r="H230" s="637">
        <v>280</v>
      </c>
      <c r="I230" s="637">
        <v>5170</v>
      </c>
      <c r="J230" s="638">
        <v>2</v>
      </c>
      <c r="K230" s="635"/>
      <c r="L230" s="635"/>
      <c r="M230" s="635"/>
    </row>
    <row r="231" spans="1:13" x14ac:dyDescent="0.3">
      <c r="A231" s="635"/>
      <c r="B231" s="635" t="s">
        <v>297</v>
      </c>
      <c r="C231" s="635" t="s">
        <v>298</v>
      </c>
      <c r="D231" s="635"/>
      <c r="E231" s="635"/>
      <c r="F231" s="635"/>
      <c r="G231" s="636">
        <v>7.8</v>
      </c>
      <c r="H231" s="637">
        <v>221</v>
      </c>
      <c r="I231" s="637">
        <v>5100</v>
      </c>
      <c r="J231" s="638">
        <v>1</v>
      </c>
      <c r="K231" s="635"/>
      <c r="L231" s="635"/>
      <c r="M231" s="635"/>
    </row>
    <row r="232" spans="1:13" x14ac:dyDescent="0.3">
      <c r="A232" s="635"/>
      <c r="B232" s="635" t="s">
        <v>299</v>
      </c>
      <c r="C232" s="635" t="s">
        <v>300</v>
      </c>
      <c r="D232" s="635"/>
      <c r="E232" s="635"/>
      <c r="F232" s="635"/>
      <c r="G232" s="636">
        <v>1.9</v>
      </c>
      <c r="H232" s="637">
        <v>52</v>
      </c>
      <c r="I232" s="637">
        <v>570</v>
      </c>
      <c r="J232" s="638">
        <v>9.1999999999999993</v>
      </c>
      <c r="K232" s="635"/>
      <c r="L232" s="635"/>
      <c r="M232" s="635"/>
    </row>
    <row r="233" spans="1:13" x14ac:dyDescent="0.3">
      <c r="A233" s="635"/>
      <c r="B233" s="635" t="s">
        <v>301</v>
      </c>
      <c r="C233" s="635" t="s">
        <v>302</v>
      </c>
      <c r="D233" s="635"/>
      <c r="E233" s="635"/>
      <c r="F233" s="635"/>
      <c r="G233" s="636">
        <v>0.3</v>
      </c>
      <c r="H233" s="637">
        <v>7</v>
      </c>
      <c r="I233" s="637">
        <v>50</v>
      </c>
      <c r="J233" s="638">
        <v>32.299999999999997</v>
      </c>
      <c r="K233" s="635"/>
      <c r="L233" s="635"/>
      <c r="M233" s="635"/>
    </row>
    <row r="234" spans="1:13" x14ac:dyDescent="0.3">
      <c r="A234" s="635"/>
      <c r="B234" s="635"/>
      <c r="C234" s="635"/>
      <c r="D234" s="635"/>
      <c r="E234" s="635"/>
      <c r="F234" s="635"/>
      <c r="G234" s="636"/>
      <c r="H234" s="637"/>
      <c r="I234" s="637"/>
      <c r="J234" s="638"/>
      <c r="K234" s="635"/>
      <c r="L234" s="635"/>
      <c r="M234" s="635"/>
    </row>
    <row r="235" spans="1:13" x14ac:dyDescent="0.3">
      <c r="A235" s="635">
        <v>4.4000000000000004</v>
      </c>
      <c r="B235" s="635" t="s">
        <v>303</v>
      </c>
      <c r="C235" s="635"/>
      <c r="D235" s="635"/>
      <c r="E235" s="635"/>
      <c r="F235" s="635"/>
      <c r="G235" s="636">
        <v>23.2</v>
      </c>
      <c r="H235" s="637">
        <v>654</v>
      </c>
      <c r="I235" s="637">
        <v>5360</v>
      </c>
      <c r="J235" s="638">
        <v>0.9</v>
      </c>
      <c r="K235" s="635"/>
      <c r="L235" s="635"/>
      <c r="M235" s="635"/>
    </row>
    <row r="236" spans="1:13" x14ac:dyDescent="0.3">
      <c r="A236" s="635"/>
      <c r="B236" s="635" t="s">
        <v>304</v>
      </c>
      <c r="C236" s="635" t="s">
        <v>305</v>
      </c>
      <c r="D236" s="635"/>
      <c r="E236" s="635"/>
      <c r="F236" s="635"/>
      <c r="G236" s="636">
        <v>12.4</v>
      </c>
      <c r="H236" s="637">
        <v>350</v>
      </c>
      <c r="I236" s="637">
        <v>5360</v>
      </c>
      <c r="J236" s="638">
        <v>1.2</v>
      </c>
      <c r="K236" s="635"/>
      <c r="L236" s="635"/>
      <c r="M236" s="635"/>
    </row>
    <row r="237" spans="1:13" x14ac:dyDescent="0.3">
      <c r="A237" s="635"/>
      <c r="B237" s="635" t="s">
        <v>306</v>
      </c>
      <c r="C237" s="635" t="s">
        <v>307</v>
      </c>
      <c r="D237" s="635"/>
      <c r="E237" s="635"/>
      <c r="F237" s="635"/>
      <c r="G237" s="636">
        <v>9.6</v>
      </c>
      <c r="H237" s="637">
        <v>271</v>
      </c>
      <c r="I237" s="637">
        <v>4500</v>
      </c>
      <c r="J237" s="638">
        <v>1.3</v>
      </c>
      <c r="K237" s="635"/>
      <c r="L237" s="635"/>
      <c r="M237" s="635"/>
    </row>
    <row r="238" spans="1:13" x14ac:dyDescent="0.3">
      <c r="A238" s="635"/>
      <c r="B238" s="635"/>
      <c r="C238" s="635"/>
      <c r="D238" s="635"/>
      <c r="E238" s="635"/>
      <c r="F238" s="635"/>
      <c r="G238" s="636"/>
      <c r="H238" s="637"/>
      <c r="I238" s="637"/>
      <c r="J238" s="638"/>
      <c r="K238" s="635"/>
      <c r="L238" s="635"/>
      <c r="M238" s="635"/>
    </row>
    <row r="239" spans="1:13" x14ac:dyDescent="0.3">
      <c r="A239" s="635"/>
      <c r="B239" s="635" t="s">
        <v>308</v>
      </c>
      <c r="C239" s="635" t="s">
        <v>309</v>
      </c>
      <c r="D239" s="635"/>
      <c r="E239" s="635"/>
      <c r="F239" s="635"/>
      <c r="G239" s="636">
        <v>1.2</v>
      </c>
      <c r="H239" s="637">
        <v>33</v>
      </c>
      <c r="I239" s="637">
        <v>440</v>
      </c>
      <c r="J239" s="638">
        <v>7.4</v>
      </c>
      <c r="K239" s="635"/>
      <c r="L239" s="635"/>
      <c r="M239" s="635"/>
    </row>
    <row r="240" spans="1:13" x14ac:dyDescent="0.3">
      <c r="A240" s="635"/>
      <c r="B240" s="635"/>
      <c r="C240" s="635" t="s">
        <v>310</v>
      </c>
      <c r="D240" s="635" t="s">
        <v>311</v>
      </c>
      <c r="E240" s="635"/>
      <c r="F240" s="635"/>
      <c r="G240" s="636">
        <v>0.2</v>
      </c>
      <c r="H240" s="637">
        <v>5</v>
      </c>
      <c r="I240" s="637">
        <v>120</v>
      </c>
      <c r="J240" s="638">
        <v>14</v>
      </c>
      <c r="K240" s="635"/>
      <c r="L240" s="635"/>
      <c r="M240" s="635"/>
    </row>
    <row r="241" spans="1:13" x14ac:dyDescent="0.3">
      <c r="A241" s="635"/>
      <c r="B241" s="635"/>
      <c r="C241" s="635" t="s">
        <v>312</v>
      </c>
      <c r="D241" s="635" t="s">
        <v>313</v>
      </c>
      <c r="E241" s="635"/>
      <c r="F241" s="635"/>
      <c r="G241" s="636">
        <v>0.8</v>
      </c>
      <c r="H241" s="637">
        <v>23</v>
      </c>
      <c r="I241" s="637">
        <v>250</v>
      </c>
      <c r="J241" s="638">
        <v>8.6999999999999993</v>
      </c>
      <c r="K241" s="635"/>
      <c r="L241" s="635"/>
      <c r="M241" s="635"/>
    </row>
    <row r="242" spans="1:13" x14ac:dyDescent="0.3">
      <c r="A242" s="635"/>
      <c r="B242" s="635"/>
      <c r="C242" s="635" t="s">
        <v>314</v>
      </c>
      <c r="D242" s="635" t="s">
        <v>315</v>
      </c>
      <c r="E242" s="635"/>
      <c r="F242" s="635"/>
      <c r="G242" s="636">
        <v>0.2</v>
      </c>
      <c r="H242" s="637">
        <v>5</v>
      </c>
      <c r="I242" s="637">
        <v>110</v>
      </c>
      <c r="J242" s="638">
        <v>18.600000000000001</v>
      </c>
      <c r="K242" s="635"/>
      <c r="L242" s="635"/>
      <c r="M242" s="635"/>
    </row>
    <row r="243" spans="1:13" x14ac:dyDescent="0.3">
      <c r="A243" s="635"/>
      <c r="B243" s="635"/>
      <c r="C243" s="635"/>
      <c r="D243" s="635"/>
      <c r="E243" s="635"/>
      <c r="F243" s="635"/>
      <c r="G243" s="636"/>
      <c r="H243" s="637"/>
      <c r="I243" s="637"/>
      <c r="J243" s="638"/>
      <c r="K243" s="635"/>
      <c r="L243" s="635"/>
      <c r="M243" s="635"/>
    </row>
    <row r="244" spans="1:13" x14ac:dyDescent="0.3">
      <c r="A244" s="639"/>
      <c r="B244" s="639"/>
      <c r="C244" s="639"/>
      <c r="D244" s="639"/>
      <c r="E244" s="639"/>
      <c r="F244" s="639"/>
      <c r="G244" s="640"/>
      <c r="H244" s="641"/>
      <c r="I244" s="641"/>
      <c r="J244" s="642"/>
      <c r="K244" s="635"/>
      <c r="L244" s="635"/>
      <c r="M244" s="635"/>
    </row>
    <row r="245" spans="1:13" x14ac:dyDescent="0.3">
      <c r="A245" s="631">
        <v>5</v>
      </c>
      <c r="B245" s="631" t="s">
        <v>316</v>
      </c>
      <c r="C245" s="631"/>
      <c r="D245" s="631"/>
      <c r="E245" s="631"/>
      <c r="F245" s="631"/>
      <c r="G245" s="632">
        <v>34.5</v>
      </c>
      <c r="H245" s="633">
        <v>972</v>
      </c>
      <c r="I245" s="633">
        <v>5020</v>
      </c>
      <c r="J245" s="634">
        <v>3.7</v>
      </c>
      <c r="K245" s="635"/>
      <c r="L245" s="635"/>
      <c r="M245" s="635"/>
    </row>
    <row r="246" spans="1:13" x14ac:dyDescent="0.3">
      <c r="A246" s="635"/>
      <c r="B246" s="635"/>
      <c r="C246" s="635"/>
      <c r="D246" s="635"/>
      <c r="E246" s="635"/>
      <c r="F246" s="635"/>
      <c r="G246" s="636"/>
      <c r="H246" s="637"/>
      <c r="I246" s="637"/>
      <c r="J246" s="638"/>
      <c r="K246" s="635"/>
      <c r="L246" s="635"/>
      <c r="M246" s="635"/>
    </row>
    <row r="247" spans="1:13" x14ac:dyDescent="0.3">
      <c r="A247" s="635">
        <v>5.0999999999999996</v>
      </c>
      <c r="B247" s="635" t="s">
        <v>317</v>
      </c>
      <c r="C247" s="635"/>
      <c r="D247" s="635"/>
      <c r="E247" s="635"/>
      <c r="F247" s="635"/>
      <c r="G247" s="636">
        <v>15.1</v>
      </c>
      <c r="H247" s="637">
        <v>427</v>
      </c>
      <c r="I247" s="637">
        <v>1780</v>
      </c>
      <c r="J247" s="638">
        <v>7</v>
      </c>
      <c r="K247" s="635"/>
      <c r="L247" s="635"/>
      <c r="M247" s="635"/>
    </row>
    <row r="248" spans="1:13" x14ac:dyDescent="0.3">
      <c r="A248" s="635"/>
      <c r="B248" s="635" t="s">
        <v>318</v>
      </c>
      <c r="C248" s="635" t="s">
        <v>319</v>
      </c>
      <c r="D248" s="635"/>
      <c r="E248" s="635"/>
      <c r="F248" s="635"/>
      <c r="G248" s="636">
        <v>12.1</v>
      </c>
      <c r="H248" s="637">
        <v>341</v>
      </c>
      <c r="I248" s="637">
        <v>1510</v>
      </c>
      <c r="J248" s="638">
        <v>7.8</v>
      </c>
      <c r="K248" s="635"/>
      <c r="L248" s="635"/>
      <c r="M248" s="635"/>
    </row>
    <row r="249" spans="1:13" x14ac:dyDescent="0.3">
      <c r="A249" s="635"/>
      <c r="B249" s="635"/>
      <c r="C249" s="635" t="s">
        <v>320</v>
      </c>
      <c r="D249" s="635" t="s">
        <v>321</v>
      </c>
      <c r="E249" s="635"/>
      <c r="F249" s="635"/>
      <c r="G249" s="636">
        <v>10.3</v>
      </c>
      <c r="H249" s="637">
        <v>289</v>
      </c>
      <c r="I249" s="637">
        <v>980</v>
      </c>
      <c r="J249" s="638">
        <v>8.8000000000000007</v>
      </c>
      <c r="K249" s="635"/>
      <c r="L249" s="635"/>
      <c r="M249" s="635"/>
    </row>
    <row r="250" spans="1:13" x14ac:dyDescent="0.3">
      <c r="A250" s="635"/>
      <c r="B250" s="635"/>
      <c r="C250" s="635" t="s">
        <v>322</v>
      </c>
      <c r="D250" s="635" t="s">
        <v>323</v>
      </c>
      <c r="E250" s="635"/>
      <c r="F250" s="635"/>
      <c r="G250" s="636">
        <v>1.3</v>
      </c>
      <c r="H250" s="637">
        <v>36</v>
      </c>
      <c r="I250" s="637">
        <v>680</v>
      </c>
      <c r="J250" s="638">
        <v>19.2</v>
      </c>
      <c r="K250" s="635"/>
      <c r="L250" s="635"/>
      <c r="M250" s="635"/>
    </row>
    <row r="251" spans="1:13" x14ac:dyDescent="0.3">
      <c r="A251" s="635"/>
      <c r="B251" s="635"/>
      <c r="C251" s="635" t="s">
        <v>324</v>
      </c>
      <c r="D251" s="635" t="s">
        <v>325</v>
      </c>
      <c r="E251" s="635"/>
      <c r="F251" s="635"/>
      <c r="G251" s="636">
        <v>0.5</v>
      </c>
      <c r="H251" s="637">
        <v>15</v>
      </c>
      <c r="I251" s="637">
        <v>60</v>
      </c>
      <c r="J251" s="638">
        <v>23.2</v>
      </c>
      <c r="K251" s="635"/>
      <c r="L251" s="635"/>
      <c r="M251" s="635"/>
    </row>
    <row r="252" spans="1:13" x14ac:dyDescent="0.3">
      <c r="A252" s="635"/>
      <c r="B252" s="635"/>
      <c r="C252" s="635"/>
      <c r="D252" s="635"/>
      <c r="E252" s="635"/>
      <c r="F252" s="635"/>
      <c r="G252" s="636"/>
      <c r="H252" s="637"/>
      <c r="I252" s="637"/>
      <c r="J252" s="638"/>
      <c r="K252" s="635"/>
      <c r="L252" s="635"/>
      <c r="M252" s="635"/>
    </row>
    <row r="253" spans="1:13" x14ac:dyDescent="0.3">
      <c r="A253" s="635"/>
      <c r="B253" s="635" t="s">
        <v>326</v>
      </c>
      <c r="C253" s="635" t="s">
        <v>327</v>
      </c>
      <c r="D253" s="635"/>
      <c r="E253" s="635"/>
      <c r="F253" s="635"/>
      <c r="G253" s="636">
        <v>3</v>
      </c>
      <c r="H253" s="637">
        <v>86</v>
      </c>
      <c r="I253" s="637">
        <v>540</v>
      </c>
      <c r="J253" s="638">
        <v>10.8</v>
      </c>
      <c r="K253" s="635"/>
      <c r="L253" s="635"/>
      <c r="M253" s="635"/>
    </row>
    <row r="254" spans="1:13" x14ac:dyDescent="0.3">
      <c r="A254" s="635"/>
      <c r="B254" s="635"/>
      <c r="C254" s="635" t="s">
        <v>328</v>
      </c>
      <c r="D254" s="635" t="s">
        <v>329</v>
      </c>
      <c r="E254" s="635"/>
      <c r="F254" s="635"/>
      <c r="G254" s="636">
        <v>2.5</v>
      </c>
      <c r="H254" s="637">
        <v>70</v>
      </c>
      <c r="I254" s="637">
        <v>510</v>
      </c>
      <c r="J254" s="638">
        <v>9.9</v>
      </c>
      <c r="K254" s="635"/>
      <c r="L254" s="635"/>
      <c r="M254" s="635"/>
    </row>
    <row r="255" spans="1:13" x14ac:dyDescent="0.3">
      <c r="A255" s="635"/>
      <c r="B255" s="635"/>
      <c r="C255" s="635" t="s">
        <v>330</v>
      </c>
      <c r="D255" s="635" t="s">
        <v>331</v>
      </c>
      <c r="E255" s="635"/>
      <c r="F255" s="635"/>
      <c r="G255" s="636">
        <v>0.6</v>
      </c>
      <c r="H255" s="637">
        <v>16</v>
      </c>
      <c r="I255" s="637">
        <v>40</v>
      </c>
      <c r="J255" s="638">
        <v>37.6</v>
      </c>
      <c r="K255" s="635"/>
      <c r="L255" s="635"/>
      <c r="M255" s="635"/>
    </row>
    <row r="256" spans="1:13" x14ac:dyDescent="0.3">
      <c r="A256" s="635"/>
      <c r="B256" s="635"/>
      <c r="C256" s="635"/>
      <c r="D256" s="635"/>
      <c r="E256" s="635"/>
      <c r="F256" s="635"/>
      <c r="G256" s="636"/>
      <c r="H256" s="637"/>
      <c r="I256" s="637"/>
      <c r="J256" s="638"/>
      <c r="K256" s="635"/>
      <c r="L256" s="635"/>
      <c r="M256" s="635"/>
    </row>
    <row r="257" spans="1:13" x14ac:dyDescent="0.3">
      <c r="A257" s="635">
        <v>5.2</v>
      </c>
      <c r="B257" s="635" t="s">
        <v>332</v>
      </c>
      <c r="C257" s="635"/>
      <c r="D257" s="635"/>
      <c r="E257" s="635"/>
      <c r="F257" s="635"/>
      <c r="G257" s="636">
        <v>2.2000000000000002</v>
      </c>
      <c r="H257" s="637">
        <v>61</v>
      </c>
      <c r="I257" s="637">
        <v>980</v>
      </c>
      <c r="J257" s="638">
        <v>7.7</v>
      </c>
      <c r="K257" s="635"/>
      <c r="L257" s="635"/>
      <c r="M257" s="635"/>
    </row>
    <row r="258" spans="1:13" x14ac:dyDescent="0.3">
      <c r="A258" s="635"/>
      <c r="B258" s="635" t="s">
        <v>333</v>
      </c>
      <c r="C258" s="635" t="s">
        <v>334</v>
      </c>
      <c r="D258" s="635"/>
      <c r="E258" s="635"/>
      <c r="F258" s="635"/>
      <c r="G258" s="636">
        <v>0.9</v>
      </c>
      <c r="H258" s="637">
        <v>24</v>
      </c>
      <c r="I258" s="637">
        <v>400</v>
      </c>
      <c r="J258" s="638">
        <v>8.1999999999999993</v>
      </c>
      <c r="K258" s="635"/>
      <c r="L258" s="635"/>
      <c r="M258" s="635"/>
    </row>
    <row r="259" spans="1:13" x14ac:dyDescent="0.3">
      <c r="A259" s="635"/>
      <c r="B259" s="635" t="s">
        <v>335</v>
      </c>
      <c r="C259" s="635" t="s">
        <v>336</v>
      </c>
      <c r="D259" s="635"/>
      <c r="E259" s="635"/>
      <c r="F259" s="635"/>
      <c r="G259" s="636">
        <v>1.3</v>
      </c>
      <c r="H259" s="637">
        <v>36</v>
      </c>
      <c r="I259" s="637">
        <v>980</v>
      </c>
      <c r="J259" s="638">
        <v>10.6</v>
      </c>
      <c r="K259" s="635"/>
      <c r="L259" s="635"/>
      <c r="M259" s="635"/>
    </row>
    <row r="260" spans="1:13" x14ac:dyDescent="0.3">
      <c r="A260" s="639"/>
      <c r="B260" s="639"/>
      <c r="C260" s="639"/>
      <c r="D260" s="639"/>
      <c r="E260" s="639"/>
      <c r="F260" s="639"/>
      <c r="G260" s="640"/>
      <c r="H260" s="641"/>
      <c r="I260" s="641"/>
      <c r="J260" s="642"/>
      <c r="K260" s="635"/>
      <c r="L260" s="635"/>
      <c r="M260" s="635"/>
    </row>
    <row r="261" spans="1:13" x14ac:dyDescent="0.3">
      <c r="A261" s="635"/>
      <c r="B261" s="635"/>
      <c r="C261" s="635"/>
      <c r="D261" s="635"/>
      <c r="E261" s="635"/>
      <c r="F261" s="635"/>
      <c r="G261" s="636"/>
      <c r="H261" s="637"/>
      <c r="I261" s="637"/>
      <c r="J261" s="638"/>
      <c r="K261" s="635"/>
      <c r="L261" s="635"/>
      <c r="M261" s="635"/>
    </row>
    <row r="262" spans="1:13" x14ac:dyDescent="0.3">
      <c r="A262" s="635" t="s">
        <v>111</v>
      </c>
      <c r="B262" s="635"/>
      <c r="C262" s="635"/>
      <c r="D262" s="635"/>
      <c r="E262" s="635"/>
      <c r="F262" s="635"/>
      <c r="G262" s="636"/>
      <c r="H262" s="637"/>
      <c r="I262" s="637"/>
      <c r="J262" s="638"/>
      <c r="K262" s="635"/>
      <c r="L262" s="635"/>
      <c r="M262" s="635"/>
    </row>
    <row r="263" spans="1:13" x14ac:dyDescent="0.3">
      <c r="A263" s="635" t="s">
        <v>182</v>
      </c>
      <c r="B263" s="635"/>
      <c r="C263" s="635"/>
      <c r="D263" s="635"/>
      <c r="E263" s="635"/>
      <c r="F263" s="635"/>
      <c r="G263" s="636"/>
      <c r="H263" s="637"/>
      <c r="I263" s="637"/>
      <c r="J263" s="638"/>
      <c r="K263" s="635"/>
      <c r="L263" s="635"/>
      <c r="M263" s="635"/>
    </row>
    <row r="264" spans="1:13" x14ac:dyDescent="0.3">
      <c r="A264" s="635" t="s">
        <v>112</v>
      </c>
      <c r="B264" s="635"/>
      <c r="C264" s="635"/>
      <c r="D264" s="635"/>
      <c r="E264" s="635"/>
      <c r="F264" s="635"/>
      <c r="G264" s="636"/>
      <c r="H264" s="637"/>
      <c r="I264" s="637"/>
      <c r="J264" s="638"/>
      <c r="K264" s="635"/>
      <c r="L264" s="635"/>
      <c r="M264" s="635"/>
    </row>
    <row r="265" spans="1:13" x14ac:dyDescent="0.3">
      <c r="A265" s="635" t="s">
        <v>337</v>
      </c>
      <c r="B265" s="635"/>
      <c r="C265" s="635"/>
      <c r="D265" s="635"/>
      <c r="E265" s="635"/>
      <c r="F265" s="635"/>
      <c r="G265" s="636"/>
      <c r="H265" s="637"/>
      <c r="I265" s="637"/>
      <c r="J265" s="638"/>
      <c r="K265" s="635"/>
      <c r="L265" s="635"/>
      <c r="M265" s="635"/>
    </row>
    <row r="266" spans="1:13" x14ac:dyDescent="0.3">
      <c r="A266" s="635" t="s">
        <v>338</v>
      </c>
      <c r="B266" s="635"/>
      <c r="C266" s="635"/>
      <c r="D266" s="635"/>
      <c r="E266" s="635"/>
      <c r="F266" s="635"/>
      <c r="G266" s="636"/>
      <c r="H266" s="637"/>
      <c r="I266" s="637"/>
      <c r="J266" s="638"/>
      <c r="K266" s="635"/>
      <c r="L266" s="635"/>
      <c r="M266" s="635"/>
    </row>
    <row r="267" spans="1:13" x14ac:dyDescent="0.3">
      <c r="G267" s="643"/>
    </row>
    <row r="268" spans="1:13" x14ac:dyDescent="0.3">
      <c r="G268" s="643"/>
    </row>
    <row r="269" spans="1:13" x14ac:dyDescent="0.3">
      <c r="G269" s="643"/>
    </row>
    <row r="270" spans="1:13" x14ac:dyDescent="0.3">
      <c r="G270" s="643"/>
    </row>
    <row r="271" spans="1:13" ht="15.6" x14ac:dyDescent="0.3">
      <c r="A271" s="159" t="s">
        <v>114</v>
      </c>
      <c r="B271" s="129"/>
      <c r="C271" s="157"/>
      <c r="D271" s="219"/>
      <c r="E271" s="219"/>
      <c r="F271" s="130"/>
      <c r="G271" s="219"/>
      <c r="H271" s="649"/>
      <c r="I271" s="649"/>
      <c r="J271" s="135"/>
      <c r="K271" s="218"/>
    </row>
    <row r="272" spans="1:13" ht="34.799999999999997" x14ac:dyDescent="0.3">
      <c r="A272" s="160" t="s">
        <v>183</v>
      </c>
      <c r="B272" s="161"/>
      <c r="C272" s="31"/>
      <c r="D272" s="32"/>
      <c r="E272" s="32"/>
      <c r="F272" s="33"/>
      <c r="G272" s="658"/>
      <c r="H272" s="659"/>
      <c r="I272" s="659"/>
      <c r="J272" s="646"/>
      <c r="K272" s="37"/>
    </row>
    <row r="273" spans="1:13" ht="17.399999999999999" x14ac:dyDescent="0.3">
      <c r="A273" s="41" t="s">
        <v>1360</v>
      </c>
      <c r="B273" s="168"/>
      <c r="C273" s="43"/>
      <c r="D273" s="44"/>
      <c r="E273" s="32"/>
      <c r="F273" s="33"/>
      <c r="G273" s="658"/>
      <c r="H273" s="659"/>
      <c r="I273" s="659"/>
      <c r="J273" s="660"/>
      <c r="K273" s="37"/>
    </row>
    <row r="274" spans="1:13" x14ac:dyDescent="0.3">
      <c r="A274" s="71"/>
      <c r="B274" s="71"/>
      <c r="C274" s="72"/>
      <c r="D274" s="73"/>
      <c r="E274" s="73"/>
      <c r="F274" s="73"/>
      <c r="G274" s="73"/>
      <c r="H274" s="648"/>
      <c r="I274" s="648"/>
      <c r="J274" s="624"/>
      <c r="K274" s="53"/>
    </row>
    <row r="275" spans="1:13" x14ac:dyDescent="0.3">
      <c r="A275" s="81"/>
      <c r="B275" s="81"/>
      <c r="C275" s="55"/>
      <c r="D275" s="84"/>
      <c r="E275" s="84"/>
      <c r="F275" s="84"/>
      <c r="G275" s="219"/>
      <c r="H275" s="649"/>
      <c r="I275" s="649"/>
      <c r="J275" s="217"/>
      <c r="K275" s="53"/>
    </row>
    <row r="276" spans="1:13" x14ac:dyDescent="0.3">
      <c r="A276" s="172"/>
      <c r="B276" s="172"/>
      <c r="C276" s="173"/>
      <c r="D276" s="174"/>
      <c r="E276" s="174"/>
      <c r="F276" s="59"/>
      <c r="G276" s="650" t="s">
        <v>116</v>
      </c>
      <c r="H276" s="622" t="s">
        <v>25</v>
      </c>
      <c r="I276" s="622" t="s">
        <v>26</v>
      </c>
      <c r="J276" s="63" t="s">
        <v>117</v>
      </c>
      <c r="K276" s="179"/>
    </row>
    <row r="277" spans="1:13" x14ac:dyDescent="0.3">
      <c r="A277" s="172"/>
      <c r="B277" s="172"/>
      <c r="C277" s="181"/>
      <c r="D277" s="174"/>
      <c r="E277" s="174"/>
      <c r="F277" s="59"/>
      <c r="G277" s="651" t="s">
        <v>29</v>
      </c>
      <c r="H277" s="622" t="s">
        <v>27</v>
      </c>
      <c r="I277" s="622" t="s">
        <v>28</v>
      </c>
      <c r="J277" s="63" t="s">
        <v>118</v>
      </c>
      <c r="K277" s="179"/>
    </row>
    <row r="278" spans="1:13" x14ac:dyDescent="0.3">
      <c r="A278" s="172"/>
      <c r="B278" s="172"/>
      <c r="C278" s="181"/>
      <c r="D278" s="174"/>
      <c r="E278" s="174"/>
      <c r="F278" s="59"/>
      <c r="G278" s="650" t="s">
        <v>31</v>
      </c>
      <c r="H278" s="622" t="s">
        <v>29</v>
      </c>
      <c r="I278" s="622" t="s">
        <v>30</v>
      </c>
      <c r="J278" s="63" t="s">
        <v>119</v>
      </c>
      <c r="K278" s="179"/>
    </row>
    <row r="279" spans="1:13" x14ac:dyDescent="0.3">
      <c r="A279" s="172"/>
      <c r="B279" s="172"/>
      <c r="C279" s="181"/>
      <c r="D279" s="174"/>
      <c r="E279" s="174"/>
      <c r="F279" s="59"/>
      <c r="G279" s="651" t="s">
        <v>32</v>
      </c>
      <c r="H279" s="622" t="s">
        <v>33</v>
      </c>
      <c r="I279" s="622" t="s">
        <v>120</v>
      </c>
      <c r="J279" s="63" t="s">
        <v>121</v>
      </c>
      <c r="K279" s="179"/>
    </row>
    <row r="280" spans="1:13" x14ac:dyDescent="0.3">
      <c r="A280" s="71"/>
      <c r="B280" s="71"/>
      <c r="C280" s="72"/>
      <c r="D280" s="73"/>
      <c r="E280" s="73"/>
      <c r="F280" s="73"/>
      <c r="G280" s="73"/>
      <c r="H280" s="648"/>
      <c r="I280" s="648"/>
      <c r="J280" s="624"/>
      <c r="K280" s="53"/>
    </row>
    <row r="281" spans="1:13" ht="4.2" customHeight="1" x14ac:dyDescent="0.3">
      <c r="A281" s="80"/>
      <c r="B281" s="81"/>
      <c r="C281" s="82"/>
      <c r="D281" s="83"/>
      <c r="E281" s="83"/>
      <c r="F281" s="84"/>
      <c r="G281" s="83"/>
      <c r="H281" s="661"/>
      <c r="I281" s="661"/>
      <c r="J281" s="231"/>
      <c r="K281" s="53"/>
    </row>
    <row r="282" spans="1:13" s="93" customFormat="1" ht="10.95" customHeight="1" x14ac:dyDescent="0.2">
      <c r="A282" s="111" t="s">
        <v>123</v>
      </c>
      <c r="B282" s="112"/>
      <c r="C282" s="113"/>
      <c r="F282" s="114" t="s">
        <v>124</v>
      </c>
      <c r="G282" s="652"/>
      <c r="H282" s="653"/>
      <c r="I282" s="653"/>
      <c r="J282" s="654"/>
      <c r="K282" s="53"/>
      <c r="L282" s="185"/>
    </row>
    <row r="283" spans="1:13" ht="3" customHeight="1" x14ac:dyDescent="0.3">
      <c r="A283" s="635"/>
      <c r="B283" s="635"/>
      <c r="C283" s="635"/>
      <c r="D283" s="635"/>
      <c r="E283" s="635"/>
      <c r="F283" s="635"/>
      <c r="G283" s="636"/>
      <c r="H283" s="637"/>
      <c r="I283" s="637"/>
      <c r="J283" s="638"/>
      <c r="K283" s="635"/>
      <c r="L283" s="635"/>
      <c r="M283" s="635"/>
    </row>
    <row r="284" spans="1:13" x14ac:dyDescent="0.3">
      <c r="A284" s="631">
        <v>5</v>
      </c>
      <c r="B284" s="631" t="s">
        <v>339</v>
      </c>
      <c r="C284" s="631"/>
      <c r="D284" s="631"/>
      <c r="E284" s="631"/>
      <c r="F284" s="631"/>
      <c r="G284" s="632"/>
      <c r="H284" s="637"/>
      <c r="I284" s="637"/>
      <c r="J284" s="638"/>
      <c r="K284" s="635"/>
      <c r="L284" s="635"/>
      <c r="M284" s="635"/>
    </row>
    <row r="285" spans="1:13" x14ac:dyDescent="0.3">
      <c r="A285" s="635"/>
      <c r="B285" s="635"/>
      <c r="C285" s="635"/>
      <c r="D285" s="635"/>
      <c r="E285" s="635"/>
      <c r="F285" s="635"/>
      <c r="G285" s="636"/>
      <c r="H285" s="637"/>
      <c r="I285" s="637"/>
      <c r="J285" s="638"/>
      <c r="K285" s="635"/>
      <c r="L285" s="635"/>
      <c r="M285" s="635"/>
    </row>
    <row r="286" spans="1:13" x14ac:dyDescent="0.3">
      <c r="A286" s="635">
        <v>5.3</v>
      </c>
      <c r="B286" s="635" t="s">
        <v>340</v>
      </c>
      <c r="C286" s="635"/>
      <c r="D286" s="635"/>
      <c r="E286" s="635"/>
      <c r="F286" s="635"/>
      <c r="G286" s="636">
        <v>4.4000000000000004</v>
      </c>
      <c r="H286" s="637">
        <v>123</v>
      </c>
      <c r="I286" s="637">
        <v>480</v>
      </c>
      <c r="J286" s="638">
        <v>10.6</v>
      </c>
      <c r="K286" s="635"/>
      <c r="L286" s="635"/>
      <c r="M286" s="635"/>
    </row>
    <row r="287" spans="1:13" x14ac:dyDescent="0.3">
      <c r="A287" s="635"/>
      <c r="B287" s="635" t="s">
        <v>341</v>
      </c>
      <c r="C287" s="635" t="s">
        <v>342</v>
      </c>
      <c r="D287" s="635"/>
      <c r="E287" s="635"/>
      <c r="F287" s="635"/>
      <c r="G287" s="655" t="s">
        <v>230</v>
      </c>
      <c r="H287" s="656" t="s">
        <v>230</v>
      </c>
      <c r="I287" s="656" t="s">
        <v>230</v>
      </c>
      <c r="J287" s="657" t="s">
        <v>230</v>
      </c>
      <c r="K287" s="635"/>
      <c r="L287" s="635"/>
      <c r="M287" s="635"/>
    </row>
    <row r="288" spans="1:13" x14ac:dyDescent="0.3">
      <c r="A288" s="635"/>
      <c r="B288" s="635" t="s">
        <v>343</v>
      </c>
      <c r="C288" s="635" t="s">
        <v>344</v>
      </c>
      <c r="D288" s="635"/>
      <c r="E288" s="635"/>
      <c r="F288" s="635"/>
      <c r="G288" s="636">
        <v>0.1</v>
      </c>
      <c r="H288" s="637">
        <v>4</v>
      </c>
      <c r="I288" s="637">
        <v>20</v>
      </c>
      <c r="J288" s="638">
        <v>44.7</v>
      </c>
      <c r="K288" s="635"/>
      <c r="L288" s="635"/>
      <c r="M288" s="635"/>
    </row>
    <row r="289" spans="1:13" x14ac:dyDescent="0.3">
      <c r="A289" s="635"/>
      <c r="B289" s="635" t="s">
        <v>345</v>
      </c>
      <c r="C289" s="635" t="s">
        <v>346</v>
      </c>
      <c r="D289" s="635"/>
      <c r="E289" s="635"/>
      <c r="F289" s="635"/>
      <c r="G289" s="636">
        <v>0.2</v>
      </c>
      <c r="H289" s="637">
        <v>7</v>
      </c>
      <c r="I289" s="637">
        <v>30</v>
      </c>
      <c r="J289" s="638">
        <v>25.9</v>
      </c>
      <c r="K289" s="635"/>
      <c r="L289" s="635"/>
      <c r="M289" s="635"/>
    </row>
    <row r="290" spans="1:13" x14ac:dyDescent="0.3">
      <c r="A290" s="635"/>
      <c r="B290" s="635" t="s">
        <v>347</v>
      </c>
      <c r="C290" s="635" t="s">
        <v>348</v>
      </c>
      <c r="D290" s="635"/>
      <c r="E290" s="635"/>
      <c r="F290" s="635"/>
      <c r="G290" s="636">
        <v>0.6</v>
      </c>
      <c r="H290" s="637">
        <v>18</v>
      </c>
      <c r="I290" s="637">
        <v>40</v>
      </c>
      <c r="J290" s="638">
        <v>24.1</v>
      </c>
      <c r="K290" s="635"/>
      <c r="L290" s="635"/>
      <c r="M290" s="635"/>
    </row>
    <row r="291" spans="1:13" x14ac:dyDescent="0.3">
      <c r="A291" s="635"/>
      <c r="B291" s="635" t="s">
        <v>349</v>
      </c>
      <c r="C291" s="635" t="s">
        <v>350</v>
      </c>
      <c r="D291" s="635"/>
      <c r="E291" s="635"/>
      <c r="F291" s="635"/>
      <c r="G291" s="636"/>
      <c r="H291" s="637"/>
      <c r="I291" s="637"/>
      <c r="J291" s="638"/>
      <c r="K291" s="635"/>
      <c r="L291" s="635"/>
      <c r="M291" s="635"/>
    </row>
    <row r="292" spans="1:13" x14ac:dyDescent="0.3">
      <c r="A292" s="635"/>
      <c r="B292" s="635"/>
      <c r="C292" s="635" t="s">
        <v>351</v>
      </c>
      <c r="D292" s="635"/>
      <c r="E292" s="635"/>
      <c r="F292" s="635"/>
      <c r="G292" s="636">
        <v>2.1</v>
      </c>
      <c r="H292" s="637">
        <v>58</v>
      </c>
      <c r="I292" s="637">
        <v>180</v>
      </c>
      <c r="J292" s="638">
        <v>19.3</v>
      </c>
      <c r="K292" s="635"/>
      <c r="L292" s="635"/>
      <c r="M292" s="635"/>
    </row>
    <row r="293" spans="1:13" x14ac:dyDescent="0.3">
      <c r="A293" s="635"/>
      <c r="B293" s="635" t="s">
        <v>352</v>
      </c>
      <c r="C293" s="635" t="s">
        <v>353</v>
      </c>
      <c r="D293" s="635"/>
      <c r="E293" s="635"/>
      <c r="F293" s="635"/>
      <c r="G293" s="636">
        <v>0.1</v>
      </c>
      <c r="H293" s="637">
        <v>1</v>
      </c>
      <c r="I293" s="637">
        <v>10</v>
      </c>
      <c r="J293" s="638">
        <v>43.2</v>
      </c>
      <c r="K293" s="635"/>
      <c r="L293" s="635"/>
      <c r="M293" s="635"/>
    </row>
    <row r="294" spans="1:13" x14ac:dyDescent="0.3">
      <c r="A294" s="635"/>
      <c r="B294" s="635" t="s">
        <v>354</v>
      </c>
      <c r="C294" s="635" t="s">
        <v>355</v>
      </c>
      <c r="D294" s="635"/>
      <c r="E294" s="635"/>
      <c r="F294" s="635"/>
      <c r="G294" s="636">
        <v>0.8</v>
      </c>
      <c r="H294" s="637">
        <v>22</v>
      </c>
      <c r="I294" s="637">
        <v>170</v>
      </c>
      <c r="J294" s="638">
        <v>21.2</v>
      </c>
      <c r="K294" s="635"/>
      <c r="L294" s="635"/>
      <c r="M294" s="635"/>
    </row>
    <row r="295" spans="1:13" x14ac:dyDescent="0.3">
      <c r="A295" s="635"/>
      <c r="B295" s="635" t="s">
        <v>356</v>
      </c>
      <c r="C295" s="635" t="s">
        <v>357</v>
      </c>
      <c r="D295" s="635"/>
      <c r="E295" s="635"/>
      <c r="F295" s="635"/>
      <c r="G295" s="636">
        <v>0.4</v>
      </c>
      <c r="H295" s="637">
        <v>11</v>
      </c>
      <c r="I295" s="637">
        <v>60</v>
      </c>
      <c r="J295" s="638">
        <v>20.100000000000001</v>
      </c>
      <c r="K295" s="635"/>
      <c r="L295" s="635"/>
      <c r="M295" s="635"/>
    </row>
    <row r="296" spans="1:13" x14ac:dyDescent="0.3">
      <c r="A296" s="635"/>
      <c r="B296" s="635" t="s">
        <v>358</v>
      </c>
      <c r="C296" s="635" t="s">
        <v>359</v>
      </c>
      <c r="D296" s="635"/>
      <c r="E296" s="635"/>
      <c r="F296" s="635"/>
      <c r="G296" s="655" t="s">
        <v>230</v>
      </c>
      <c r="H296" s="656" t="s">
        <v>230</v>
      </c>
      <c r="I296" s="656" t="s">
        <v>230</v>
      </c>
      <c r="J296" s="657" t="s">
        <v>230</v>
      </c>
      <c r="K296" s="635"/>
      <c r="L296" s="635"/>
      <c r="M296" s="635"/>
    </row>
    <row r="297" spans="1:13" x14ac:dyDescent="0.3">
      <c r="A297" s="635"/>
      <c r="B297" s="635"/>
      <c r="C297" s="635"/>
      <c r="D297" s="635"/>
      <c r="E297" s="635"/>
      <c r="F297" s="635"/>
      <c r="G297" s="636"/>
      <c r="H297" s="637"/>
      <c r="I297" s="637"/>
      <c r="J297" s="638"/>
      <c r="K297" s="635"/>
      <c r="L297" s="635"/>
      <c r="M297" s="635"/>
    </row>
    <row r="298" spans="1:13" x14ac:dyDescent="0.3">
      <c r="A298" s="635">
        <v>5.4</v>
      </c>
      <c r="B298" s="635" t="s">
        <v>360</v>
      </c>
      <c r="C298" s="635"/>
      <c r="D298" s="635"/>
      <c r="E298" s="635"/>
      <c r="F298" s="635"/>
      <c r="G298" s="636">
        <v>2.2999999999999998</v>
      </c>
      <c r="H298" s="637">
        <v>64</v>
      </c>
      <c r="I298" s="637">
        <v>1710</v>
      </c>
      <c r="J298" s="638">
        <v>5</v>
      </c>
      <c r="K298" s="635"/>
      <c r="L298" s="635"/>
      <c r="M298" s="635"/>
    </row>
    <row r="299" spans="1:13" x14ac:dyDescent="0.3">
      <c r="A299" s="635"/>
      <c r="B299" s="635" t="s">
        <v>361</v>
      </c>
      <c r="C299" s="635" t="s">
        <v>362</v>
      </c>
      <c r="D299" s="635"/>
      <c r="E299" s="635"/>
      <c r="F299" s="635"/>
      <c r="G299" s="636">
        <v>0.6</v>
      </c>
      <c r="H299" s="637">
        <v>17</v>
      </c>
      <c r="I299" s="637">
        <v>600</v>
      </c>
      <c r="J299" s="638">
        <v>10.199999999999999</v>
      </c>
      <c r="K299" s="635"/>
      <c r="L299" s="635"/>
      <c r="M299" s="635"/>
    </row>
    <row r="300" spans="1:13" x14ac:dyDescent="0.3">
      <c r="A300" s="635"/>
      <c r="B300" s="635" t="s">
        <v>363</v>
      </c>
      <c r="C300" s="635" t="s">
        <v>364</v>
      </c>
      <c r="D300" s="635"/>
      <c r="E300" s="635"/>
      <c r="F300" s="635"/>
      <c r="G300" s="636">
        <v>1</v>
      </c>
      <c r="H300" s="637">
        <v>28</v>
      </c>
      <c r="I300" s="637">
        <v>1030</v>
      </c>
      <c r="J300" s="638">
        <v>6.8</v>
      </c>
      <c r="K300" s="635"/>
      <c r="L300" s="635"/>
      <c r="M300" s="635"/>
    </row>
    <row r="301" spans="1:13" x14ac:dyDescent="0.3">
      <c r="A301" s="635"/>
      <c r="B301" s="635" t="s">
        <v>365</v>
      </c>
      <c r="C301" s="635" t="s">
        <v>366</v>
      </c>
      <c r="D301" s="635"/>
      <c r="E301" s="635"/>
      <c r="F301" s="635"/>
      <c r="G301" s="655" t="s">
        <v>230</v>
      </c>
      <c r="H301" s="656" t="s">
        <v>230</v>
      </c>
      <c r="I301" s="656" t="s">
        <v>230</v>
      </c>
      <c r="J301" s="657" t="s">
        <v>230</v>
      </c>
      <c r="K301" s="635"/>
      <c r="L301" s="635"/>
      <c r="M301" s="635"/>
    </row>
    <row r="302" spans="1:13" x14ac:dyDescent="0.3">
      <c r="A302" s="635"/>
      <c r="B302" s="635" t="s">
        <v>368</v>
      </c>
      <c r="C302" s="635" t="s">
        <v>369</v>
      </c>
      <c r="D302" s="635"/>
      <c r="E302" s="635"/>
      <c r="F302" s="635"/>
      <c r="G302" s="636">
        <v>0.7</v>
      </c>
      <c r="H302" s="637">
        <v>19</v>
      </c>
      <c r="I302" s="637">
        <v>590</v>
      </c>
      <c r="J302" s="638">
        <v>6.5</v>
      </c>
      <c r="K302" s="635"/>
      <c r="L302" s="635"/>
      <c r="M302" s="635"/>
    </row>
    <row r="303" spans="1:13" x14ac:dyDescent="0.3">
      <c r="A303" s="635"/>
      <c r="B303" s="635"/>
      <c r="C303" s="635"/>
      <c r="D303" s="635"/>
      <c r="E303" s="635"/>
      <c r="F303" s="635"/>
      <c r="G303" s="636"/>
      <c r="H303" s="637"/>
      <c r="I303" s="637"/>
      <c r="J303" s="638"/>
      <c r="K303" s="635"/>
      <c r="L303" s="635"/>
      <c r="M303" s="635"/>
    </row>
    <row r="304" spans="1:13" x14ac:dyDescent="0.3">
      <c r="A304" s="635">
        <v>5.5</v>
      </c>
      <c r="B304" s="635" t="s">
        <v>370</v>
      </c>
      <c r="C304" s="635"/>
      <c r="D304" s="635"/>
      <c r="E304" s="635"/>
      <c r="F304" s="635"/>
      <c r="G304" s="636">
        <v>3.6</v>
      </c>
      <c r="H304" s="637">
        <v>101</v>
      </c>
      <c r="I304" s="637">
        <v>1750</v>
      </c>
      <c r="J304" s="638">
        <v>6</v>
      </c>
      <c r="K304" s="635"/>
      <c r="L304" s="635"/>
      <c r="M304" s="635"/>
    </row>
    <row r="305" spans="1:13" x14ac:dyDescent="0.3">
      <c r="A305" s="635"/>
      <c r="B305" s="635" t="s">
        <v>371</v>
      </c>
      <c r="C305" s="635" t="s">
        <v>372</v>
      </c>
      <c r="D305" s="635"/>
      <c r="E305" s="635"/>
      <c r="F305" s="635"/>
      <c r="G305" s="636">
        <v>0.5</v>
      </c>
      <c r="H305" s="637">
        <v>14</v>
      </c>
      <c r="I305" s="637">
        <v>80</v>
      </c>
      <c r="J305" s="638">
        <v>14.3</v>
      </c>
      <c r="K305" s="635"/>
      <c r="L305" s="635"/>
      <c r="M305" s="635"/>
    </row>
    <row r="306" spans="1:13" x14ac:dyDescent="0.3">
      <c r="A306" s="635"/>
      <c r="B306" s="635" t="s">
        <v>373</v>
      </c>
      <c r="C306" s="635" t="s">
        <v>374</v>
      </c>
      <c r="D306" s="635"/>
      <c r="E306" s="635"/>
      <c r="F306" s="635"/>
      <c r="G306" s="636">
        <v>0.6</v>
      </c>
      <c r="H306" s="637">
        <v>16</v>
      </c>
      <c r="I306" s="637">
        <v>320</v>
      </c>
      <c r="J306" s="638">
        <v>10.9</v>
      </c>
      <c r="K306" s="635"/>
      <c r="L306" s="635"/>
      <c r="M306" s="635"/>
    </row>
    <row r="307" spans="1:13" x14ac:dyDescent="0.3">
      <c r="A307" s="635"/>
      <c r="B307" s="635" t="s">
        <v>375</v>
      </c>
      <c r="C307" s="635" t="s">
        <v>376</v>
      </c>
      <c r="D307" s="635"/>
      <c r="E307" s="635"/>
      <c r="F307" s="635"/>
      <c r="G307" s="636">
        <v>0.7</v>
      </c>
      <c r="H307" s="637">
        <v>19</v>
      </c>
      <c r="I307" s="637">
        <v>460</v>
      </c>
      <c r="J307" s="638">
        <v>15</v>
      </c>
      <c r="K307" s="635"/>
      <c r="L307" s="635"/>
      <c r="M307" s="635"/>
    </row>
    <row r="308" spans="1:13" x14ac:dyDescent="0.3">
      <c r="A308" s="635"/>
      <c r="B308" s="635" t="s">
        <v>377</v>
      </c>
      <c r="C308" s="635" t="s">
        <v>378</v>
      </c>
      <c r="D308" s="635"/>
      <c r="E308" s="635"/>
      <c r="F308" s="635"/>
      <c r="G308" s="636">
        <v>1</v>
      </c>
      <c r="H308" s="637">
        <v>29</v>
      </c>
      <c r="I308" s="637">
        <v>450</v>
      </c>
      <c r="J308" s="638">
        <v>10.7</v>
      </c>
      <c r="K308" s="635"/>
      <c r="L308" s="635"/>
      <c r="M308" s="635"/>
    </row>
    <row r="309" spans="1:13" x14ac:dyDescent="0.3">
      <c r="A309" s="635"/>
      <c r="B309" s="635" t="s">
        <v>379</v>
      </c>
      <c r="C309" s="635" t="s">
        <v>380</v>
      </c>
      <c r="D309" s="635"/>
      <c r="E309" s="635"/>
      <c r="F309" s="635"/>
      <c r="G309" s="636">
        <v>0.8</v>
      </c>
      <c r="H309" s="637">
        <v>23</v>
      </c>
      <c r="I309" s="637">
        <v>970</v>
      </c>
      <c r="J309" s="638">
        <v>6.5</v>
      </c>
      <c r="K309" s="635"/>
      <c r="L309" s="635"/>
      <c r="M309" s="635"/>
    </row>
    <row r="310" spans="1:13" x14ac:dyDescent="0.3">
      <c r="A310" s="635"/>
      <c r="B310" s="635"/>
      <c r="C310" s="635"/>
      <c r="D310" s="635"/>
      <c r="E310" s="635"/>
      <c r="F310" s="635"/>
      <c r="G310" s="636"/>
      <c r="H310" s="637"/>
      <c r="I310" s="637"/>
      <c r="J310" s="638"/>
      <c r="K310" s="635"/>
      <c r="L310" s="635"/>
      <c r="M310" s="635"/>
    </row>
    <row r="311" spans="1:13" x14ac:dyDescent="0.3">
      <c r="A311" s="635">
        <v>5.6</v>
      </c>
      <c r="B311" s="635" t="s">
        <v>381</v>
      </c>
      <c r="C311" s="635"/>
      <c r="D311" s="635"/>
      <c r="E311" s="635"/>
      <c r="F311" s="635"/>
      <c r="G311" s="636">
        <v>7</v>
      </c>
      <c r="H311" s="637">
        <v>197</v>
      </c>
      <c r="I311" s="637">
        <v>4750</v>
      </c>
      <c r="J311" s="638">
        <v>4.2</v>
      </c>
      <c r="K311" s="635"/>
      <c r="L311" s="635"/>
      <c r="M311" s="635"/>
    </row>
    <row r="312" spans="1:13" x14ac:dyDescent="0.3">
      <c r="A312" s="635"/>
      <c r="B312" s="635" t="s">
        <v>382</v>
      </c>
      <c r="C312" s="635" t="s">
        <v>383</v>
      </c>
      <c r="D312" s="635"/>
      <c r="E312" s="635"/>
      <c r="F312" s="635"/>
      <c r="G312" s="636">
        <v>2.7</v>
      </c>
      <c r="H312" s="637">
        <v>77</v>
      </c>
      <c r="I312" s="637">
        <v>3760</v>
      </c>
      <c r="J312" s="638">
        <v>2.2999999999999998</v>
      </c>
      <c r="K312" s="635"/>
      <c r="L312" s="635"/>
      <c r="M312" s="635"/>
    </row>
    <row r="313" spans="1:13" x14ac:dyDescent="0.3">
      <c r="A313" s="635"/>
      <c r="B313" s="635"/>
      <c r="C313" s="635" t="s">
        <v>384</v>
      </c>
      <c r="D313" s="635" t="s">
        <v>385</v>
      </c>
      <c r="E313" s="635"/>
      <c r="F313" s="635"/>
      <c r="G313" s="636">
        <v>1</v>
      </c>
      <c r="H313" s="637">
        <v>28</v>
      </c>
      <c r="I313" s="637">
        <v>2140</v>
      </c>
      <c r="J313" s="638">
        <v>2.7</v>
      </c>
      <c r="K313" s="635"/>
      <c r="L313" s="635"/>
      <c r="M313" s="635"/>
    </row>
    <row r="314" spans="1:13" x14ac:dyDescent="0.3">
      <c r="A314" s="635"/>
      <c r="B314" s="635"/>
      <c r="C314" s="635" t="s">
        <v>386</v>
      </c>
      <c r="D314" s="635" t="s">
        <v>387</v>
      </c>
      <c r="E314" s="635"/>
      <c r="F314" s="635"/>
      <c r="G314" s="636">
        <v>1.8</v>
      </c>
      <c r="H314" s="637">
        <v>49</v>
      </c>
      <c r="I314" s="637">
        <v>3220</v>
      </c>
      <c r="J314" s="638">
        <v>2.8</v>
      </c>
      <c r="K314" s="635"/>
      <c r="L314" s="635"/>
      <c r="M314" s="635"/>
    </row>
    <row r="315" spans="1:13" x14ac:dyDescent="0.3">
      <c r="A315" s="635"/>
      <c r="B315" s="635"/>
      <c r="C315" s="635"/>
      <c r="D315" s="635"/>
      <c r="E315" s="635"/>
      <c r="F315" s="635"/>
      <c r="G315" s="636"/>
      <c r="H315" s="637"/>
      <c r="I315" s="637"/>
      <c r="J315" s="638"/>
      <c r="K315" s="635"/>
      <c r="L315" s="635"/>
      <c r="M315" s="635"/>
    </row>
    <row r="316" spans="1:13" x14ac:dyDescent="0.3">
      <c r="A316" s="635"/>
      <c r="B316" s="635" t="s">
        <v>388</v>
      </c>
      <c r="C316" s="635" t="s">
        <v>389</v>
      </c>
      <c r="D316" s="635"/>
      <c r="E316" s="635"/>
      <c r="F316" s="635"/>
      <c r="G316" s="636">
        <v>2.1</v>
      </c>
      <c r="H316" s="637">
        <v>60</v>
      </c>
      <c r="I316" s="637">
        <v>4000</v>
      </c>
      <c r="J316" s="638">
        <v>3.6</v>
      </c>
      <c r="K316" s="635"/>
      <c r="L316" s="635"/>
      <c r="M316" s="635"/>
    </row>
    <row r="317" spans="1:13" x14ac:dyDescent="0.3">
      <c r="A317" s="635"/>
      <c r="B317" s="635"/>
      <c r="C317" s="635" t="s">
        <v>390</v>
      </c>
      <c r="D317" s="635" t="s">
        <v>391</v>
      </c>
      <c r="E317" s="635"/>
      <c r="F317" s="635"/>
      <c r="G317" s="636">
        <v>1.1000000000000001</v>
      </c>
      <c r="H317" s="637">
        <v>32</v>
      </c>
      <c r="I317" s="637">
        <v>3610</v>
      </c>
      <c r="J317" s="638">
        <v>2.8</v>
      </c>
      <c r="K317" s="635"/>
      <c r="L317" s="635"/>
      <c r="M317" s="635"/>
    </row>
    <row r="318" spans="1:13" x14ac:dyDescent="0.3">
      <c r="A318" s="635"/>
      <c r="B318" s="635"/>
      <c r="C318" s="635" t="s">
        <v>392</v>
      </c>
      <c r="D318" s="635" t="s">
        <v>393</v>
      </c>
      <c r="E318" s="635"/>
      <c r="F318" s="635"/>
      <c r="G318" s="636">
        <v>0.4</v>
      </c>
      <c r="H318" s="637">
        <v>12</v>
      </c>
      <c r="I318" s="637">
        <v>700</v>
      </c>
      <c r="J318" s="638">
        <v>8.8000000000000007</v>
      </c>
      <c r="K318" s="635"/>
      <c r="L318" s="635"/>
      <c r="M318" s="635"/>
    </row>
    <row r="319" spans="1:13" x14ac:dyDescent="0.3">
      <c r="A319" s="635"/>
      <c r="B319" s="635"/>
      <c r="C319" s="635" t="s">
        <v>394</v>
      </c>
      <c r="D319" s="635" t="s">
        <v>395</v>
      </c>
      <c r="E319" s="635"/>
      <c r="F319" s="635"/>
      <c r="G319" s="636">
        <v>0.2</v>
      </c>
      <c r="H319" s="637">
        <v>6</v>
      </c>
      <c r="I319" s="637">
        <v>930</v>
      </c>
      <c r="J319" s="638">
        <v>6.8</v>
      </c>
      <c r="K319" s="635"/>
      <c r="L319" s="635"/>
      <c r="M319" s="635"/>
    </row>
    <row r="320" spans="1:13" x14ac:dyDescent="0.3">
      <c r="A320" s="635"/>
      <c r="B320" s="635"/>
      <c r="C320" s="635" t="s">
        <v>396</v>
      </c>
      <c r="D320" s="635" t="s">
        <v>397</v>
      </c>
      <c r="E320" s="635"/>
      <c r="F320" s="635"/>
      <c r="G320" s="636">
        <v>0.4</v>
      </c>
      <c r="H320" s="637">
        <v>10</v>
      </c>
      <c r="I320" s="637">
        <v>470</v>
      </c>
      <c r="J320" s="638">
        <v>13.9</v>
      </c>
      <c r="K320" s="635"/>
      <c r="L320" s="635"/>
      <c r="M320" s="635"/>
    </row>
    <row r="321" spans="1:13" x14ac:dyDescent="0.3">
      <c r="A321" s="635"/>
      <c r="B321" s="635"/>
      <c r="C321" s="635"/>
      <c r="D321" s="635"/>
      <c r="E321" s="635"/>
      <c r="F321" s="635"/>
      <c r="G321" s="636"/>
      <c r="H321" s="637"/>
      <c r="I321" s="637"/>
      <c r="J321" s="638"/>
      <c r="K321" s="635"/>
      <c r="L321" s="635"/>
      <c r="M321" s="635"/>
    </row>
    <row r="322" spans="1:13" x14ac:dyDescent="0.3">
      <c r="A322" s="635"/>
      <c r="B322" s="635" t="s">
        <v>398</v>
      </c>
      <c r="C322" s="635" t="s">
        <v>399</v>
      </c>
      <c r="D322" s="635"/>
      <c r="E322" s="635"/>
      <c r="F322" s="635"/>
      <c r="G322" s="636">
        <v>2.1</v>
      </c>
      <c r="H322" s="637">
        <v>60</v>
      </c>
      <c r="I322" s="637">
        <v>460</v>
      </c>
      <c r="J322" s="638">
        <v>12.7</v>
      </c>
      <c r="K322" s="635"/>
      <c r="L322" s="635"/>
      <c r="M322" s="635"/>
    </row>
    <row r="323" spans="1:13" x14ac:dyDescent="0.3">
      <c r="A323" s="635"/>
      <c r="B323" s="635"/>
      <c r="C323" s="635" t="s">
        <v>400</v>
      </c>
      <c r="D323" s="635" t="s">
        <v>401</v>
      </c>
      <c r="E323" s="635"/>
      <c r="F323" s="635"/>
      <c r="G323" s="636">
        <v>1.7</v>
      </c>
      <c r="H323" s="637">
        <v>49</v>
      </c>
      <c r="I323" s="637">
        <v>250</v>
      </c>
      <c r="J323" s="638">
        <v>14.9</v>
      </c>
      <c r="K323" s="635"/>
      <c r="L323" s="635"/>
      <c r="M323" s="635"/>
    </row>
    <row r="324" spans="1:13" x14ac:dyDescent="0.3">
      <c r="A324" s="635"/>
      <c r="B324" s="635"/>
      <c r="C324" s="635" t="s">
        <v>402</v>
      </c>
      <c r="D324" s="635" t="s">
        <v>403</v>
      </c>
      <c r="E324" s="635"/>
      <c r="F324" s="635"/>
      <c r="G324" s="636">
        <v>0.4</v>
      </c>
      <c r="H324" s="637">
        <v>10</v>
      </c>
      <c r="I324" s="637">
        <v>250</v>
      </c>
      <c r="J324" s="638">
        <v>16.600000000000001</v>
      </c>
      <c r="K324" s="635"/>
      <c r="L324" s="635"/>
      <c r="M324" s="635"/>
    </row>
    <row r="325" spans="1:13" x14ac:dyDescent="0.3">
      <c r="A325" s="635"/>
      <c r="B325" s="635"/>
      <c r="C325" s="635" t="s">
        <v>404</v>
      </c>
      <c r="D325" s="635" t="s">
        <v>405</v>
      </c>
      <c r="E325" s="635"/>
      <c r="F325" s="635"/>
      <c r="G325" s="655" t="s">
        <v>230</v>
      </c>
      <c r="H325" s="656" t="s">
        <v>230</v>
      </c>
      <c r="I325" s="656" t="s">
        <v>230</v>
      </c>
      <c r="J325" s="657" t="s">
        <v>230</v>
      </c>
      <c r="K325" s="635"/>
      <c r="L325" s="635"/>
      <c r="M325" s="635"/>
    </row>
    <row r="326" spans="1:13" x14ac:dyDescent="0.3">
      <c r="A326" s="635"/>
      <c r="B326" s="635"/>
      <c r="C326" s="635"/>
      <c r="D326" s="635"/>
      <c r="E326" s="635"/>
      <c r="F326" s="635"/>
      <c r="G326" s="636"/>
      <c r="H326" s="637"/>
      <c r="I326" s="637"/>
      <c r="J326" s="638"/>
      <c r="K326" s="635"/>
      <c r="L326" s="635"/>
      <c r="M326" s="635"/>
    </row>
    <row r="327" spans="1:13" ht="10.199999999999999" customHeight="1" x14ac:dyDescent="0.3">
      <c r="A327" s="639"/>
      <c r="B327" s="639"/>
      <c r="C327" s="639"/>
      <c r="D327" s="639"/>
      <c r="E327" s="639"/>
      <c r="F327" s="639"/>
      <c r="G327" s="640"/>
      <c r="H327" s="641"/>
      <c r="I327" s="641"/>
      <c r="J327" s="642"/>
      <c r="K327" s="635"/>
      <c r="L327" s="635"/>
      <c r="M327" s="635"/>
    </row>
    <row r="328" spans="1:13" s="662" customFormat="1" ht="12" x14ac:dyDescent="0.2">
      <c r="A328" s="631">
        <v>6</v>
      </c>
      <c r="B328" s="631" t="s">
        <v>12</v>
      </c>
      <c r="C328" s="631"/>
      <c r="D328" s="631"/>
      <c r="E328" s="631"/>
      <c r="F328" s="631"/>
      <c r="G328" s="632">
        <v>6.7</v>
      </c>
      <c r="H328" s="633">
        <v>188</v>
      </c>
      <c r="I328" s="633">
        <v>2850</v>
      </c>
      <c r="J328" s="634">
        <v>7.1</v>
      </c>
      <c r="K328" s="631"/>
      <c r="L328" s="631"/>
      <c r="M328" s="631"/>
    </row>
    <row r="329" spans="1:13" x14ac:dyDescent="0.3">
      <c r="A329" s="635"/>
      <c r="B329" s="635"/>
      <c r="C329" s="635"/>
      <c r="D329" s="635"/>
      <c r="E329" s="635"/>
      <c r="F329" s="635"/>
      <c r="G329" s="636"/>
      <c r="H329" s="637"/>
      <c r="I329" s="637"/>
      <c r="J329" s="638"/>
      <c r="K329" s="635"/>
      <c r="L329" s="635"/>
      <c r="M329" s="635"/>
    </row>
    <row r="330" spans="1:13" x14ac:dyDescent="0.3">
      <c r="A330" s="635">
        <v>6.1</v>
      </c>
      <c r="B330" s="635" t="s">
        <v>406</v>
      </c>
      <c r="C330" s="635"/>
      <c r="D330" s="635"/>
      <c r="E330" s="635"/>
      <c r="F330" s="635"/>
      <c r="G330" s="636">
        <v>4.0999999999999996</v>
      </c>
      <c r="H330" s="637">
        <v>115</v>
      </c>
      <c r="I330" s="637">
        <v>2720</v>
      </c>
      <c r="J330" s="638">
        <v>7.9</v>
      </c>
      <c r="K330" s="635"/>
      <c r="L330" s="635"/>
      <c r="M330" s="635"/>
    </row>
    <row r="331" spans="1:13" x14ac:dyDescent="0.3">
      <c r="A331" s="635"/>
      <c r="B331" s="635" t="s">
        <v>407</v>
      </c>
      <c r="C331" s="635" t="s">
        <v>408</v>
      </c>
      <c r="D331" s="635"/>
      <c r="E331" s="635"/>
      <c r="F331" s="635"/>
      <c r="G331" s="636">
        <v>2.6</v>
      </c>
      <c r="H331" s="637">
        <v>73</v>
      </c>
      <c r="I331" s="637">
        <v>2560</v>
      </c>
      <c r="J331" s="638">
        <v>9.6999999999999993</v>
      </c>
      <c r="K331" s="635"/>
      <c r="L331" s="635"/>
      <c r="M331" s="635"/>
    </row>
    <row r="332" spans="1:13" x14ac:dyDescent="0.3">
      <c r="A332" s="635"/>
      <c r="B332" s="635"/>
      <c r="C332" s="635" t="s">
        <v>409</v>
      </c>
      <c r="D332" s="635" t="s">
        <v>410</v>
      </c>
      <c r="E332" s="635"/>
      <c r="F332" s="635"/>
      <c r="G332" s="636">
        <v>0.2</v>
      </c>
      <c r="H332" s="637">
        <v>6</v>
      </c>
      <c r="I332" s="637">
        <v>220</v>
      </c>
      <c r="J332" s="638">
        <v>7.8</v>
      </c>
      <c r="K332" s="635"/>
      <c r="L332" s="635"/>
      <c r="M332" s="635"/>
    </row>
    <row r="333" spans="1:13" x14ac:dyDescent="0.3">
      <c r="A333" s="635"/>
      <c r="B333" s="635"/>
      <c r="C333" s="635" t="s">
        <v>411</v>
      </c>
      <c r="D333" s="635" t="s">
        <v>412</v>
      </c>
      <c r="E333" s="635"/>
      <c r="F333" s="635"/>
      <c r="G333" s="636">
        <v>1.6</v>
      </c>
      <c r="H333" s="637">
        <v>46</v>
      </c>
      <c r="I333" s="637">
        <v>2270</v>
      </c>
      <c r="J333" s="638">
        <v>4.5</v>
      </c>
      <c r="K333" s="635"/>
      <c r="L333" s="635"/>
      <c r="M333" s="635"/>
    </row>
    <row r="334" spans="1:13" x14ac:dyDescent="0.3">
      <c r="A334" s="635"/>
      <c r="B334" s="635"/>
      <c r="C334" s="635" t="s">
        <v>413</v>
      </c>
      <c r="D334" s="635" t="s">
        <v>414</v>
      </c>
      <c r="E334" s="635"/>
      <c r="F334" s="635"/>
      <c r="G334" s="636">
        <v>0.3</v>
      </c>
      <c r="H334" s="637">
        <v>9</v>
      </c>
      <c r="I334" s="637">
        <v>430</v>
      </c>
      <c r="J334" s="638">
        <v>11.6</v>
      </c>
      <c r="K334" s="635"/>
      <c r="L334" s="635"/>
      <c r="M334" s="635"/>
    </row>
    <row r="335" spans="1:13" x14ac:dyDescent="0.3">
      <c r="A335" s="635"/>
      <c r="B335" s="635"/>
      <c r="C335" s="635" t="s">
        <v>415</v>
      </c>
      <c r="D335" s="635" t="s">
        <v>416</v>
      </c>
      <c r="E335" s="635"/>
      <c r="F335" s="635"/>
      <c r="G335" s="636"/>
      <c r="H335" s="637"/>
      <c r="I335" s="637"/>
      <c r="J335" s="638"/>
      <c r="K335" s="635"/>
      <c r="L335" s="635"/>
      <c r="M335" s="635"/>
    </row>
    <row r="336" spans="1:13" x14ac:dyDescent="0.3">
      <c r="A336" s="635"/>
      <c r="B336" s="635"/>
      <c r="C336" s="635"/>
      <c r="D336" s="635" t="s">
        <v>417</v>
      </c>
      <c r="E336" s="635"/>
      <c r="F336" s="635"/>
      <c r="G336" s="636">
        <v>0.4</v>
      </c>
      <c r="H336" s="637">
        <v>12</v>
      </c>
      <c r="I336" s="637">
        <v>60</v>
      </c>
      <c r="J336" s="638">
        <v>55.4</v>
      </c>
      <c r="K336" s="635"/>
      <c r="L336" s="635"/>
      <c r="M336" s="635"/>
    </row>
    <row r="337" spans="1:13" x14ac:dyDescent="0.3">
      <c r="A337" s="635"/>
      <c r="B337" s="635"/>
      <c r="C337" s="635"/>
      <c r="D337" s="635"/>
      <c r="E337" s="635"/>
      <c r="F337" s="635"/>
      <c r="G337" s="636"/>
      <c r="H337" s="637"/>
      <c r="I337" s="637"/>
      <c r="J337" s="638"/>
      <c r="K337" s="635"/>
      <c r="L337" s="635"/>
      <c r="M337" s="635"/>
    </row>
    <row r="338" spans="1:13" x14ac:dyDescent="0.3">
      <c r="A338" s="635"/>
      <c r="B338" s="635" t="s">
        <v>418</v>
      </c>
      <c r="C338" s="635" t="s">
        <v>419</v>
      </c>
      <c r="D338" s="635"/>
      <c r="E338" s="635"/>
      <c r="F338" s="635"/>
      <c r="G338" s="636">
        <v>1.5</v>
      </c>
      <c r="H338" s="637">
        <v>42</v>
      </c>
      <c r="I338" s="637">
        <v>370</v>
      </c>
      <c r="J338" s="638">
        <v>13.8</v>
      </c>
      <c r="K338" s="635"/>
      <c r="L338" s="635"/>
      <c r="M338" s="635"/>
    </row>
    <row r="339" spans="1:13" x14ac:dyDescent="0.3">
      <c r="A339" s="635"/>
      <c r="B339" s="635"/>
      <c r="C339" s="635" t="s">
        <v>420</v>
      </c>
      <c r="D339" s="635" t="s">
        <v>421</v>
      </c>
      <c r="E339" s="635"/>
      <c r="F339" s="635"/>
      <c r="G339" s="636">
        <v>1.5</v>
      </c>
      <c r="H339" s="637">
        <v>41</v>
      </c>
      <c r="I339" s="637">
        <v>330</v>
      </c>
      <c r="J339" s="638">
        <v>13.8</v>
      </c>
      <c r="K339" s="635"/>
      <c r="L339" s="635"/>
      <c r="M339" s="635"/>
    </row>
    <row r="340" spans="1:13" x14ac:dyDescent="0.3">
      <c r="A340" s="635"/>
      <c r="B340" s="635"/>
      <c r="C340" s="635" t="s">
        <v>422</v>
      </c>
      <c r="D340" s="635" t="s">
        <v>423</v>
      </c>
      <c r="E340" s="635"/>
      <c r="F340" s="635"/>
      <c r="G340" s="636">
        <v>0</v>
      </c>
      <c r="H340" s="637">
        <v>1</v>
      </c>
      <c r="I340" s="637">
        <v>50</v>
      </c>
      <c r="J340" s="638">
        <v>43.7</v>
      </c>
      <c r="K340" s="635"/>
      <c r="L340" s="635"/>
      <c r="M340" s="635"/>
    </row>
    <row r="341" spans="1:13" x14ac:dyDescent="0.3">
      <c r="A341" s="635"/>
      <c r="B341" s="635"/>
      <c r="C341" s="635"/>
      <c r="D341" s="635"/>
      <c r="E341" s="635"/>
      <c r="F341" s="635"/>
      <c r="G341" s="636"/>
      <c r="H341" s="637"/>
      <c r="I341" s="637"/>
      <c r="J341" s="638"/>
      <c r="K341" s="635"/>
      <c r="L341" s="635"/>
      <c r="M341" s="635"/>
    </row>
    <row r="342" spans="1:13" x14ac:dyDescent="0.3">
      <c r="A342" s="635">
        <v>6.2</v>
      </c>
      <c r="B342" s="635" t="s">
        <v>424</v>
      </c>
      <c r="C342" s="635"/>
      <c r="D342" s="635"/>
      <c r="E342" s="635"/>
      <c r="F342" s="635"/>
      <c r="G342" s="636">
        <v>2.6</v>
      </c>
      <c r="H342" s="637">
        <v>73</v>
      </c>
      <c r="I342" s="637">
        <v>340</v>
      </c>
      <c r="J342" s="638">
        <v>12.8</v>
      </c>
      <c r="K342" s="635"/>
      <c r="L342" s="635"/>
      <c r="M342" s="635"/>
    </row>
    <row r="343" spans="1:13" x14ac:dyDescent="0.3">
      <c r="A343" s="635"/>
      <c r="B343" s="635" t="s">
        <v>425</v>
      </c>
      <c r="C343" s="635" t="s">
        <v>426</v>
      </c>
      <c r="D343" s="635"/>
      <c r="E343" s="635"/>
      <c r="F343" s="635"/>
      <c r="G343" s="636">
        <v>2.5</v>
      </c>
      <c r="H343" s="637">
        <v>72</v>
      </c>
      <c r="I343" s="637">
        <v>340</v>
      </c>
      <c r="J343" s="638">
        <v>12.9</v>
      </c>
      <c r="K343" s="635"/>
      <c r="L343" s="635"/>
      <c r="M343" s="635"/>
    </row>
    <row r="344" spans="1:13" x14ac:dyDescent="0.3">
      <c r="A344" s="635"/>
      <c r="B344" s="635"/>
      <c r="C344" s="635" t="s">
        <v>427</v>
      </c>
      <c r="D344" s="635" t="s">
        <v>428</v>
      </c>
      <c r="E344" s="635"/>
      <c r="F344" s="635"/>
      <c r="G344" s="636">
        <v>0.4</v>
      </c>
      <c r="H344" s="637">
        <v>11</v>
      </c>
      <c r="I344" s="637">
        <v>90</v>
      </c>
      <c r="J344" s="638">
        <v>16.5</v>
      </c>
      <c r="K344" s="635"/>
      <c r="L344" s="635"/>
      <c r="M344" s="635"/>
    </row>
    <row r="345" spans="1:13" x14ac:dyDescent="0.3">
      <c r="A345" s="635"/>
      <c r="B345" s="635"/>
      <c r="C345" s="635" t="s">
        <v>429</v>
      </c>
      <c r="D345" s="635" t="s">
        <v>430</v>
      </c>
      <c r="E345" s="635"/>
      <c r="F345" s="635"/>
      <c r="G345" s="636">
        <v>2.1</v>
      </c>
      <c r="H345" s="637">
        <v>61</v>
      </c>
      <c r="I345" s="637">
        <v>250</v>
      </c>
      <c r="J345" s="638">
        <v>15.2</v>
      </c>
      <c r="K345" s="635"/>
      <c r="L345" s="635"/>
      <c r="M345" s="635"/>
    </row>
    <row r="346" spans="1:13" x14ac:dyDescent="0.3">
      <c r="A346" s="635"/>
      <c r="B346" s="635"/>
      <c r="C346" s="635" t="s">
        <v>431</v>
      </c>
      <c r="D346" s="635" t="s">
        <v>432</v>
      </c>
      <c r="E346" s="635"/>
      <c r="F346" s="635"/>
      <c r="G346" s="655" t="s">
        <v>230</v>
      </c>
      <c r="H346" s="656" t="s">
        <v>230</v>
      </c>
      <c r="I346" s="656" t="s">
        <v>230</v>
      </c>
      <c r="J346" s="657" t="s">
        <v>230</v>
      </c>
      <c r="K346" s="635"/>
      <c r="L346" s="635"/>
      <c r="M346" s="635"/>
    </row>
    <row r="347" spans="1:13" x14ac:dyDescent="0.3">
      <c r="A347" s="635"/>
      <c r="B347" s="635"/>
      <c r="C347" s="635"/>
      <c r="D347" s="635"/>
      <c r="E347" s="635"/>
      <c r="F347" s="635"/>
      <c r="G347" s="636"/>
      <c r="H347" s="637"/>
      <c r="I347" s="637"/>
      <c r="J347" s="638"/>
      <c r="K347" s="635"/>
      <c r="L347" s="635"/>
      <c r="M347" s="635"/>
    </row>
    <row r="348" spans="1:13" x14ac:dyDescent="0.3">
      <c r="A348" s="635"/>
      <c r="B348" s="635" t="s">
        <v>433</v>
      </c>
      <c r="C348" s="635" t="s">
        <v>434</v>
      </c>
      <c r="D348" s="635"/>
      <c r="E348" s="635"/>
      <c r="F348" s="635"/>
      <c r="G348" s="655" t="s">
        <v>230</v>
      </c>
      <c r="H348" s="656" t="s">
        <v>230</v>
      </c>
      <c r="I348" s="656" t="s">
        <v>230</v>
      </c>
      <c r="J348" s="657" t="s">
        <v>230</v>
      </c>
      <c r="K348" s="635"/>
      <c r="L348" s="635"/>
      <c r="M348" s="635"/>
    </row>
    <row r="349" spans="1:13" s="79" customFormat="1" ht="10.199999999999999" x14ac:dyDescent="0.15">
      <c r="G349" s="219"/>
      <c r="H349" s="649"/>
      <c r="I349" s="649"/>
      <c r="J349" s="217"/>
      <c r="K349" s="214"/>
      <c r="L349" s="269"/>
    </row>
    <row r="350" spans="1:13" x14ac:dyDescent="0.3">
      <c r="A350" s="639"/>
      <c r="B350" s="639"/>
      <c r="C350" s="639"/>
      <c r="D350" s="639"/>
      <c r="E350" s="639"/>
      <c r="F350" s="639"/>
      <c r="G350" s="640"/>
      <c r="H350" s="641"/>
      <c r="I350" s="641"/>
      <c r="J350" s="642"/>
      <c r="K350" s="635"/>
      <c r="L350" s="635"/>
      <c r="M350" s="635"/>
    </row>
    <row r="351" spans="1:13" x14ac:dyDescent="0.3">
      <c r="A351" s="635" t="s">
        <v>111</v>
      </c>
      <c r="B351" s="635"/>
      <c r="C351" s="635"/>
      <c r="D351" s="635"/>
      <c r="E351" s="635"/>
      <c r="F351" s="635"/>
      <c r="G351" s="636"/>
      <c r="H351" s="637"/>
      <c r="I351" s="637"/>
      <c r="J351" s="638"/>
      <c r="K351" s="635"/>
      <c r="L351" s="635"/>
      <c r="M351" s="635"/>
    </row>
    <row r="352" spans="1:13" x14ac:dyDescent="0.3">
      <c r="A352" s="635" t="s">
        <v>182</v>
      </c>
      <c r="B352" s="635"/>
      <c r="C352" s="635"/>
      <c r="D352" s="635"/>
      <c r="E352" s="635"/>
      <c r="F352" s="635"/>
      <c r="G352" s="636"/>
      <c r="H352" s="637"/>
      <c r="I352" s="637"/>
      <c r="J352" s="638"/>
      <c r="K352" s="635"/>
      <c r="L352" s="635"/>
      <c r="M352" s="635"/>
    </row>
    <row r="353" spans="1:13" x14ac:dyDescent="0.3">
      <c r="A353" s="635" t="s">
        <v>112</v>
      </c>
      <c r="B353" s="635"/>
      <c r="C353" s="635"/>
      <c r="D353" s="635"/>
      <c r="E353" s="635"/>
      <c r="F353" s="635"/>
      <c r="G353" s="636"/>
      <c r="H353" s="637"/>
      <c r="I353" s="637"/>
      <c r="J353" s="638"/>
      <c r="K353" s="635"/>
      <c r="L353" s="635"/>
      <c r="M353" s="635"/>
    </row>
    <row r="354" spans="1:13" x14ac:dyDescent="0.3">
      <c r="A354" s="635"/>
      <c r="B354" s="635"/>
      <c r="C354" s="635"/>
      <c r="D354" s="635"/>
      <c r="E354" s="635"/>
      <c r="F354" s="635"/>
      <c r="G354" s="636"/>
      <c r="H354" s="637"/>
      <c r="I354" s="637"/>
      <c r="J354" s="638"/>
      <c r="K354" s="635"/>
      <c r="L354" s="635"/>
      <c r="M354" s="635"/>
    </row>
    <row r="355" spans="1:13" x14ac:dyDescent="0.3">
      <c r="G355" s="643"/>
    </row>
    <row r="356" spans="1:13" x14ac:dyDescent="0.3">
      <c r="G356" s="643"/>
    </row>
    <row r="357" spans="1:13" x14ac:dyDescent="0.3">
      <c r="G357" s="643"/>
    </row>
    <row r="358" spans="1:13" ht="15.6" x14ac:dyDescent="0.3">
      <c r="A358" s="159" t="s">
        <v>114</v>
      </c>
      <c r="B358" s="129"/>
      <c r="C358" s="157"/>
      <c r="D358" s="219"/>
      <c r="E358" s="219"/>
      <c r="F358" s="130"/>
      <c r="G358" s="219"/>
      <c r="H358" s="649"/>
      <c r="I358" s="649"/>
      <c r="J358" s="135"/>
      <c r="K358" s="218"/>
    </row>
    <row r="359" spans="1:13" ht="34.799999999999997" x14ac:dyDescent="0.3">
      <c r="A359" s="160" t="s">
        <v>183</v>
      </c>
      <c r="B359" s="161"/>
      <c r="C359" s="31"/>
      <c r="D359" s="32"/>
      <c r="E359" s="32"/>
      <c r="F359" s="33"/>
      <c r="G359" s="658"/>
      <c r="H359" s="659"/>
      <c r="I359" s="659"/>
      <c r="J359" s="646"/>
      <c r="K359" s="37"/>
    </row>
    <row r="360" spans="1:13" ht="17.399999999999999" x14ac:dyDescent="0.3">
      <c r="A360" s="41" t="s">
        <v>1360</v>
      </c>
      <c r="B360" s="168"/>
      <c r="C360" s="43"/>
      <c r="D360" s="44"/>
      <c r="E360" s="32"/>
      <c r="F360" s="33"/>
      <c r="G360" s="658"/>
      <c r="H360" s="659"/>
      <c r="I360" s="659"/>
      <c r="J360" s="660"/>
      <c r="K360" s="37"/>
    </row>
    <row r="361" spans="1:13" x14ac:dyDescent="0.3">
      <c r="A361" s="71"/>
      <c r="B361" s="71"/>
      <c r="C361" s="72"/>
      <c r="D361" s="73"/>
      <c r="E361" s="73"/>
      <c r="F361" s="73"/>
      <c r="G361" s="73"/>
      <c r="H361" s="648"/>
      <c r="I361" s="648"/>
      <c r="J361" s="624"/>
      <c r="K361" s="53"/>
    </row>
    <row r="362" spans="1:13" x14ac:dyDescent="0.3">
      <c r="A362" s="81"/>
      <c r="B362" s="81"/>
      <c r="C362" s="55"/>
      <c r="D362" s="84"/>
      <c r="E362" s="84"/>
      <c r="F362" s="84"/>
      <c r="G362" s="219"/>
      <c r="H362" s="649"/>
      <c r="I362" s="649"/>
      <c r="J362" s="217"/>
      <c r="K362" s="53"/>
    </row>
    <row r="363" spans="1:13" x14ac:dyDescent="0.3">
      <c r="A363" s="172"/>
      <c r="B363" s="172"/>
      <c r="C363" s="173"/>
      <c r="D363" s="174"/>
      <c r="E363" s="174"/>
      <c r="F363" s="59"/>
      <c r="G363" s="650" t="s">
        <v>116</v>
      </c>
      <c r="H363" s="622" t="s">
        <v>25</v>
      </c>
      <c r="I363" s="622" t="s">
        <v>26</v>
      </c>
      <c r="J363" s="63" t="s">
        <v>117</v>
      </c>
      <c r="K363" s="179"/>
    </row>
    <row r="364" spans="1:13" x14ac:dyDescent="0.3">
      <c r="A364" s="172"/>
      <c r="B364" s="172"/>
      <c r="C364" s="181"/>
      <c r="D364" s="174"/>
      <c r="E364" s="174"/>
      <c r="F364" s="59"/>
      <c r="G364" s="651" t="s">
        <v>29</v>
      </c>
      <c r="H364" s="622" t="s">
        <v>27</v>
      </c>
      <c r="I364" s="622" t="s">
        <v>28</v>
      </c>
      <c r="J364" s="63" t="s">
        <v>118</v>
      </c>
      <c r="K364" s="179"/>
    </row>
    <row r="365" spans="1:13" x14ac:dyDescent="0.3">
      <c r="A365" s="172"/>
      <c r="B365" s="172"/>
      <c r="C365" s="181"/>
      <c r="D365" s="174"/>
      <c r="E365" s="174"/>
      <c r="F365" s="59"/>
      <c r="G365" s="650" t="s">
        <v>31</v>
      </c>
      <c r="H365" s="622" t="s">
        <v>29</v>
      </c>
      <c r="I365" s="622" t="s">
        <v>30</v>
      </c>
      <c r="J365" s="63" t="s">
        <v>119</v>
      </c>
      <c r="K365" s="179"/>
    </row>
    <row r="366" spans="1:13" x14ac:dyDescent="0.3">
      <c r="A366" s="172"/>
      <c r="B366" s="172"/>
      <c r="C366" s="181"/>
      <c r="D366" s="174"/>
      <c r="E366" s="174"/>
      <c r="F366" s="59"/>
      <c r="G366" s="651" t="s">
        <v>32</v>
      </c>
      <c r="H366" s="622" t="s">
        <v>33</v>
      </c>
      <c r="I366" s="622" t="s">
        <v>120</v>
      </c>
      <c r="J366" s="63" t="s">
        <v>121</v>
      </c>
      <c r="K366" s="179"/>
    </row>
    <row r="367" spans="1:13" x14ac:dyDescent="0.3">
      <c r="A367" s="71"/>
      <c r="B367" s="71"/>
      <c r="C367" s="72"/>
      <c r="D367" s="73"/>
      <c r="E367" s="73"/>
      <c r="F367" s="73"/>
      <c r="G367" s="73"/>
      <c r="H367" s="648"/>
      <c r="I367" s="648"/>
      <c r="J367" s="624"/>
      <c r="K367" s="53"/>
    </row>
    <row r="368" spans="1:13" ht="3.6" customHeight="1" x14ac:dyDescent="0.3">
      <c r="A368" s="80"/>
      <c r="B368" s="81"/>
      <c r="C368" s="82"/>
      <c r="D368" s="83"/>
      <c r="E368" s="83"/>
      <c r="F368" s="84"/>
      <c r="G368" s="83"/>
      <c r="H368" s="661"/>
      <c r="I368" s="661"/>
      <c r="J368" s="231"/>
      <c r="K368" s="53"/>
    </row>
    <row r="369" spans="1:13" s="93" customFormat="1" ht="10.95" customHeight="1" x14ac:dyDescent="0.2">
      <c r="A369" s="111" t="s">
        <v>123</v>
      </c>
      <c r="B369" s="112"/>
      <c r="C369" s="113"/>
      <c r="F369" s="114" t="s">
        <v>124</v>
      </c>
      <c r="G369" s="652"/>
      <c r="H369" s="653"/>
      <c r="I369" s="653"/>
      <c r="J369" s="654"/>
      <c r="K369" s="53"/>
      <c r="L369" s="270"/>
    </row>
    <row r="370" spans="1:13" x14ac:dyDescent="0.3">
      <c r="A370" s="635"/>
      <c r="B370" s="635"/>
      <c r="C370" s="635"/>
      <c r="D370" s="635"/>
      <c r="E370" s="635"/>
      <c r="F370" s="635"/>
      <c r="G370" s="636"/>
      <c r="H370" s="637"/>
      <c r="I370" s="637"/>
      <c r="J370" s="638"/>
      <c r="K370" s="635"/>
      <c r="L370" s="635"/>
      <c r="M370" s="635"/>
    </row>
    <row r="371" spans="1:13" x14ac:dyDescent="0.3">
      <c r="A371" s="631">
        <v>7</v>
      </c>
      <c r="B371" s="631" t="s">
        <v>13</v>
      </c>
      <c r="C371" s="631"/>
      <c r="D371" s="631"/>
      <c r="E371" s="631"/>
      <c r="F371" s="631"/>
      <c r="G371" s="632">
        <v>60.8</v>
      </c>
      <c r="H371" s="633">
        <v>1716</v>
      </c>
      <c r="I371" s="633">
        <v>4610</v>
      </c>
      <c r="J371" s="638">
        <v>3.2</v>
      </c>
      <c r="K371" s="635"/>
      <c r="L371" s="635"/>
      <c r="M371" s="635"/>
    </row>
    <row r="372" spans="1:13" x14ac:dyDescent="0.3">
      <c r="A372" s="635"/>
      <c r="B372" s="635"/>
      <c r="C372" s="635"/>
      <c r="D372" s="635"/>
      <c r="E372" s="635"/>
      <c r="F372" s="635"/>
      <c r="G372" s="636"/>
      <c r="H372" s="637"/>
      <c r="I372" s="637"/>
      <c r="J372" s="638"/>
      <c r="K372" s="635"/>
      <c r="L372" s="635"/>
      <c r="M372" s="635"/>
    </row>
    <row r="373" spans="1:13" x14ac:dyDescent="0.3">
      <c r="A373" s="635">
        <v>7.1</v>
      </c>
      <c r="B373" s="635" t="s">
        <v>435</v>
      </c>
      <c r="C373" s="635"/>
      <c r="D373" s="635"/>
      <c r="E373" s="635"/>
      <c r="F373" s="635"/>
      <c r="G373" s="636">
        <v>29.7</v>
      </c>
      <c r="H373" s="637">
        <v>838</v>
      </c>
      <c r="I373" s="637">
        <v>1310</v>
      </c>
      <c r="J373" s="638">
        <v>5.8</v>
      </c>
      <c r="K373" s="635"/>
      <c r="L373" s="635"/>
      <c r="M373" s="635"/>
    </row>
    <row r="374" spans="1:13" x14ac:dyDescent="0.3">
      <c r="A374" s="635"/>
      <c r="B374" s="635" t="s">
        <v>436</v>
      </c>
      <c r="C374" s="635" t="s">
        <v>437</v>
      </c>
      <c r="D374" s="635"/>
      <c r="E374" s="635"/>
      <c r="F374" s="635"/>
      <c r="G374" s="636">
        <v>9</v>
      </c>
      <c r="H374" s="637">
        <v>253</v>
      </c>
      <c r="I374" s="637">
        <v>350</v>
      </c>
      <c r="J374" s="638">
        <v>11.8</v>
      </c>
      <c r="K374" s="635"/>
      <c r="L374" s="635"/>
      <c r="M374" s="635"/>
    </row>
    <row r="375" spans="1:13" x14ac:dyDescent="0.3">
      <c r="A375" s="635"/>
      <c r="B375" s="635"/>
      <c r="C375" s="635" t="s">
        <v>438</v>
      </c>
      <c r="D375" s="635" t="s">
        <v>439</v>
      </c>
      <c r="E375" s="635"/>
      <c r="F375" s="635"/>
      <c r="G375" s="636">
        <v>3.7</v>
      </c>
      <c r="H375" s="637">
        <v>104</v>
      </c>
      <c r="I375" s="637">
        <v>60</v>
      </c>
      <c r="J375" s="638">
        <v>15.9</v>
      </c>
      <c r="K375" s="635"/>
      <c r="L375" s="635"/>
      <c r="M375" s="635"/>
    </row>
    <row r="376" spans="1:13" x14ac:dyDescent="0.3">
      <c r="A376" s="635"/>
      <c r="B376" s="635"/>
      <c r="C376" s="635" t="s">
        <v>440</v>
      </c>
      <c r="D376" s="635" t="s">
        <v>441</v>
      </c>
      <c r="E376" s="635"/>
      <c r="F376" s="635"/>
      <c r="G376" s="636">
        <v>5.3</v>
      </c>
      <c r="H376" s="637">
        <v>150</v>
      </c>
      <c r="I376" s="637">
        <v>290</v>
      </c>
      <c r="J376" s="638">
        <v>16</v>
      </c>
      <c r="K376" s="635"/>
      <c r="L376" s="635"/>
      <c r="M376" s="635"/>
    </row>
    <row r="377" spans="1:13" x14ac:dyDescent="0.3">
      <c r="A377" s="635"/>
      <c r="B377" s="635"/>
      <c r="C377" s="635"/>
      <c r="D377" s="635"/>
      <c r="E377" s="635"/>
      <c r="F377" s="635"/>
      <c r="G377" s="636"/>
      <c r="H377" s="637"/>
      <c r="I377" s="637"/>
      <c r="J377" s="638"/>
      <c r="K377" s="635"/>
      <c r="L377" s="635"/>
      <c r="M377" s="635"/>
    </row>
    <row r="378" spans="1:13" x14ac:dyDescent="0.3">
      <c r="A378" s="635"/>
      <c r="B378" s="635" t="s">
        <v>442</v>
      </c>
      <c r="C378" s="635" t="s">
        <v>443</v>
      </c>
      <c r="D378" s="635"/>
      <c r="E378" s="635"/>
      <c r="F378" s="635"/>
      <c r="G378" s="636">
        <v>19.399999999999999</v>
      </c>
      <c r="H378" s="637">
        <v>546</v>
      </c>
      <c r="I378" s="637">
        <v>950</v>
      </c>
      <c r="J378" s="638">
        <v>5.9</v>
      </c>
      <c r="K378" s="635"/>
      <c r="L378" s="635"/>
      <c r="M378" s="635"/>
    </row>
    <row r="379" spans="1:13" x14ac:dyDescent="0.3">
      <c r="A379" s="635"/>
      <c r="B379" s="635"/>
      <c r="C379" s="635" t="s">
        <v>444</v>
      </c>
      <c r="D379" s="635" t="s">
        <v>439</v>
      </c>
      <c r="E379" s="635"/>
      <c r="F379" s="635"/>
      <c r="G379" s="636">
        <v>12.2</v>
      </c>
      <c r="H379" s="637">
        <v>345</v>
      </c>
      <c r="I379" s="637">
        <v>430</v>
      </c>
      <c r="J379" s="638">
        <v>8.1999999999999993</v>
      </c>
      <c r="K379" s="635"/>
      <c r="L379" s="635"/>
      <c r="M379" s="635"/>
    </row>
    <row r="380" spans="1:13" x14ac:dyDescent="0.3">
      <c r="A380" s="635"/>
      <c r="B380" s="635"/>
      <c r="C380" s="635" t="s">
        <v>445</v>
      </c>
      <c r="D380" s="635" t="s">
        <v>446</v>
      </c>
      <c r="E380" s="635"/>
      <c r="F380" s="635"/>
      <c r="G380" s="636">
        <v>7.1</v>
      </c>
      <c r="H380" s="637">
        <v>201</v>
      </c>
      <c r="I380" s="637">
        <v>550</v>
      </c>
      <c r="J380" s="638">
        <v>7</v>
      </c>
      <c r="K380" s="635"/>
      <c r="L380" s="635"/>
      <c r="M380" s="635"/>
    </row>
    <row r="381" spans="1:13" x14ac:dyDescent="0.3">
      <c r="A381" s="635"/>
      <c r="B381" s="635"/>
      <c r="C381" s="635"/>
      <c r="D381" s="635"/>
      <c r="E381" s="635"/>
      <c r="F381" s="635"/>
      <c r="G381" s="636"/>
      <c r="H381" s="637"/>
      <c r="I381" s="637"/>
      <c r="J381" s="638"/>
      <c r="K381" s="635"/>
      <c r="L381" s="635"/>
      <c r="M381" s="635"/>
    </row>
    <row r="382" spans="1:13" x14ac:dyDescent="0.3">
      <c r="A382" s="635"/>
      <c r="B382" s="635" t="s">
        <v>447</v>
      </c>
      <c r="C382" s="635" t="s">
        <v>448</v>
      </c>
      <c r="D382" s="635"/>
      <c r="E382" s="635"/>
      <c r="F382" s="635"/>
      <c r="G382" s="636">
        <v>1.4</v>
      </c>
      <c r="H382" s="637">
        <v>39</v>
      </c>
      <c r="I382" s="637">
        <v>70</v>
      </c>
      <c r="J382" s="638">
        <v>25.9</v>
      </c>
      <c r="K382" s="635"/>
      <c r="L382" s="635"/>
      <c r="M382" s="635"/>
    </row>
    <row r="383" spans="1:13" x14ac:dyDescent="0.3">
      <c r="A383" s="635"/>
      <c r="B383" s="635"/>
      <c r="C383" s="635" t="s">
        <v>449</v>
      </c>
      <c r="D383" s="635" t="s">
        <v>450</v>
      </c>
      <c r="E383" s="635"/>
      <c r="F383" s="635"/>
      <c r="G383" s="636">
        <v>0.4</v>
      </c>
      <c r="H383" s="637">
        <v>12</v>
      </c>
      <c r="I383" s="637">
        <v>20</v>
      </c>
      <c r="J383" s="638">
        <v>29.7</v>
      </c>
      <c r="K383" s="635"/>
      <c r="L383" s="635"/>
      <c r="M383" s="635"/>
    </row>
    <row r="384" spans="1:13" x14ac:dyDescent="0.3">
      <c r="A384" s="635"/>
      <c r="B384" s="635"/>
      <c r="C384" s="635" t="s">
        <v>451</v>
      </c>
      <c r="D384" s="635" t="s">
        <v>452</v>
      </c>
      <c r="E384" s="635"/>
      <c r="F384" s="635"/>
      <c r="G384" s="636">
        <v>0.1</v>
      </c>
      <c r="H384" s="637">
        <v>2</v>
      </c>
      <c r="I384" s="637">
        <v>10</v>
      </c>
      <c r="J384" s="638">
        <v>32.200000000000003</v>
      </c>
      <c r="K384" s="635"/>
      <c r="L384" s="635"/>
      <c r="M384" s="635"/>
    </row>
    <row r="385" spans="1:13" x14ac:dyDescent="0.3">
      <c r="A385" s="635"/>
      <c r="B385" s="635"/>
      <c r="C385" s="635" t="s">
        <v>453</v>
      </c>
      <c r="D385" s="635" t="s">
        <v>454</v>
      </c>
      <c r="E385" s="635"/>
      <c r="F385" s="635"/>
      <c r="G385" s="636">
        <v>0.9</v>
      </c>
      <c r="H385" s="637">
        <v>25</v>
      </c>
      <c r="I385" s="637">
        <v>40</v>
      </c>
      <c r="J385" s="638">
        <v>38.799999999999997</v>
      </c>
      <c r="K385" s="635"/>
      <c r="L385" s="635"/>
      <c r="M385" s="635"/>
    </row>
    <row r="386" spans="1:13" x14ac:dyDescent="0.3">
      <c r="A386" s="635"/>
      <c r="B386" s="635"/>
      <c r="C386" s="635"/>
      <c r="D386" s="635"/>
      <c r="E386" s="635"/>
      <c r="F386" s="635"/>
      <c r="G386" s="636"/>
      <c r="H386" s="637"/>
      <c r="I386" s="637"/>
      <c r="J386" s="638"/>
      <c r="K386" s="635"/>
      <c r="L386" s="635"/>
      <c r="M386" s="635"/>
    </row>
    <row r="387" spans="1:13" x14ac:dyDescent="0.3">
      <c r="A387" s="635">
        <v>7.2</v>
      </c>
      <c r="B387" s="635" t="s">
        <v>455</v>
      </c>
      <c r="C387" s="635"/>
      <c r="D387" s="635"/>
      <c r="E387" s="635"/>
      <c r="F387" s="635"/>
      <c r="G387" s="636">
        <v>21.5</v>
      </c>
      <c r="H387" s="637">
        <v>606</v>
      </c>
      <c r="I387" s="637">
        <v>4080</v>
      </c>
      <c r="J387" s="638">
        <v>2.2000000000000002</v>
      </c>
      <c r="K387" s="635"/>
      <c r="L387" s="635"/>
      <c r="M387" s="635"/>
    </row>
    <row r="388" spans="1:13" x14ac:dyDescent="0.3">
      <c r="A388" s="635"/>
      <c r="B388" s="635" t="s">
        <v>456</v>
      </c>
      <c r="C388" s="635" t="s">
        <v>457</v>
      </c>
      <c r="D388" s="635"/>
      <c r="E388" s="635"/>
      <c r="F388" s="635"/>
      <c r="G388" s="636">
        <v>2.2999999999999998</v>
      </c>
      <c r="H388" s="637">
        <v>66</v>
      </c>
      <c r="I388" s="637">
        <v>380</v>
      </c>
      <c r="J388" s="638">
        <v>10.6</v>
      </c>
      <c r="K388" s="635"/>
      <c r="L388" s="635"/>
      <c r="M388" s="635"/>
    </row>
    <row r="389" spans="1:13" x14ac:dyDescent="0.3">
      <c r="A389" s="635"/>
      <c r="B389" s="635"/>
      <c r="C389" s="635" t="s">
        <v>458</v>
      </c>
      <c r="D389" s="635" t="s">
        <v>459</v>
      </c>
      <c r="E389" s="635"/>
      <c r="F389" s="635"/>
      <c r="G389" s="636">
        <v>0.2</v>
      </c>
      <c r="H389" s="637">
        <v>7</v>
      </c>
      <c r="I389" s="637">
        <v>60</v>
      </c>
      <c r="J389" s="638">
        <v>39.1</v>
      </c>
      <c r="K389" s="635"/>
      <c r="L389" s="635"/>
      <c r="M389" s="635"/>
    </row>
    <row r="390" spans="1:13" x14ac:dyDescent="0.3">
      <c r="A390" s="635"/>
      <c r="B390" s="635"/>
      <c r="C390" s="635" t="s">
        <v>460</v>
      </c>
      <c r="D390" s="635" t="s">
        <v>461</v>
      </c>
      <c r="E390" s="635"/>
      <c r="F390" s="635"/>
      <c r="G390" s="636">
        <v>1.6</v>
      </c>
      <c r="H390" s="637">
        <v>44</v>
      </c>
      <c r="I390" s="637">
        <v>230</v>
      </c>
      <c r="J390" s="638">
        <v>13.5</v>
      </c>
      <c r="K390" s="635"/>
      <c r="L390" s="635"/>
      <c r="M390" s="635"/>
    </row>
    <row r="391" spans="1:13" x14ac:dyDescent="0.3">
      <c r="A391" s="635"/>
      <c r="B391" s="635"/>
      <c r="C391" s="635" t="s">
        <v>462</v>
      </c>
      <c r="D391" s="635" t="s">
        <v>463</v>
      </c>
      <c r="E391" s="635"/>
      <c r="F391" s="635"/>
      <c r="G391" s="636">
        <v>0.1</v>
      </c>
      <c r="H391" s="637">
        <v>1</v>
      </c>
      <c r="I391" s="637">
        <v>10</v>
      </c>
      <c r="J391" s="638">
        <v>45.5</v>
      </c>
      <c r="K391" s="635"/>
      <c r="L391" s="635"/>
      <c r="M391" s="635"/>
    </row>
    <row r="392" spans="1:13" x14ac:dyDescent="0.3">
      <c r="A392" s="635"/>
      <c r="B392" s="635"/>
      <c r="C392" s="635" t="s">
        <v>464</v>
      </c>
      <c r="D392" s="635" t="s">
        <v>465</v>
      </c>
      <c r="E392" s="635"/>
      <c r="F392" s="635"/>
      <c r="G392" s="636">
        <v>0.5</v>
      </c>
      <c r="H392" s="637">
        <v>13</v>
      </c>
      <c r="I392" s="637">
        <v>110</v>
      </c>
      <c r="J392" s="638">
        <v>18</v>
      </c>
      <c r="K392" s="635"/>
      <c r="L392" s="635"/>
      <c r="M392" s="635"/>
    </row>
    <row r="393" spans="1:13" x14ac:dyDescent="0.3">
      <c r="A393" s="635"/>
      <c r="B393" s="635"/>
      <c r="C393" s="635"/>
      <c r="D393" s="635"/>
      <c r="E393" s="635"/>
      <c r="F393" s="635"/>
      <c r="G393" s="636"/>
      <c r="H393" s="637"/>
      <c r="I393" s="637"/>
      <c r="J393" s="638"/>
      <c r="K393" s="635"/>
      <c r="L393" s="635"/>
      <c r="M393" s="635"/>
    </row>
    <row r="394" spans="1:13" x14ac:dyDescent="0.3">
      <c r="A394" s="635"/>
      <c r="B394" s="635" t="s">
        <v>466</v>
      </c>
      <c r="C394" s="635" t="s">
        <v>467</v>
      </c>
      <c r="D394" s="635"/>
      <c r="E394" s="635"/>
      <c r="F394" s="635"/>
      <c r="G394" s="636">
        <v>11.3</v>
      </c>
      <c r="H394" s="637">
        <v>318</v>
      </c>
      <c r="I394" s="637">
        <v>2610</v>
      </c>
      <c r="J394" s="638">
        <v>2.2000000000000002</v>
      </c>
      <c r="K394" s="635"/>
      <c r="L394" s="635"/>
      <c r="M394" s="635"/>
    </row>
    <row r="395" spans="1:13" x14ac:dyDescent="0.3">
      <c r="A395" s="635"/>
      <c r="B395" s="635"/>
      <c r="C395" s="635" t="s">
        <v>468</v>
      </c>
      <c r="D395" s="635" t="s">
        <v>469</v>
      </c>
      <c r="E395" s="635"/>
      <c r="F395" s="635"/>
      <c r="G395" s="636">
        <v>6.9</v>
      </c>
      <c r="H395" s="637">
        <v>193</v>
      </c>
      <c r="I395" s="637">
        <v>1830</v>
      </c>
      <c r="J395" s="638">
        <v>2.7</v>
      </c>
      <c r="K395" s="635"/>
      <c r="L395" s="635"/>
      <c r="M395" s="635"/>
    </row>
    <row r="396" spans="1:13" x14ac:dyDescent="0.3">
      <c r="A396" s="635"/>
      <c r="B396" s="635"/>
      <c r="C396" s="635" t="s">
        <v>470</v>
      </c>
      <c r="D396" s="635" t="s">
        <v>471</v>
      </c>
      <c r="E396" s="635"/>
      <c r="F396" s="635"/>
      <c r="G396" s="636">
        <v>4.3</v>
      </c>
      <c r="H396" s="637">
        <v>123</v>
      </c>
      <c r="I396" s="637">
        <v>1020</v>
      </c>
      <c r="J396" s="638">
        <v>4</v>
      </c>
      <c r="K396" s="635"/>
      <c r="L396" s="635"/>
      <c r="M396" s="635"/>
    </row>
    <row r="397" spans="1:13" x14ac:dyDescent="0.3">
      <c r="A397" s="635"/>
      <c r="B397" s="635"/>
      <c r="C397" s="635" t="s">
        <v>472</v>
      </c>
      <c r="D397" s="635" t="s">
        <v>473</v>
      </c>
      <c r="E397" s="635"/>
      <c r="F397" s="635"/>
      <c r="G397" s="636">
        <v>0.1</v>
      </c>
      <c r="H397" s="637">
        <v>2</v>
      </c>
      <c r="I397" s="637">
        <v>60</v>
      </c>
      <c r="J397" s="638">
        <v>16.899999999999999</v>
      </c>
      <c r="K397" s="635"/>
      <c r="L397" s="635"/>
      <c r="M397" s="635"/>
    </row>
    <row r="398" spans="1:13" x14ac:dyDescent="0.3">
      <c r="A398" s="635"/>
      <c r="B398" s="635"/>
      <c r="C398" s="635"/>
      <c r="D398" s="635"/>
      <c r="E398" s="635"/>
      <c r="F398" s="635"/>
      <c r="G398" s="636"/>
      <c r="H398" s="637"/>
      <c r="I398" s="637"/>
      <c r="J398" s="638"/>
      <c r="K398" s="635"/>
      <c r="L398" s="635"/>
      <c r="M398" s="635"/>
    </row>
    <row r="399" spans="1:13" x14ac:dyDescent="0.3">
      <c r="A399" s="635"/>
      <c r="B399" s="635" t="s">
        <v>474</v>
      </c>
      <c r="C399" s="635" t="s">
        <v>475</v>
      </c>
      <c r="D399" s="635"/>
      <c r="E399" s="635"/>
      <c r="F399" s="635"/>
      <c r="G399" s="636">
        <v>6.1</v>
      </c>
      <c r="H399" s="637">
        <v>173</v>
      </c>
      <c r="I399" s="637">
        <v>3080</v>
      </c>
      <c r="J399" s="638">
        <v>3.9</v>
      </c>
      <c r="K399" s="635"/>
      <c r="L399" s="635"/>
      <c r="M399" s="635"/>
    </row>
    <row r="400" spans="1:13" x14ac:dyDescent="0.3">
      <c r="A400" s="635"/>
      <c r="B400" s="635"/>
      <c r="C400" s="635" t="s">
        <v>476</v>
      </c>
      <c r="D400" s="635" t="s">
        <v>477</v>
      </c>
      <c r="E400" s="635"/>
      <c r="F400" s="635"/>
      <c r="G400" s="636">
        <v>6.1</v>
      </c>
      <c r="H400" s="637">
        <v>171</v>
      </c>
      <c r="I400" s="637">
        <v>3070</v>
      </c>
      <c r="J400" s="638">
        <v>3.9</v>
      </c>
      <c r="K400" s="635"/>
      <c r="L400" s="635"/>
      <c r="M400" s="635"/>
    </row>
    <row r="401" spans="1:13" x14ac:dyDescent="0.3">
      <c r="A401" s="635"/>
      <c r="B401" s="635"/>
      <c r="C401" s="635" t="s">
        <v>478</v>
      </c>
      <c r="D401" s="635" t="s">
        <v>479</v>
      </c>
      <c r="E401" s="635"/>
      <c r="F401" s="635"/>
      <c r="G401" s="636">
        <v>0.1</v>
      </c>
      <c r="H401" s="637">
        <v>2</v>
      </c>
      <c r="I401" s="637">
        <v>50</v>
      </c>
      <c r="J401" s="638">
        <v>42.1</v>
      </c>
      <c r="K401" s="635"/>
      <c r="L401" s="635"/>
      <c r="M401" s="635"/>
    </row>
    <row r="402" spans="1:13" x14ac:dyDescent="0.3">
      <c r="A402" s="635"/>
      <c r="B402" s="635"/>
      <c r="C402" s="635"/>
      <c r="D402" s="635"/>
      <c r="E402" s="635"/>
      <c r="F402" s="635"/>
      <c r="G402" s="636"/>
      <c r="H402" s="637"/>
      <c r="I402" s="637"/>
      <c r="J402" s="638"/>
      <c r="K402" s="635"/>
      <c r="L402" s="635"/>
      <c r="M402" s="635"/>
    </row>
    <row r="403" spans="1:13" x14ac:dyDescent="0.3">
      <c r="A403" s="635"/>
      <c r="B403" s="635" t="s">
        <v>480</v>
      </c>
      <c r="C403" s="635" t="s">
        <v>481</v>
      </c>
      <c r="D403" s="635"/>
      <c r="E403" s="635"/>
      <c r="F403" s="635"/>
      <c r="G403" s="636">
        <v>1.7</v>
      </c>
      <c r="H403" s="637">
        <v>49</v>
      </c>
      <c r="I403" s="637">
        <v>1310</v>
      </c>
      <c r="J403" s="638">
        <v>8.1999999999999993</v>
      </c>
      <c r="K403" s="635"/>
      <c r="L403" s="635"/>
      <c r="M403" s="635"/>
    </row>
    <row r="404" spans="1:13" x14ac:dyDescent="0.3">
      <c r="A404" s="635"/>
      <c r="B404" s="635"/>
      <c r="C404" s="635" t="s">
        <v>482</v>
      </c>
      <c r="D404" s="635" t="s">
        <v>483</v>
      </c>
      <c r="E404" s="635"/>
      <c r="F404" s="635"/>
      <c r="G404" s="636">
        <v>0.4</v>
      </c>
      <c r="H404" s="637">
        <v>10</v>
      </c>
      <c r="I404" s="637">
        <v>510</v>
      </c>
      <c r="J404" s="638">
        <v>11.2</v>
      </c>
      <c r="K404" s="635"/>
      <c r="L404" s="635"/>
      <c r="M404" s="635"/>
    </row>
    <row r="405" spans="1:13" x14ac:dyDescent="0.3">
      <c r="A405" s="635"/>
      <c r="B405" s="635"/>
      <c r="C405" s="635" t="s">
        <v>484</v>
      </c>
      <c r="D405" s="635" t="s">
        <v>485</v>
      </c>
      <c r="E405" s="635"/>
      <c r="F405" s="635"/>
      <c r="G405" s="636">
        <v>0.8</v>
      </c>
      <c r="H405" s="637">
        <v>22</v>
      </c>
      <c r="I405" s="637">
        <v>210</v>
      </c>
      <c r="J405" s="638">
        <v>13.7</v>
      </c>
      <c r="K405" s="635"/>
      <c r="L405" s="635"/>
      <c r="M405" s="635"/>
    </row>
    <row r="406" spans="1:13" x14ac:dyDescent="0.3">
      <c r="A406" s="635"/>
      <c r="B406" s="635"/>
      <c r="C406" s="635" t="s">
        <v>486</v>
      </c>
      <c r="D406" s="635" t="s">
        <v>487</v>
      </c>
      <c r="E406" s="635"/>
      <c r="F406" s="635"/>
      <c r="G406" s="636">
        <v>0.3</v>
      </c>
      <c r="H406" s="637">
        <v>10</v>
      </c>
      <c r="I406" s="637">
        <v>520</v>
      </c>
      <c r="J406" s="638">
        <v>9.5</v>
      </c>
      <c r="K406" s="635"/>
      <c r="L406" s="635"/>
      <c r="M406" s="635"/>
    </row>
    <row r="407" spans="1:13" x14ac:dyDescent="0.3">
      <c r="A407" s="635"/>
      <c r="B407" s="635"/>
      <c r="C407" s="635" t="s">
        <v>488</v>
      </c>
      <c r="D407" s="635" t="s">
        <v>489</v>
      </c>
      <c r="E407" s="635"/>
      <c r="F407" s="635"/>
      <c r="G407" s="636">
        <v>0.2</v>
      </c>
      <c r="H407" s="637">
        <v>5</v>
      </c>
      <c r="I407" s="637">
        <v>10</v>
      </c>
      <c r="J407" s="638">
        <v>34.700000000000003</v>
      </c>
      <c r="K407" s="635"/>
      <c r="L407" s="635"/>
      <c r="M407" s="635"/>
    </row>
    <row r="408" spans="1:13" x14ac:dyDescent="0.3">
      <c r="A408" s="635"/>
      <c r="B408" s="635"/>
      <c r="C408" s="635" t="s">
        <v>490</v>
      </c>
      <c r="D408" s="635" t="s">
        <v>491</v>
      </c>
      <c r="E408" s="635"/>
      <c r="F408" s="635"/>
      <c r="G408" s="636">
        <v>0.1</v>
      </c>
      <c r="H408" s="637">
        <v>4</v>
      </c>
      <c r="I408" s="637">
        <v>240</v>
      </c>
      <c r="J408" s="638">
        <v>12.1</v>
      </c>
      <c r="K408" s="635"/>
      <c r="L408" s="635"/>
      <c r="M408" s="635"/>
    </row>
    <row r="409" spans="1:13" x14ac:dyDescent="0.3">
      <c r="A409" s="635"/>
      <c r="B409" s="635"/>
      <c r="C409" s="635"/>
      <c r="D409" s="635"/>
      <c r="E409" s="635"/>
      <c r="F409" s="635"/>
      <c r="G409" s="636"/>
      <c r="H409" s="637"/>
      <c r="I409" s="637"/>
      <c r="J409" s="638"/>
      <c r="K409" s="635"/>
      <c r="L409" s="635"/>
      <c r="M409" s="635"/>
    </row>
    <row r="410" spans="1:13" x14ac:dyDescent="0.3">
      <c r="A410" s="635">
        <v>7.3</v>
      </c>
      <c r="B410" s="635" t="s">
        <v>492</v>
      </c>
      <c r="C410" s="635"/>
      <c r="D410" s="635"/>
      <c r="E410" s="635"/>
      <c r="F410" s="635"/>
      <c r="G410" s="636">
        <v>9.6</v>
      </c>
      <c r="H410" s="637">
        <v>271</v>
      </c>
      <c r="I410" s="637">
        <v>1630</v>
      </c>
      <c r="J410" s="638">
        <v>4.3</v>
      </c>
      <c r="K410" s="635"/>
      <c r="L410" s="635"/>
      <c r="M410" s="635"/>
    </row>
    <row r="411" spans="1:13" x14ac:dyDescent="0.3">
      <c r="A411" s="635"/>
      <c r="B411" s="635" t="s">
        <v>493</v>
      </c>
      <c r="C411" s="635" t="s">
        <v>494</v>
      </c>
      <c r="D411" s="635"/>
      <c r="E411" s="635"/>
      <c r="F411" s="635"/>
      <c r="G411" s="636">
        <v>0.8</v>
      </c>
      <c r="H411" s="637">
        <v>23</v>
      </c>
      <c r="I411" s="637">
        <v>230</v>
      </c>
      <c r="J411" s="638">
        <v>12.4</v>
      </c>
      <c r="K411" s="635"/>
      <c r="L411" s="635"/>
      <c r="M411" s="635"/>
    </row>
    <row r="412" spans="1:13" x14ac:dyDescent="0.3">
      <c r="A412" s="635"/>
      <c r="B412" s="635"/>
      <c r="C412" s="635" t="s">
        <v>495</v>
      </c>
      <c r="D412" s="635" t="s">
        <v>496</v>
      </c>
      <c r="E412" s="635"/>
      <c r="F412" s="635"/>
      <c r="G412" s="636">
        <v>0.5</v>
      </c>
      <c r="H412" s="637">
        <v>13</v>
      </c>
      <c r="I412" s="637">
        <v>110</v>
      </c>
      <c r="J412" s="638">
        <v>19</v>
      </c>
      <c r="K412" s="635"/>
      <c r="L412" s="635"/>
      <c r="M412" s="635"/>
    </row>
    <row r="413" spans="1:13" x14ac:dyDescent="0.3">
      <c r="A413" s="635"/>
      <c r="B413" s="635"/>
      <c r="C413" s="635" t="s">
        <v>497</v>
      </c>
      <c r="D413" s="635" t="s">
        <v>498</v>
      </c>
      <c r="E413" s="635"/>
      <c r="F413" s="635"/>
      <c r="G413" s="636">
        <v>0.3</v>
      </c>
      <c r="H413" s="637">
        <v>10</v>
      </c>
      <c r="I413" s="637">
        <v>130</v>
      </c>
      <c r="J413" s="638">
        <v>13.4</v>
      </c>
      <c r="K413" s="635"/>
      <c r="L413" s="635"/>
      <c r="M413" s="635"/>
    </row>
    <row r="414" spans="1:13" x14ac:dyDescent="0.3">
      <c r="A414" s="635"/>
      <c r="B414" s="635"/>
      <c r="C414" s="635"/>
      <c r="D414" s="635"/>
      <c r="E414" s="635"/>
      <c r="F414" s="635"/>
      <c r="G414" s="636"/>
      <c r="H414" s="637"/>
      <c r="I414" s="637"/>
      <c r="J414" s="638"/>
      <c r="K414" s="635"/>
      <c r="L414" s="635"/>
      <c r="M414" s="635"/>
    </row>
    <row r="415" spans="1:13" x14ac:dyDescent="0.3">
      <c r="A415" s="635"/>
      <c r="B415" s="635" t="s">
        <v>499</v>
      </c>
      <c r="C415" s="635" t="s">
        <v>500</v>
      </c>
      <c r="D415" s="635"/>
      <c r="E415" s="635"/>
      <c r="F415" s="635"/>
      <c r="G415" s="636">
        <v>0.5</v>
      </c>
      <c r="H415" s="637">
        <v>13</v>
      </c>
      <c r="I415" s="637">
        <v>260</v>
      </c>
      <c r="J415" s="638">
        <v>10</v>
      </c>
      <c r="K415" s="635"/>
      <c r="L415" s="635"/>
      <c r="M415" s="635"/>
    </row>
    <row r="416" spans="1:13" x14ac:dyDescent="0.3">
      <c r="A416" s="635"/>
      <c r="B416" s="635"/>
      <c r="C416" s="635" t="s">
        <v>501</v>
      </c>
      <c r="D416" s="635" t="s">
        <v>496</v>
      </c>
      <c r="E416" s="635"/>
      <c r="F416" s="635"/>
      <c r="G416" s="636">
        <v>0.3</v>
      </c>
      <c r="H416" s="637">
        <v>8</v>
      </c>
      <c r="I416" s="637">
        <v>90</v>
      </c>
      <c r="J416" s="638">
        <v>13.7</v>
      </c>
      <c r="K416" s="635"/>
      <c r="L416" s="635"/>
      <c r="M416" s="635"/>
    </row>
    <row r="417" spans="1:13" x14ac:dyDescent="0.3">
      <c r="A417" s="635"/>
      <c r="B417" s="635"/>
      <c r="C417" s="635" t="s">
        <v>502</v>
      </c>
      <c r="D417" s="635" t="s">
        <v>498</v>
      </c>
      <c r="E417" s="635"/>
      <c r="F417" s="635"/>
      <c r="G417" s="636">
        <v>0.2</v>
      </c>
      <c r="H417" s="637">
        <v>6</v>
      </c>
      <c r="I417" s="637">
        <v>190</v>
      </c>
      <c r="J417" s="638">
        <v>11.9</v>
      </c>
      <c r="K417" s="635"/>
      <c r="L417" s="635"/>
      <c r="M417" s="635"/>
    </row>
    <row r="418" spans="1:13" x14ac:dyDescent="0.3">
      <c r="A418" s="635"/>
      <c r="B418" s="635"/>
      <c r="C418" s="635"/>
      <c r="D418" s="635"/>
      <c r="E418" s="635"/>
      <c r="F418" s="635"/>
      <c r="G418" s="636"/>
      <c r="H418" s="637"/>
      <c r="I418" s="637"/>
      <c r="J418" s="638"/>
      <c r="K418" s="635"/>
      <c r="L418" s="635"/>
      <c r="M418" s="635"/>
    </row>
    <row r="419" spans="1:13" x14ac:dyDescent="0.3">
      <c r="A419" s="635"/>
      <c r="B419" s="635" t="s">
        <v>503</v>
      </c>
      <c r="C419" s="635" t="s">
        <v>504</v>
      </c>
      <c r="D419" s="635"/>
      <c r="E419" s="635"/>
      <c r="F419" s="635"/>
      <c r="G419" s="655" t="s">
        <v>230</v>
      </c>
      <c r="H419" s="656" t="s">
        <v>230</v>
      </c>
      <c r="I419" s="656" t="s">
        <v>230</v>
      </c>
      <c r="J419" s="657" t="s">
        <v>230</v>
      </c>
      <c r="K419" s="635"/>
      <c r="L419" s="635"/>
      <c r="M419" s="635"/>
    </row>
    <row r="420" spans="1:13" x14ac:dyDescent="0.3">
      <c r="A420" s="635"/>
      <c r="B420" s="635"/>
      <c r="C420" s="635" t="s">
        <v>505</v>
      </c>
      <c r="D420" s="635" t="s">
        <v>506</v>
      </c>
      <c r="E420" s="635"/>
      <c r="F420" s="635"/>
      <c r="G420" s="655" t="s">
        <v>230</v>
      </c>
      <c r="H420" s="656" t="s">
        <v>230</v>
      </c>
      <c r="I420" s="656" t="s">
        <v>230</v>
      </c>
      <c r="J420" s="657" t="s">
        <v>230</v>
      </c>
      <c r="K420" s="635"/>
      <c r="L420" s="635"/>
      <c r="M420" s="635"/>
    </row>
    <row r="421" spans="1:13" x14ac:dyDescent="0.3">
      <c r="A421" s="635"/>
      <c r="B421" s="635"/>
      <c r="C421" s="635" t="s">
        <v>507</v>
      </c>
      <c r="D421" s="635" t="s">
        <v>508</v>
      </c>
      <c r="E421" s="635"/>
      <c r="F421" s="635"/>
      <c r="G421" s="655" t="s">
        <v>230</v>
      </c>
      <c r="H421" s="656" t="s">
        <v>230</v>
      </c>
      <c r="I421" s="656" t="s">
        <v>230</v>
      </c>
      <c r="J421" s="657" t="s">
        <v>230</v>
      </c>
      <c r="K421" s="635"/>
      <c r="L421" s="635"/>
      <c r="M421" s="635"/>
    </row>
    <row r="422" spans="1:13" x14ac:dyDescent="0.3">
      <c r="A422" s="635"/>
      <c r="B422" s="635"/>
      <c r="C422" s="635"/>
      <c r="D422" s="635"/>
      <c r="E422" s="635"/>
      <c r="F422" s="635"/>
      <c r="G422" s="636"/>
      <c r="H422" s="637"/>
      <c r="I422" s="637"/>
      <c r="J422" s="638"/>
      <c r="K422" s="635"/>
      <c r="L422" s="635"/>
      <c r="M422" s="635"/>
    </row>
    <row r="423" spans="1:13" x14ac:dyDescent="0.3">
      <c r="A423" s="635"/>
      <c r="B423" s="635" t="s">
        <v>509</v>
      </c>
      <c r="C423" s="635" t="s">
        <v>510</v>
      </c>
      <c r="D423" s="635"/>
      <c r="E423" s="635"/>
      <c r="F423" s="635"/>
      <c r="G423" s="636">
        <v>8.3000000000000007</v>
      </c>
      <c r="H423" s="637">
        <v>233</v>
      </c>
      <c r="I423" s="637">
        <v>1320</v>
      </c>
      <c r="J423" s="638">
        <v>4.9000000000000004</v>
      </c>
      <c r="K423" s="635"/>
      <c r="L423" s="635"/>
      <c r="M423" s="635"/>
    </row>
    <row r="424" spans="1:13" x14ac:dyDescent="0.3">
      <c r="A424" s="635"/>
      <c r="B424" s="635"/>
      <c r="C424" s="635" t="s">
        <v>511</v>
      </c>
      <c r="D424" s="635" t="s">
        <v>512</v>
      </c>
      <c r="E424" s="635"/>
      <c r="F424" s="635"/>
      <c r="G424" s="636">
        <v>0</v>
      </c>
      <c r="H424" s="637">
        <v>1</v>
      </c>
      <c r="I424" s="637">
        <v>20</v>
      </c>
      <c r="J424" s="638">
        <v>27</v>
      </c>
      <c r="K424" s="635"/>
      <c r="L424" s="635"/>
      <c r="M424" s="635"/>
    </row>
    <row r="425" spans="1:13" x14ac:dyDescent="0.3">
      <c r="A425" s="635"/>
      <c r="B425" s="635"/>
      <c r="C425" s="635" t="s">
        <v>513</v>
      </c>
      <c r="D425" s="635" t="s">
        <v>514</v>
      </c>
      <c r="E425" s="635"/>
      <c r="F425" s="635"/>
      <c r="G425" s="636">
        <v>1.4</v>
      </c>
      <c r="H425" s="637">
        <v>40</v>
      </c>
      <c r="I425" s="637">
        <v>150</v>
      </c>
      <c r="J425" s="638">
        <v>6.7</v>
      </c>
      <c r="K425" s="635"/>
      <c r="L425" s="635"/>
      <c r="M425" s="635"/>
    </row>
    <row r="426" spans="1:13" x14ac:dyDescent="0.3">
      <c r="A426" s="635"/>
      <c r="B426" s="635"/>
      <c r="C426" s="635" t="s">
        <v>515</v>
      </c>
      <c r="D426" s="635" t="s">
        <v>516</v>
      </c>
      <c r="E426" s="635"/>
      <c r="F426" s="635"/>
      <c r="G426" s="655" t="s">
        <v>230</v>
      </c>
      <c r="H426" s="656" t="s">
        <v>230</v>
      </c>
      <c r="I426" s="656" t="s">
        <v>230</v>
      </c>
      <c r="J426" s="657" t="s">
        <v>230</v>
      </c>
      <c r="K426" s="635"/>
      <c r="L426" s="635"/>
      <c r="M426" s="635"/>
    </row>
    <row r="427" spans="1:13" x14ac:dyDescent="0.3">
      <c r="A427" s="635"/>
      <c r="B427" s="635"/>
      <c r="C427" s="635" t="s">
        <v>517</v>
      </c>
      <c r="D427" s="635" t="s">
        <v>518</v>
      </c>
      <c r="E427" s="635"/>
      <c r="F427" s="635"/>
      <c r="G427" s="636">
        <v>0.4</v>
      </c>
      <c r="H427" s="637">
        <v>10</v>
      </c>
      <c r="I427" s="637">
        <v>150</v>
      </c>
      <c r="J427" s="638">
        <v>12.3</v>
      </c>
      <c r="K427" s="635"/>
      <c r="L427" s="635"/>
      <c r="M427" s="635"/>
    </row>
    <row r="428" spans="1:13" x14ac:dyDescent="0.3">
      <c r="A428" s="635"/>
      <c r="B428" s="635"/>
      <c r="C428" s="635" t="s">
        <v>519</v>
      </c>
      <c r="D428" s="635" t="s">
        <v>520</v>
      </c>
      <c r="E428" s="635"/>
      <c r="F428" s="635"/>
      <c r="G428" s="636">
        <v>0.3</v>
      </c>
      <c r="H428" s="637">
        <v>9</v>
      </c>
      <c r="I428" s="637">
        <v>680</v>
      </c>
      <c r="J428" s="638">
        <v>6.1</v>
      </c>
      <c r="K428" s="635"/>
      <c r="L428" s="635"/>
      <c r="M428" s="635"/>
    </row>
    <row r="429" spans="1:13" x14ac:dyDescent="0.3">
      <c r="A429" s="635"/>
      <c r="B429" s="635"/>
      <c r="C429" s="635" t="s">
        <v>521</v>
      </c>
      <c r="D429" s="635" t="s">
        <v>522</v>
      </c>
      <c r="E429" s="635"/>
      <c r="F429" s="635"/>
      <c r="G429" s="636">
        <v>0.2</v>
      </c>
      <c r="H429" s="637">
        <v>5</v>
      </c>
      <c r="I429" s="637">
        <v>20</v>
      </c>
      <c r="J429" s="638">
        <v>28</v>
      </c>
      <c r="K429" s="635"/>
      <c r="L429" s="635"/>
      <c r="M429" s="635"/>
    </row>
    <row r="430" spans="1:13" x14ac:dyDescent="0.3">
      <c r="A430" s="635"/>
      <c r="B430" s="635"/>
      <c r="C430" s="635" t="s">
        <v>523</v>
      </c>
      <c r="D430" s="635" t="s">
        <v>524</v>
      </c>
      <c r="E430" s="635"/>
      <c r="F430" s="635"/>
      <c r="G430" s="636">
        <v>5.8</v>
      </c>
      <c r="H430" s="637">
        <v>164</v>
      </c>
      <c r="I430" s="637">
        <v>460</v>
      </c>
      <c r="J430" s="638">
        <v>6.4</v>
      </c>
      <c r="K430" s="635"/>
      <c r="L430" s="635"/>
      <c r="M430" s="635"/>
    </row>
    <row r="431" spans="1:13" x14ac:dyDescent="0.3">
      <c r="A431" s="635"/>
      <c r="B431" s="635"/>
      <c r="C431" s="635" t="s">
        <v>525</v>
      </c>
      <c r="D431" s="635" t="s">
        <v>526</v>
      </c>
      <c r="E431" s="635"/>
      <c r="F431" s="635"/>
      <c r="G431" s="636">
        <v>0.1</v>
      </c>
      <c r="H431" s="637">
        <v>3</v>
      </c>
      <c r="I431" s="637">
        <v>30</v>
      </c>
      <c r="J431" s="638">
        <v>28</v>
      </c>
      <c r="K431" s="635"/>
      <c r="L431" s="635"/>
      <c r="M431" s="635"/>
    </row>
    <row r="432" spans="1:13" ht="4.2" customHeight="1" x14ac:dyDescent="0.3">
      <c r="A432" s="639"/>
      <c r="B432" s="639"/>
      <c r="C432" s="639"/>
      <c r="D432" s="639"/>
      <c r="E432" s="639"/>
      <c r="F432" s="639"/>
      <c r="G432" s="640"/>
      <c r="H432" s="641"/>
      <c r="I432" s="641"/>
      <c r="J432" s="642"/>
      <c r="K432" s="635"/>
      <c r="L432" s="635"/>
      <c r="M432" s="635"/>
    </row>
    <row r="433" spans="1:13" x14ac:dyDescent="0.3">
      <c r="A433" s="635"/>
      <c r="B433" s="635"/>
      <c r="C433" s="635"/>
      <c r="D433" s="635"/>
      <c r="E433" s="635"/>
      <c r="F433" s="635"/>
      <c r="G433" s="636"/>
      <c r="H433" s="637"/>
      <c r="I433" s="637"/>
      <c r="J433" s="638"/>
      <c r="K433" s="635"/>
      <c r="L433" s="635"/>
      <c r="M433" s="635"/>
    </row>
    <row r="434" spans="1:13" x14ac:dyDescent="0.3">
      <c r="A434" s="635" t="s">
        <v>111</v>
      </c>
      <c r="B434" s="635"/>
      <c r="C434" s="635"/>
      <c r="D434" s="635"/>
      <c r="E434" s="635"/>
      <c r="F434" s="635"/>
      <c r="G434" s="636"/>
      <c r="H434" s="637"/>
      <c r="I434" s="637"/>
      <c r="J434" s="638"/>
      <c r="K434" s="635"/>
      <c r="L434" s="635"/>
      <c r="M434" s="635"/>
    </row>
    <row r="435" spans="1:13" x14ac:dyDescent="0.3">
      <c r="A435" s="635" t="s">
        <v>182</v>
      </c>
      <c r="B435" s="635"/>
      <c r="C435" s="635"/>
      <c r="D435" s="635"/>
      <c r="E435" s="635"/>
      <c r="F435" s="635"/>
      <c r="G435" s="636"/>
      <c r="H435" s="637"/>
      <c r="I435" s="637"/>
      <c r="J435" s="638"/>
      <c r="K435" s="635"/>
      <c r="L435" s="635"/>
      <c r="M435" s="635"/>
    </row>
    <row r="436" spans="1:13" x14ac:dyDescent="0.3">
      <c r="A436" s="635" t="s">
        <v>112</v>
      </c>
      <c r="B436" s="635"/>
      <c r="C436" s="635"/>
      <c r="D436" s="635"/>
      <c r="E436" s="635"/>
      <c r="F436" s="635"/>
      <c r="G436" s="636"/>
      <c r="H436" s="637"/>
      <c r="I436" s="637"/>
      <c r="J436" s="638"/>
      <c r="K436" s="635"/>
      <c r="L436" s="635"/>
      <c r="M436" s="635"/>
    </row>
    <row r="437" spans="1:13" x14ac:dyDescent="0.3">
      <c r="A437" s="635"/>
      <c r="B437" s="635"/>
      <c r="C437" s="635"/>
      <c r="D437" s="635"/>
      <c r="E437" s="635"/>
      <c r="F437" s="635"/>
      <c r="G437" s="636"/>
      <c r="H437" s="637"/>
      <c r="I437" s="637"/>
      <c r="J437" s="638"/>
      <c r="K437" s="635"/>
      <c r="L437" s="635"/>
      <c r="M437" s="635"/>
    </row>
    <row r="438" spans="1:13" x14ac:dyDescent="0.3">
      <c r="A438" s="635"/>
      <c r="B438" s="635"/>
      <c r="C438" s="635"/>
      <c r="D438" s="635"/>
      <c r="E438" s="635"/>
      <c r="F438" s="635"/>
      <c r="G438" s="636"/>
      <c r="H438" s="637"/>
      <c r="I438" s="637"/>
      <c r="J438" s="638"/>
      <c r="K438" s="635"/>
      <c r="L438" s="635"/>
      <c r="M438" s="635"/>
    </row>
    <row r="439" spans="1:13" x14ac:dyDescent="0.3">
      <c r="A439" s="635"/>
      <c r="B439" s="635"/>
      <c r="C439" s="635"/>
      <c r="D439" s="635"/>
      <c r="E439" s="635"/>
      <c r="F439" s="635"/>
      <c r="G439" s="636"/>
      <c r="H439" s="637"/>
      <c r="I439" s="637"/>
      <c r="J439" s="638"/>
      <c r="K439" s="635"/>
      <c r="L439" s="635"/>
      <c r="M439" s="635"/>
    </row>
    <row r="440" spans="1:13" x14ac:dyDescent="0.3">
      <c r="G440" s="643"/>
    </row>
    <row r="441" spans="1:13" ht="15.6" x14ac:dyDescent="0.3">
      <c r="A441" s="159" t="s">
        <v>114</v>
      </c>
      <c r="B441" s="129"/>
      <c r="C441" s="157"/>
      <c r="D441" s="219"/>
      <c r="E441" s="219"/>
      <c r="F441" s="130"/>
      <c r="G441" s="219"/>
      <c r="H441" s="649"/>
      <c r="I441" s="649"/>
      <c r="J441" s="135"/>
      <c r="K441" s="218"/>
    </row>
    <row r="442" spans="1:13" ht="34.799999999999997" x14ac:dyDescent="0.3">
      <c r="A442" s="160" t="s">
        <v>183</v>
      </c>
      <c r="B442" s="161"/>
      <c r="C442" s="31"/>
      <c r="D442" s="32"/>
      <c r="E442" s="32"/>
      <c r="F442" s="33"/>
      <c r="G442" s="658"/>
      <c r="H442" s="659"/>
      <c r="I442" s="659"/>
      <c r="J442" s="646"/>
      <c r="K442" s="37"/>
    </row>
    <row r="443" spans="1:13" ht="17.399999999999999" x14ac:dyDescent="0.3">
      <c r="A443" s="41" t="s">
        <v>1360</v>
      </c>
      <c r="B443" s="168"/>
      <c r="C443" s="43"/>
      <c r="D443" s="44"/>
      <c r="E443" s="32"/>
      <c r="F443" s="33"/>
      <c r="G443" s="658"/>
      <c r="H443" s="659"/>
      <c r="I443" s="659"/>
      <c r="J443" s="660"/>
      <c r="K443" s="37"/>
    </row>
    <row r="444" spans="1:13" ht="3" customHeight="1" x14ac:dyDescent="0.3">
      <c r="A444" s="71"/>
      <c r="B444" s="71"/>
      <c r="C444" s="72"/>
      <c r="D444" s="73"/>
      <c r="E444" s="73"/>
      <c r="F444" s="73"/>
      <c r="G444" s="73"/>
      <c r="H444" s="648"/>
      <c r="I444" s="648"/>
      <c r="J444" s="624"/>
      <c r="K444" s="53"/>
    </row>
    <row r="445" spans="1:13" x14ac:dyDescent="0.3">
      <c r="A445" s="81"/>
      <c r="B445" s="81"/>
      <c r="C445" s="55"/>
      <c r="D445" s="84"/>
      <c r="E445" s="84"/>
      <c r="F445" s="84"/>
      <c r="G445" s="219"/>
      <c r="H445" s="649"/>
      <c r="I445" s="649"/>
      <c r="J445" s="217"/>
      <c r="K445" s="53"/>
    </row>
    <row r="446" spans="1:13" x14ac:dyDescent="0.3">
      <c r="A446" s="172"/>
      <c r="B446" s="172"/>
      <c r="C446" s="173"/>
      <c r="D446" s="174"/>
      <c r="E446" s="174"/>
      <c r="F446" s="59"/>
      <c r="G446" s="650" t="s">
        <v>116</v>
      </c>
      <c r="H446" s="622" t="s">
        <v>25</v>
      </c>
      <c r="I446" s="622" t="s">
        <v>26</v>
      </c>
      <c r="J446" s="63" t="s">
        <v>117</v>
      </c>
      <c r="K446" s="179"/>
    </row>
    <row r="447" spans="1:13" x14ac:dyDescent="0.3">
      <c r="A447" s="172"/>
      <c r="B447" s="172"/>
      <c r="C447" s="181"/>
      <c r="D447" s="174"/>
      <c r="E447" s="174"/>
      <c r="F447" s="59"/>
      <c r="G447" s="651" t="s">
        <v>29</v>
      </c>
      <c r="H447" s="622" t="s">
        <v>27</v>
      </c>
      <c r="I447" s="622" t="s">
        <v>28</v>
      </c>
      <c r="J447" s="63" t="s">
        <v>118</v>
      </c>
      <c r="K447" s="179"/>
    </row>
    <row r="448" spans="1:13" x14ac:dyDescent="0.3">
      <c r="A448" s="172"/>
      <c r="B448" s="172"/>
      <c r="C448" s="181"/>
      <c r="D448" s="174"/>
      <c r="E448" s="174"/>
      <c r="F448" s="59"/>
      <c r="G448" s="650" t="s">
        <v>31</v>
      </c>
      <c r="H448" s="622" t="s">
        <v>29</v>
      </c>
      <c r="I448" s="622" t="s">
        <v>30</v>
      </c>
      <c r="J448" s="63" t="s">
        <v>119</v>
      </c>
      <c r="K448" s="179"/>
    </row>
    <row r="449" spans="1:19" x14ac:dyDescent="0.3">
      <c r="A449" s="172"/>
      <c r="B449" s="172"/>
      <c r="C449" s="181"/>
      <c r="D449" s="174"/>
      <c r="E449" s="174"/>
      <c r="F449" s="59"/>
      <c r="G449" s="651" t="s">
        <v>32</v>
      </c>
      <c r="H449" s="622" t="s">
        <v>33</v>
      </c>
      <c r="I449" s="622" t="s">
        <v>120</v>
      </c>
      <c r="J449" s="63" t="s">
        <v>121</v>
      </c>
      <c r="K449" s="179"/>
    </row>
    <row r="450" spans="1:19" x14ac:dyDescent="0.3">
      <c r="A450" s="71"/>
      <c r="B450" s="71"/>
      <c r="C450" s="72"/>
      <c r="D450" s="73"/>
      <c r="E450" s="73"/>
      <c r="F450" s="73"/>
      <c r="G450" s="73"/>
      <c r="H450" s="648"/>
      <c r="I450" s="648"/>
      <c r="J450" s="624"/>
      <c r="K450" s="53"/>
    </row>
    <row r="451" spans="1:19" ht="2.5499999999999998" customHeight="1" x14ac:dyDescent="0.3">
      <c r="A451" s="80"/>
      <c r="B451" s="81"/>
      <c r="C451" s="82"/>
      <c r="D451" s="83"/>
      <c r="E451" s="83"/>
      <c r="F451" s="84"/>
      <c r="G451" s="83"/>
      <c r="H451" s="661"/>
      <c r="I451" s="661"/>
      <c r="J451" s="231"/>
      <c r="K451" s="53"/>
    </row>
    <row r="452" spans="1:19" s="93" customFormat="1" ht="10.95" customHeight="1" x14ac:dyDescent="0.2">
      <c r="A452" s="111" t="s">
        <v>123</v>
      </c>
      <c r="B452" s="112"/>
      <c r="C452" s="113"/>
      <c r="F452" s="114" t="s">
        <v>124</v>
      </c>
      <c r="G452" s="652"/>
      <c r="H452" s="653"/>
      <c r="I452" s="653"/>
      <c r="J452" s="654"/>
      <c r="K452" s="53"/>
      <c r="L452" s="270"/>
    </row>
    <row r="453" spans="1:19" x14ac:dyDescent="0.3">
      <c r="A453" s="635"/>
      <c r="B453" s="635"/>
      <c r="C453" s="635"/>
      <c r="D453" s="635"/>
      <c r="E453" s="635"/>
      <c r="F453" s="635"/>
      <c r="G453" s="636"/>
      <c r="H453" s="637"/>
      <c r="I453" s="637"/>
      <c r="J453" s="638"/>
      <c r="K453" s="635"/>
      <c r="L453" s="635"/>
      <c r="M453" s="635"/>
      <c r="N453" s="635"/>
      <c r="O453" s="635"/>
      <c r="P453" s="635"/>
      <c r="Q453" s="635"/>
      <c r="R453" s="635"/>
      <c r="S453" s="635"/>
    </row>
    <row r="454" spans="1:19" s="662" customFormat="1" ht="12" x14ac:dyDescent="0.2">
      <c r="A454" s="631">
        <v>8</v>
      </c>
      <c r="B454" s="631" t="s">
        <v>1353</v>
      </c>
      <c r="C454" s="631"/>
      <c r="D454" s="631"/>
      <c r="E454" s="631"/>
      <c r="F454" s="631"/>
      <c r="G454" s="632">
        <v>20.9</v>
      </c>
      <c r="H454" s="633">
        <v>591</v>
      </c>
      <c r="I454" s="633">
        <v>5330</v>
      </c>
      <c r="J454" s="634">
        <v>0.8</v>
      </c>
      <c r="K454" s="631"/>
      <c r="L454" s="631"/>
      <c r="M454" s="631"/>
      <c r="N454" s="631"/>
      <c r="O454" s="631"/>
      <c r="P454" s="631"/>
      <c r="Q454" s="631"/>
      <c r="R454" s="631"/>
      <c r="S454" s="631"/>
    </row>
    <row r="455" spans="1:19" x14ac:dyDescent="0.3">
      <c r="A455" s="635"/>
      <c r="B455" s="635"/>
      <c r="C455" s="635"/>
      <c r="D455" s="635"/>
      <c r="E455" s="635"/>
      <c r="F455" s="635"/>
      <c r="G455" s="636"/>
      <c r="H455" s="637"/>
      <c r="I455" s="637"/>
      <c r="J455" s="638"/>
      <c r="K455" s="635"/>
      <c r="L455" s="635"/>
      <c r="M455" s="635"/>
      <c r="N455" s="635"/>
      <c r="O455" s="635"/>
      <c r="P455" s="635"/>
      <c r="Q455" s="635"/>
      <c r="R455" s="635"/>
      <c r="S455" s="635"/>
    </row>
    <row r="456" spans="1:19" x14ac:dyDescent="0.3">
      <c r="A456" s="635">
        <v>8.1</v>
      </c>
      <c r="B456" s="635" t="s">
        <v>528</v>
      </c>
      <c r="C456" s="635"/>
      <c r="D456" s="635"/>
      <c r="E456" s="635"/>
      <c r="F456" s="635"/>
      <c r="G456" s="636">
        <v>0.9</v>
      </c>
      <c r="H456" s="637">
        <v>25</v>
      </c>
      <c r="I456" s="637">
        <v>1120</v>
      </c>
      <c r="J456" s="638">
        <v>4.5999999999999996</v>
      </c>
      <c r="K456" s="635"/>
      <c r="L456" s="635"/>
      <c r="M456" s="635"/>
      <c r="N456" s="635"/>
      <c r="O456" s="635"/>
      <c r="P456" s="635"/>
      <c r="Q456" s="635"/>
      <c r="R456" s="635"/>
      <c r="S456" s="635"/>
    </row>
    <row r="457" spans="1:19" x14ac:dyDescent="0.3">
      <c r="A457" s="635"/>
      <c r="B457" s="635"/>
      <c r="C457" s="635"/>
      <c r="D457" s="635"/>
      <c r="E457" s="635"/>
      <c r="F457" s="635"/>
      <c r="G457" s="636"/>
      <c r="H457" s="637"/>
      <c r="I457" s="637"/>
      <c r="J457" s="638"/>
      <c r="K457" s="635"/>
      <c r="L457" s="635"/>
      <c r="M457" s="635"/>
      <c r="N457" s="635"/>
      <c r="O457" s="635"/>
      <c r="P457" s="635"/>
      <c r="Q457" s="635"/>
      <c r="R457" s="635"/>
      <c r="S457" s="635"/>
    </row>
    <row r="458" spans="1:19" x14ac:dyDescent="0.3">
      <c r="A458" s="635">
        <v>8.1999999999999993</v>
      </c>
      <c r="B458" s="635" t="s">
        <v>529</v>
      </c>
      <c r="C458" s="635"/>
      <c r="D458" s="635"/>
      <c r="E458" s="635"/>
      <c r="F458" s="635"/>
      <c r="G458" s="636">
        <v>0.8</v>
      </c>
      <c r="H458" s="637">
        <v>22</v>
      </c>
      <c r="I458" s="637">
        <v>200</v>
      </c>
      <c r="J458" s="638">
        <v>10.8</v>
      </c>
      <c r="K458" s="635"/>
      <c r="L458" s="635"/>
      <c r="M458" s="635"/>
      <c r="N458" s="635"/>
      <c r="O458" s="635"/>
      <c r="P458" s="635"/>
      <c r="Q458" s="635"/>
      <c r="R458" s="635"/>
      <c r="S458" s="635"/>
    </row>
    <row r="459" spans="1:19" x14ac:dyDescent="0.3">
      <c r="A459" s="635"/>
      <c r="B459" s="635" t="s">
        <v>530</v>
      </c>
      <c r="C459" s="635" t="s">
        <v>531</v>
      </c>
      <c r="D459" s="635"/>
      <c r="E459" s="635"/>
      <c r="F459" s="635"/>
      <c r="G459" s="636">
        <v>0.1</v>
      </c>
      <c r="H459" s="637">
        <v>2</v>
      </c>
      <c r="I459" s="637">
        <v>20</v>
      </c>
      <c r="J459" s="638">
        <v>23.6</v>
      </c>
      <c r="K459" s="635"/>
      <c r="L459" s="635"/>
      <c r="M459" s="635"/>
      <c r="N459" s="635"/>
      <c r="O459" s="635"/>
      <c r="P459" s="635"/>
      <c r="Q459" s="635"/>
      <c r="R459" s="635"/>
      <c r="S459" s="635"/>
    </row>
    <row r="460" spans="1:19" x14ac:dyDescent="0.3">
      <c r="A460" s="635"/>
      <c r="B460" s="635" t="s">
        <v>532</v>
      </c>
      <c r="C460" s="635" t="s">
        <v>533</v>
      </c>
      <c r="D460" s="635"/>
      <c r="E460" s="635"/>
      <c r="F460" s="635"/>
      <c r="G460" s="636">
        <v>0.7</v>
      </c>
      <c r="H460" s="637">
        <v>20</v>
      </c>
      <c r="I460" s="637">
        <v>190</v>
      </c>
      <c r="J460" s="638">
        <v>11.6</v>
      </c>
      <c r="K460" s="635"/>
      <c r="L460" s="635"/>
      <c r="M460" s="635"/>
      <c r="N460" s="635"/>
      <c r="O460" s="635"/>
      <c r="P460" s="635"/>
      <c r="Q460" s="635"/>
      <c r="R460" s="635"/>
      <c r="S460" s="635"/>
    </row>
    <row r="461" spans="1:19" x14ac:dyDescent="0.3">
      <c r="A461" s="635"/>
      <c r="B461" s="635" t="s">
        <v>534</v>
      </c>
      <c r="C461" s="635" t="s">
        <v>535</v>
      </c>
      <c r="D461" s="635"/>
      <c r="E461" s="635"/>
      <c r="F461" s="635"/>
      <c r="G461" s="655" t="s">
        <v>230</v>
      </c>
      <c r="H461" s="656" t="s">
        <v>230</v>
      </c>
      <c r="I461" s="656" t="s">
        <v>230</v>
      </c>
      <c r="J461" s="657" t="s">
        <v>230</v>
      </c>
      <c r="K461" s="635"/>
      <c r="L461" s="635"/>
      <c r="M461" s="635"/>
      <c r="N461" s="635"/>
      <c r="O461" s="635"/>
      <c r="P461" s="635"/>
      <c r="Q461" s="635"/>
      <c r="R461" s="635"/>
      <c r="S461" s="635"/>
    </row>
    <row r="462" spans="1:19" x14ac:dyDescent="0.3">
      <c r="A462" s="635"/>
      <c r="B462" s="635"/>
      <c r="C462" s="635"/>
      <c r="D462" s="635"/>
      <c r="E462" s="635"/>
      <c r="F462" s="635"/>
      <c r="G462" s="636"/>
      <c r="H462" s="637"/>
      <c r="I462" s="637"/>
      <c r="J462" s="638"/>
      <c r="K462" s="635"/>
      <c r="L462" s="635"/>
      <c r="M462" s="635"/>
      <c r="N462" s="635"/>
      <c r="O462" s="635"/>
      <c r="P462" s="635"/>
      <c r="Q462" s="635"/>
      <c r="R462" s="635"/>
      <c r="S462" s="635"/>
    </row>
    <row r="463" spans="1:19" x14ac:dyDescent="0.3">
      <c r="A463" s="635">
        <v>8.3000000000000007</v>
      </c>
      <c r="B463" s="635" t="s">
        <v>536</v>
      </c>
      <c r="C463" s="635"/>
      <c r="D463" s="635"/>
      <c r="E463" s="635"/>
      <c r="F463" s="635"/>
      <c r="G463" s="636">
        <v>8.6999999999999993</v>
      </c>
      <c r="H463" s="637">
        <v>246</v>
      </c>
      <c r="I463" s="637">
        <v>4290</v>
      </c>
      <c r="J463" s="638">
        <v>1.4</v>
      </c>
      <c r="K463" s="635"/>
      <c r="L463" s="635"/>
      <c r="M463" s="635"/>
      <c r="N463" s="635"/>
      <c r="O463" s="635"/>
      <c r="P463" s="635"/>
      <c r="Q463" s="635"/>
      <c r="R463" s="635"/>
      <c r="S463" s="635"/>
    </row>
    <row r="464" spans="1:19" x14ac:dyDescent="0.3">
      <c r="A464" s="635"/>
      <c r="B464" s="635" t="s">
        <v>537</v>
      </c>
      <c r="C464" s="635" t="s">
        <v>538</v>
      </c>
      <c r="D464" s="635"/>
      <c r="E464" s="635"/>
      <c r="F464" s="635"/>
      <c r="G464" s="636">
        <v>0.4</v>
      </c>
      <c r="H464" s="637">
        <v>12</v>
      </c>
      <c r="I464" s="637">
        <v>340</v>
      </c>
      <c r="J464" s="638">
        <v>9.4</v>
      </c>
      <c r="K464" s="635"/>
      <c r="L464" s="635"/>
      <c r="M464" s="635"/>
      <c r="N464" s="635"/>
      <c r="O464" s="635"/>
      <c r="P464" s="635"/>
      <c r="Q464" s="635"/>
      <c r="R464" s="635"/>
      <c r="S464" s="635"/>
    </row>
    <row r="465" spans="1:19" x14ac:dyDescent="0.3">
      <c r="A465" s="635"/>
      <c r="B465" s="635" t="s">
        <v>539</v>
      </c>
      <c r="C465" s="635" t="s">
        <v>540</v>
      </c>
      <c r="D465" s="635"/>
      <c r="E465" s="635"/>
      <c r="F465" s="635"/>
      <c r="G465" s="655" t="s">
        <v>230</v>
      </c>
      <c r="H465" s="656" t="s">
        <v>230</v>
      </c>
      <c r="I465" s="656" t="s">
        <v>230</v>
      </c>
      <c r="J465" s="657" t="s">
        <v>230</v>
      </c>
      <c r="K465" s="635"/>
      <c r="L465" s="635"/>
      <c r="M465" s="635"/>
      <c r="N465" s="635"/>
      <c r="O465" s="635"/>
      <c r="P465" s="635"/>
      <c r="Q465" s="635"/>
      <c r="R465" s="635"/>
      <c r="S465" s="635"/>
    </row>
    <row r="466" spans="1:19" x14ac:dyDescent="0.3">
      <c r="A466" s="635"/>
      <c r="B466" s="635" t="s">
        <v>541</v>
      </c>
      <c r="C466" s="635" t="s">
        <v>542</v>
      </c>
      <c r="D466" s="635"/>
      <c r="E466" s="635"/>
      <c r="F466" s="635"/>
      <c r="G466" s="636">
        <v>8.1999999999999993</v>
      </c>
      <c r="H466" s="637">
        <v>231</v>
      </c>
      <c r="I466" s="637">
        <v>4100</v>
      </c>
      <c r="J466" s="638">
        <v>1.2</v>
      </c>
      <c r="K466" s="635"/>
      <c r="L466" s="635"/>
      <c r="M466" s="635"/>
      <c r="N466" s="635"/>
      <c r="O466" s="635"/>
      <c r="P466" s="635"/>
      <c r="Q466" s="635"/>
      <c r="R466" s="635"/>
      <c r="S466" s="635"/>
    </row>
    <row r="467" spans="1:19" x14ac:dyDescent="0.3">
      <c r="A467" s="635"/>
      <c r="B467" s="635" t="s">
        <v>543</v>
      </c>
      <c r="C467" s="635" t="s">
        <v>544</v>
      </c>
      <c r="D467" s="635"/>
      <c r="E467" s="635"/>
      <c r="F467" s="635"/>
      <c r="G467" s="636">
        <v>0.1</v>
      </c>
      <c r="H467" s="637">
        <v>3</v>
      </c>
      <c r="I467" s="637">
        <v>70</v>
      </c>
      <c r="J467" s="638">
        <v>42.2</v>
      </c>
      <c r="K467" s="635"/>
      <c r="L467" s="635"/>
      <c r="M467" s="635"/>
      <c r="N467" s="635"/>
      <c r="O467" s="635"/>
      <c r="P467" s="635"/>
      <c r="Q467" s="635"/>
      <c r="R467" s="635"/>
      <c r="S467" s="635"/>
    </row>
    <row r="468" spans="1:19" x14ac:dyDescent="0.3">
      <c r="A468" s="635"/>
      <c r="B468" s="635"/>
      <c r="C468" s="635"/>
      <c r="D468" s="635"/>
      <c r="E468" s="635"/>
      <c r="F468" s="635"/>
      <c r="G468" s="636"/>
      <c r="H468" s="637"/>
      <c r="I468" s="637"/>
      <c r="J468" s="638"/>
      <c r="K468" s="635"/>
      <c r="L468" s="635"/>
      <c r="M468" s="635"/>
      <c r="N468" s="635"/>
      <c r="O468" s="635"/>
      <c r="P468" s="635"/>
      <c r="Q468" s="635"/>
      <c r="R468" s="635"/>
      <c r="S468" s="635"/>
    </row>
    <row r="469" spans="1:19" x14ac:dyDescent="0.3">
      <c r="A469" s="635">
        <v>8.4</v>
      </c>
      <c r="B469" s="635" t="s">
        <v>545</v>
      </c>
      <c r="C469" s="635"/>
      <c r="D469" s="635"/>
      <c r="E469" s="635"/>
      <c r="F469" s="635"/>
      <c r="G469" s="636">
        <v>0.7</v>
      </c>
      <c r="H469" s="637">
        <v>20</v>
      </c>
      <c r="I469" s="637">
        <v>530</v>
      </c>
      <c r="J469" s="638">
        <v>4.8</v>
      </c>
      <c r="K469" s="635"/>
      <c r="L469" s="635"/>
      <c r="M469" s="635"/>
      <c r="N469" s="635"/>
      <c r="O469" s="635"/>
      <c r="P469" s="635"/>
      <c r="Q469" s="635"/>
      <c r="R469" s="635"/>
      <c r="S469" s="635"/>
    </row>
    <row r="470" spans="1:19" x14ac:dyDescent="0.3">
      <c r="A470" s="635"/>
      <c r="B470" s="635"/>
      <c r="C470" s="635"/>
      <c r="D470" s="635"/>
      <c r="E470" s="635"/>
      <c r="F470" s="635"/>
      <c r="G470" s="636"/>
      <c r="H470" s="637"/>
      <c r="I470" s="637"/>
      <c r="J470" s="638"/>
      <c r="K470" s="635"/>
      <c r="L470" s="635"/>
      <c r="M470" s="635"/>
      <c r="N470" s="635"/>
      <c r="O470" s="635"/>
      <c r="P470" s="635"/>
      <c r="Q470" s="635"/>
      <c r="R470" s="635"/>
      <c r="S470" s="635"/>
    </row>
    <row r="471" spans="1:19" x14ac:dyDescent="0.3">
      <c r="A471" s="635">
        <v>8.5</v>
      </c>
      <c r="B471" s="635" t="s">
        <v>546</v>
      </c>
      <c r="C471" s="635"/>
      <c r="D471" s="635"/>
      <c r="E471" s="635"/>
      <c r="F471" s="635"/>
      <c r="G471" s="636">
        <v>9.8000000000000007</v>
      </c>
      <c r="H471" s="637">
        <v>277</v>
      </c>
      <c r="I471" s="637">
        <v>4450</v>
      </c>
      <c r="J471" s="638">
        <v>0.3</v>
      </c>
      <c r="K471" s="635"/>
      <c r="L471" s="635"/>
      <c r="M471" s="635"/>
      <c r="N471" s="635"/>
      <c r="O471" s="635"/>
      <c r="P471" s="635"/>
      <c r="Q471" s="635"/>
      <c r="R471" s="635"/>
      <c r="S471" s="635"/>
    </row>
    <row r="472" spans="1:19" x14ac:dyDescent="0.3">
      <c r="A472" s="635"/>
      <c r="B472" s="635"/>
      <c r="C472" s="635"/>
      <c r="D472" s="635"/>
      <c r="E472" s="635"/>
      <c r="F472" s="635"/>
      <c r="G472" s="636"/>
      <c r="H472" s="637"/>
      <c r="I472" s="637"/>
      <c r="J472" s="638"/>
      <c r="K472" s="635"/>
      <c r="L472" s="635"/>
      <c r="M472" s="635"/>
      <c r="N472" s="635"/>
      <c r="O472" s="635"/>
      <c r="P472" s="635"/>
      <c r="Q472" s="635"/>
      <c r="R472" s="635"/>
      <c r="S472" s="635"/>
    </row>
    <row r="473" spans="1:19" s="79" customFormat="1" ht="4.2" customHeight="1" x14ac:dyDescent="0.2">
      <c r="A473" s="45"/>
      <c r="B473" s="45"/>
      <c r="C473" s="45"/>
      <c r="D473" s="47"/>
      <c r="E473" s="47"/>
      <c r="F473" s="48"/>
      <c r="G473" s="293"/>
      <c r="H473" s="623"/>
      <c r="I473" s="623"/>
      <c r="J473" s="258"/>
      <c r="K473" s="78"/>
      <c r="L473" s="78"/>
      <c r="M473" s="271"/>
      <c r="N473" s="271"/>
    </row>
    <row r="474" spans="1:19" s="662" customFormat="1" ht="12" x14ac:dyDescent="0.2">
      <c r="A474" s="631">
        <v>9</v>
      </c>
      <c r="B474" s="631" t="s">
        <v>15</v>
      </c>
      <c r="C474" s="631"/>
      <c r="D474" s="631"/>
      <c r="E474" s="631"/>
      <c r="F474" s="631"/>
      <c r="G474" s="632">
        <v>45.5</v>
      </c>
      <c r="H474" s="633">
        <v>1284</v>
      </c>
      <c r="I474" s="633">
        <v>5300</v>
      </c>
      <c r="J474" s="634">
        <v>2.9</v>
      </c>
      <c r="K474" s="631"/>
      <c r="L474" s="631"/>
      <c r="M474" s="631"/>
      <c r="N474" s="631"/>
      <c r="O474" s="631"/>
      <c r="P474" s="631"/>
      <c r="Q474" s="631"/>
      <c r="R474" s="631"/>
      <c r="S474" s="631"/>
    </row>
    <row r="475" spans="1:19" x14ac:dyDescent="0.3">
      <c r="A475" s="635"/>
      <c r="B475" s="635"/>
      <c r="C475" s="635"/>
      <c r="D475" s="635"/>
      <c r="E475" s="635"/>
      <c r="F475" s="635"/>
      <c r="G475" s="636"/>
      <c r="H475" s="637"/>
      <c r="I475" s="637"/>
      <c r="J475" s="638"/>
      <c r="K475" s="635"/>
      <c r="L475" s="635"/>
      <c r="M475" s="635"/>
      <c r="N475" s="635"/>
      <c r="O475" s="635"/>
      <c r="P475" s="635"/>
      <c r="Q475" s="635"/>
      <c r="R475" s="635"/>
      <c r="S475" s="635"/>
    </row>
    <row r="476" spans="1:19" x14ac:dyDescent="0.3">
      <c r="A476" s="635">
        <v>9.1</v>
      </c>
      <c r="B476" s="635" t="s">
        <v>548</v>
      </c>
      <c r="C476" s="635"/>
      <c r="D476" s="635"/>
      <c r="E476" s="635"/>
      <c r="F476" s="635"/>
      <c r="G476" s="636">
        <v>4.7</v>
      </c>
      <c r="H476" s="637">
        <v>133</v>
      </c>
      <c r="I476" s="637">
        <v>900</v>
      </c>
      <c r="J476" s="638">
        <v>8.3000000000000007</v>
      </c>
      <c r="K476" s="635"/>
      <c r="L476" s="635"/>
      <c r="M476" s="635"/>
      <c r="N476" s="635"/>
      <c r="O476" s="635"/>
      <c r="P476" s="635"/>
      <c r="Q476" s="635"/>
      <c r="R476" s="635"/>
      <c r="S476" s="635"/>
    </row>
    <row r="477" spans="1:19" x14ac:dyDescent="0.3">
      <c r="A477" s="635"/>
      <c r="B477" s="635" t="s">
        <v>549</v>
      </c>
      <c r="C477" s="635" t="s">
        <v>550</v>
      </c>
      <c r="D477" s="635"/>
      <c r="E477" s="635"/>
      <c r="F477" s="635"/>
      <c r="G477" s="636">
        <v>0.9</v>
      </c>
      <c r="H477" s="637">
        <v>26</v>
      </c>
      <c r="I477" s="637">
        <v>320</v>
      </c>
      <c r="J477" s="638">
        <v>12.2</v>
      </c>
      <c r="K477" s="635"/>
      <c r="L477" s="635"/>
      <c r="M477" s="635"/>
      <c r="N477" s="635"/>
      <c r="O477" s="635"/>
      <c r="P477" s="635"/>
      <c r="Q477" s="635"/>
      <c r="R477" s="635"/>
      <c r="S477" s="635"/>
    </row>
    <row r="478" spans="1:19" x14ac:dyDescent="0.3">
      <c r="A478" s="635"/>
      <c r="B478" s="635"/>
      <c r="C478" s="635" t="s">
        <v>551</v>
      </c>
      <c r="D478" s="635" t="s">
        <v>552</v>
      </c>
      <c r="E478" s="635"/>
      <c r="F478" s="635"/>
      <c r="G478" s="636">
        <v>0.3</v>
      </c>
      <c r="H478" s="637">
        <v>9</v>
      </c>
      <c r="I478" s="637">
        <v>50</v>
      </c>
      <c r="J478" s="638">
        <v>18</v>
      </c>
      <c r="K478" s="635"/>
      <c r="L478" s="635"/>
      <c r="M478" s="635"/>
      <c r="N478" s="635"/>
      <c r="O478" s="635"/>
      <c r="P478" s="635"/>
      <c r="Q478" s="635"/>
      <c r="R478" s="635"/>
      <c r="S478" s="635"/>
    </row>
    <row r="479" spans="1:19" x14ac:dyDescent="0.3">
      <c r="A479" s="635"/>
      <c r="B479" s="635"/>
      <c r="C479" s="635" t="s">
        <v>553</v>
      </c>
      <c r="D479" s="635" t="s">
        <v>554</v>
      </c>
      <c r="E479" s="635"/>
      <c r="F479" s="635"/>
      <c r="G479" s="636">
        <v>0.6</v>
      </c>
      <c r="H479" s="637">
        <v>16</v>
      </c>
      <c r="I479" s="637">
        <v>280</v>
      </c>
      <c r="J479" s="638">
        <v>16.3</v>
      </c>
      <c r="K479" s="635"/>
      <c r="L479" s="635"/>
      <c r="M479" s="635"/>
      <c r="N479" s="635"/>
      <c r="O479" s="635"/>
      <c r="P479" s="635"/>
      <c r="Q479" s="635"/>
      <c r="R479" s="635"/>
      <c r="S479" s="635"/>
    </row>
    <row r="480" spans="1:19" x14ac:dyDescent="0.3">
      <c r="A480" s="635"/>
      <c r="B480" s="635"/>
      <c r="C480" s="635"/>
      <c r="D480" s="635"/>
      <c r="E480" s="635"/>
      <c r="F480" s="635"/>
      <c r="G480" s="636"/>
      <c r="H480" s="637"/>
      <c r="I480" s="637"/>
      <c r="J480" s="638"/>
      <c r="K480" s="635"/>
      <c r="L480" s="635"/>
      <c r="M480" s="635"/>
      <c r="N480" s="635"/>
      <c r="O480" s="635"/>
      <c r="P480" s="635"/>
      <c r="Q480" s="635"/>
      <c r="R480" s="635"/>
      <c r="S480" s="635"/>
    </row>
    <row r="481" spans="1:19" x14ac:dyDescent="0.3">
      <c r="A481" s="635"/>
      <c r="B481" s="635" t="s">
        <v>555</v>
      </c>
      <c r="C481" s="635" t="s">
        <v>556</v>
      </c>
      <c r="D481" s="635"/>
      <c r="E481" s="635"/>
      <c r="F481" s="635"/>
      <c r="G481" s="636">
        <v>3.5</v>
      </c>
      <c r="H481" s="637">
        <v>99</v>
      </c>
      <c r="I481" s="637">
        <v>620</v>
      </c>
      <c r="J481" s="638">
        <v>9.4</v>
      </c>
      <c r="K481" s="635"/>
      <c r="L481" s="635"/>
      <c r="M481" s="635"/>
      <c r="N481" s="635"/>
      <c r="O481" s="635"/>
      <c r="P481" s="635"/>
      <c r="Q481" s="635"/>
      <c r="R481" s="635"/>
      <c r="S481" s="635"/>
    </row>
    <row r="482" spans="1:19" x14ac:dyDescent="0.3">
      <c r="A482" s="635"/>
      <c r="B482" s="635"/>
      <c r="C482" s="635" t="s">
        <v>557</v>
      </c>
      <c r="D482" s="635" t="s">
        <v>558</v>
      </c>
      <c r="E482" s="635"/>
      <c r="F482" s="635"/>
      <c r="G482" s="636">
        <v>0.8</v>
      </c>
      <c r="H482" s="637">
        <v>22</v>
      </c>
      <c r="I482" s="637">
        <v>50</v>
      </c>
      <c r="J482" s="638">
        <v>19</v>
      </c>
      <c r="K482" s="635"/>
      <c r="L482" s="635"/>
      <c r="M482" s="635"/>
      <c r="N482" s="635"/>
      <c r="O482" s="635"/>
      <c r="P482" s="635"/>
      <c r="Q482" s="635"/>
      <c r="R482" s="635"/>
      <c r="S482" s="635"/>
    </row>
    <row r="483" spans="1:19" x14ac:dyDescent="0.3">
      <c r="A483" s="635"/>
      <c r="B483" s="635"/>
      <c r="C483" s="635" t="s">
        <v>559</v>
      </c>
      <c r="D483" s="635" t="s">
        <v>560</v>
      </c>
      <c r="E483" s="635"/>
      <c r="F483" s="635"/>
      <c r="G483" s="655" t="s">
        <v>230</v>
      </c>
      <c r="H483" s="656" t="s">
        <v>230</v>
      </c>
      <c r="I483" s="656" t="s">
        <v>230</v>
      </c>
      <c r="J483" s="657" t="s">
        <v>230</v>
      </c>
      <c r="K483" s="635"/>
      <c r="L483" s="635"/>
      <c r="M483" s="635"/>
      <c r="N483" s="635"/>
      <c r="O483" s="635"/>
      <c r="P483" s="635"/>
      <c r="Q483" s="635"/>
      <c r="R483" s="635"/>
      <c r="S483" s="635"/>
    </row>
    <row r="484" spans="1:19" x14ac:dyDescent="0.3">
      <c r="A484" s="635"/>
      <c r="B484" s="635"/>
      <c r="C484" s="635" t="s">
        <v>561</v>
      </c>
      <c r="D484" s="635" t="s">
        <v>562</v>
      </c>
      <c r="E484" s="635"/>
      <c r="F484" s="635"/>
      <c r="G484" s="655" t="s">
        <v>230</v>
      </c>
      <c r="H484" s="656" t="s">
        <v>230</v>
      </c>
      <c r="I484" s="656" t="s">
        <v>230</v>
      </c>
      <c r="J484" s="657" t="s">
        <v>230</v>
      </c>
      <c r="K484" s="635"/>
      <c r="L484" s="635"/>
      <c r="M484" s="635"/>
      <c r="N484" s="635"/>
      <c r="O484" s="635"/>
      <c r="P484" s="635"/>
      <c r="Q484" s="635"/>
      <c r="R484" s="635"/>
      <c r="S484" s="635"/>
    </row>
    <row r="485" spans="1:19" x14ac:dyDescent="0.3">
      <c r="A485" s="635"/>
      <c r="B485" s="635"/>
      <c r="C485" s="635" t="s">
        <v>563</v>
      </c>
      <c r="D485" s="635" t="s">
        <v>564</v>
      </c>
      <c r="E485" s="635"/>
      <c r="F485" s="635"/>
      <c r="G485" s="655" t="s">
        <v>367</v>
      </c>
      <c r="H485" s="656" t="s">
        <v>367</v>
      </c>
      <c r="I485" s="656" t="s">
        <v>367</v>
      </c>
      <c r="J485" s="657" t="s">
        <v>230</v>
      </c>
      <c r="K485" s="635"/>
      <c r="L485" s="635"/>
      <c r="M485" s="635"/>
      <c r="N485" s="635"/>
      <c r="O485" s="635"/>
      <c r="P485" s="635"/>
      <c r="Q485" s="635"/>
      <c r="R485" s="635"/>
      <c r="S485" s="635"/>
    </row>
    <row r="486" spans="1:19" x14ac:dyDescent="0.3">
      <c r="A486" s="635"/>
      <c r="B486" s="635"/>
      <c r="C486" s="635" t="s">
        <v>565</v>
      </c>
      <c r="D486" s="635" t="s">
        <v>566</v>
      </c>
      <c r="E486" s="635"/>
      <c r="F486" s="635"/>
      <c r="G486" s="655" t="s">
        <v>230</v>
      </c>
      <c r="H486" s="656" t="s">
        <v>230</v>
      </c>
      <c r="I486" s="656" t="s">
        <v>230</v>
      </c>
      <c r="J486" s="657" t="s">
        <v>230</v>
      </c>
      <c r="K486" s="635"/>
      <c r="L486" s="635"/>
      <c r="M486" s="635"/>
      <c r="N486" s="635"/>
      <c r="O486" s="635"/>
      <c r="P486" s="635"/>
      <c r="Q486" s="635"/>
      <c r="R486" s="635"/>
      <c r="S486" s="635"/>
    </row>
    <row r="487" spans="1:19" x14ac:dyDescent="0.3">
      <c r="A487" s="635"/>
      <c r="B487" s="635"/>
      <c r="C487" s="635" t="s">
        <v>567</v>
      </c>
      <c r="D487" s="635" t="s">
        <v>568</v>
      </c>
      <c r="E487" s="635"/>
      <c r="F487" s="635"/>
      <c r="G487" s="636">
        <v>0.2</v>
      </c>
      <c r="H487" s="637">
        <v>5</v>
      </c>
      <c r="I487" s="637">
        <v>150</v>
      </c>
      <c r="J487" s="638">
        <v>23.5</v>
      </c>
      <c r="K487" s="635"/>
      <c r="L487" s="635"/>
      <c r="M487" s="635"/>
      <c r="N487" s="635"/>
      <c r="O487" s="635"/>
      <c r="P487" s="635"/>
      <c r="Q487" s="635"/>
      <c r="R487" s="635"/>
      <c r="S487" s="635"/>
    </row>
    <row r="488" spans="1:19" x14ac:dyDescent="0.3">
      <c r="A488" s="635"/>
      <c r="B488" s="635"/>
      <c r="C488" s="635" t="s">
        <v>569</v>
      </c>
      <c r="D488" s="635" t="s">
        <v>570</v>
      </c>
      <c r="E488" s="635"/>
      <c r="F488" s="635"/>
      <c r="G488" s="636">
        <v>2.4</v>
      </c>
      <c r="H488" s="637">
        <v>68</v>
      </c>
      <c r="I488" s="637">
        <v>410</v>
      </c>
      <c r="J488" s="638">
        <v>11.5</v>
      </c>
      <c r="K488" s="635"/>
      <c r="L488" s="635"/>
      <c r="M488" s="635"/>
      <c r="N488" s="635"/>
      <c r="O488" s="635"/>
      <c r="P488" s="635"/>
      <c r="Q488" s="635"/>
      <c r="R488" s="635"/>
      <c r="S488" s="635"/>
    </row>
    <row r="489" spans="1:19" x14ac:dyDescent="0.3">
      <c r="A489" s="635"/>
      <c r="B489" s="635"/>
      <c r="C489" s="635" t="s">
        <v>571</v>
      </c>
      <c r="D489" s="635" t="s">
        <v>572</v>
      </c>
      <c r="E489" s="635"/>
      <c r="F489" s="635"/>
      <c r="G489" s="636">
        <v>0.1</v>
      </c>
      <c r="H489" s="637">
        <v>2</v>
      </c>
      <c r="I489" s="637">
        <v>40</v>
      </c>
      <c r="J489" s="638">
        <v>55.2</v>
      </c>
      <c r="K489" s="635"/>
      <c r="L489" s="635"/>
      <c r="M489" s="635"/>
      <c r="N489" s="635"/>
      <c r="O489" s="635"/>
      <c r="P489" s="635"/>
      <c r="Q489" s="635"/>
      <c r="R489" s="635"/>
      <c r="S489" s="635"/>
    </row>
    <row r="490" spans="1:19" x14ac:dyDescent="0.3">
      <c r="A490" s="635"/>
      <c r="B490" s="635"/>
      <c r="C490" s="635" t="s">
        <v>573</v>
      </c>
      <c r="D490" s="635" t="s">
        <v>574</v>
      </c>
      <c r="E490" s="635"/>
      <c r="F490" s="635"/>
      <c r="G490" s="636">
        <v>0</v>
      </c>
      <c r="H490" s="637">
        <v>0</v>
      </c>
      <c r="I490" s="637">
        <v>10</v>
      </c>
      <c r="J490" s="638">
        <v>51.8</v>
      </c>
      <c r="K490" s="635"/>
      <c r="L490" s="635"/>
      <c r="M490" s="635"/>
      <c r="N490" s="635"/>
      <c r="O490" s="635"/>
      <c r="P490" s="635"/>
      <c r="Q490" s="635"/>
      <c r="R490" s="635"/>
      <c r="S490" s="635"/>
    </row>
    <row r="491" spans="1:19" x14ac:dyDescent="0.3">
      <c r="A491" s="635"/>
      <c r="B491" s="635"/>
      <c r="C491" s="635"/>
      <c r="D491" s="635"/>
      <c r="E491" s="635"/>
      <c r="F491" s="635"/>
      <c r="G491" s="636"/>
      <c r="H491" s="637"/>
      <c r="I491" s="637"/>
      <c r="J491" s="638"/>
      <c r="K491" s="635"/>
      <c r="L491" s="635"/>
      <c r="M491" s="635"/>
      <c r="N491" s="635"/>
      <c r="O491" s="635"/>
      <c r="P491" s="635"/>
      <c r="Q491" s="635"/>
      <c r="R491" s="635"/>
      <c r="S491" s="635"/>
    </row>
    <row r="492" spans="1:19" x14ac:dyDescent="0.3">
      <c r="A492" s="635"/>
      <c r="B492" s="635" t="s">
        <v>575</v>
      </c>
      <c r="C492" s="635" t="s">
        <v>576</v>
      </c>
      <c r="D492" s="635"/>
      <c r="E492" s="635"/>
      <c r="F492" s="635"/>
      <c r="G492" s="636">
        <v>0.3</v>
      </c>
      <c r="H492" s="637">
        <v>9</v>
      </c>
      <c r="I492" s="637">
        <v>50</v>
      </c>
      <c r="J492" s="638">
        <v>30.3</v>
      </c>
      <c r="K492" s="635"/>
      <c r="L492" s="635"/>
      <c r="M492" s="635"/>
      <c r="N492" s="635"/>
      <c r="O492" s="635"/>
      <c r="P492" s="635"/>
      <c r="Q492" s="635"/>
      <c r="R492" s="635"/>
      <c r="S492" s="635"/>
    </row>
    <row r="493" spans="1:19" x14ac:dyDescent="0.3">
      <c r="A493" s="635"/>
      <c r="B493" s="635"/>
      <c r="C493" s="635" t="s">
        <v>577</v>
      </c>
      <c r="D493" s="635" t="s">
        <v>578</v>
      </c>
      <c r="E493" s="635"/>
      <c r="F493" s="635"/>
      <c r="G493" s="636">
        <v>0.3</v>
      </c>
      <c r="H493" s="637">
        <v>8</v>
      </c>
      <c r="I493" s="637">
        <v>40</v>
      </c>
      <c r="J493" s="638">
        <v>33.799999999999997</v>
      </c>
      <c r="K493" s="635"/>
      <c r="L493" s="635"/>
      <c r="M493" s="635"/>
      <c r="N493" s="635"/>
      <c r="O493" s="635"/>
      <c r="P493" s="635"/>
      <c r="Q493" s="635"/>
      <c r="R493" s="635"/>
      <c r="S493" s="635"/>
    </row>
    <row r="494" spans="1:19" x14ac:dyDescent="0.3">
      <c r="A494" s="635"/>
      <c r="B494" s="635"/>
      <c r="C494" s="635" t="s">
        <v>579</v>
      </c>
      <c r="D494" s="635" t="s">
        <v>580</v>
      </c>
      <c r="E494" s="635"/>
      <c r="F494" s="635"/>
      <c r="G494" s="655" t="s">
        <v>230</v>
      </c>
      <c r="H494" s="656" t="s">
        <v>230</v>
      </c>
      <c r="I494" s="656" t="s">
        <v>230</v>
      </c>
      <c r="J494" s="657" t="s">
        <v>230</v>
      </c>
      <c r="K494" s="635"/>
      <c r="L494" s="635"/>
      <c r="M494" s="635"/>
      <c r="N494" s="635"/>
      <c r="O494" s="635"/>
      <c r="P494" s="635"/>
      <c r="Q494" s="635"/>
      <c r="R494" s="635"/>
      <c r="S494" s="635"/>
    </row>
    <row r="495" spans="1:19" x14ac:dyDescent="0.3">
      <c r="A495" s="635"/>
      <c r="B495" s="635"/>
      <c r="C495" s="635" t="s">
        <v>581</v>
      </c>
      <c r="D495" s="635" t="s">
        <v>582</v>
      </c>
      <c r="E495" s="635"/>
      <c r="F495" s="635"/>
      <c r="G495" s="655" t="s">
        <v>230</v>
      </c>
      <c r="H495" s="656" t="s">
        <v>230</v>
      </c>
      <c r="I495" s="656" t="s">
        <v>230</v>
      </c>
      <c r="J495" s="657" t="s">
        <v>230</v>
      </c>
      <c r="K495" s="635"/>
      <c r="L495" s="635"/>
      <c r="M495" s="635"/>
      <c r="N495" s="635"/>
      <c r="O495" s="635"/>
      <c r="P495" s="635"/>
      <c r="Q495" s="635"/>
      <c r="R495" s="635"/>
      <c r="S495" s="635"/>
    </row>
    <row r="496" spans="1:19" x14ac:dyDescent="0.3">
      <c r="A496" s="635"/>
      <c r="B496" s="635"/>
      <c r="C496" s="635"/>
      <c r="D496" s="635"/>
      <c r="E496" s="635"/>
      <c r="F496" s="635"/>
      <c r="G496" s="636"/>
      <c r="H496" s="637"/>
      <c r="I496" s="637"/>
      <c r="J496" s="638"/>
      <c r="K496" s="635"/>
      <c r="L496" s="635"/>
      <c r="M496" s="635"/>
      <c r="N496" s="635"/>
      <c r="O496" s="635"/>
      <c r="P496" s="635"/>
      <c r="Q496" s="635"/>
      <c r="R496" s="635"/>
      <c r="S496" s="635"/>
    </row>
    <row r="497" spans="1:19" x14ac:dyDescent="0.3">
      <c r="A497" s="635">
        <v>9.1999999999999993</v>
      </c>
      <c r="B497" s="635" t="s">
        <v>583</v>
      </c>
      <c r="C497" s="635"/>
      <c r="D497" s="635"/>
      <c r="E497" s="635"/>
      <c r="F497" s="635"/>
      <c r="G497" s="636">
        <v>2.5</v>
      </c>
      <c r="H497" s="637">
        <v>70</v>
      </c>
      <c r="I497" s="637">
        <v>120</v>
      </c>
      <c r="J497" s="638">
        <v>12.6</v>
      </c>
      <c r="K497" s="635"/>
      <c r="L497" s="635"/>
      <c r="M497" s="635"/>
      <c r="N497" s="635"/>
      <c r="O497" s="635"/>
      <c r="P497" s="635"/>
      <c r="Q497" s="635"/>
      <c r="R497" s="635"/>
      <c r="S497" s="635"/>
    </row>
    <row r="498" spans="1:19" x14ac:dyDescent="0.3">
      <c r="A498" s="635"/>
      <c r="B498" s="635" t="s">
        <v>584</v>
      </c>
      <c r="C498" s="635" t="s">
        <v>585</v>
      </c>
      <c r="D498" s="635"/>
      <c r="E498" s="635"/>
      <c r="F498" s="635"/>
      <c r="G498" s="636">
        <v>0.9</v>
      </c>
      <c r="H498" s="637">
        <v>26</v>
      </c>
      <c r="I498" s="637">
        <v>20</v>
      </c>
      <c r="J498" s="638">
        <v>2.2000000000000002</v>
      </c>
      <c r="K498" s="635"/>
      <c r="L498" s="635"/>
      <c r="M498" s="635"/>
      <c r="N498" s="635"/>
      <c r="O498" s="635"/>
      <c r="P498" s="635"/>
      <c r="Q498" s="635"/>
      <c r="R498" s="635"/>
      <c r="S498" s="635"/>
    </row>
    <row r="499" spans="1:19" x14ac:dyDescent="0.3">
      <c r="A499" s="635"/>
      <c r="B499" s="635" t="s">
        <v>586</v>
      </c>
      <c r="C499" s="635" t="s">
        <v>587</v>
      </c>
      <c r="D499" s="635"/>
      <c r="E499" s="635"/>
      <c r="F499" s="635"/>
      <c r="G499" s="636">
        <v>0.5</v>
      </c>
      <c r="H499" s="637">
        <v>13</v>
      </c>
      <c r="I499" s="637">
        <v>30</v>
      </c>
      <c r="J499" s="638">
        <v>55.1</v>
      </c>
      <c r="K499" s="635"/>
      <c r="L499" s="635"/>
      <c r="M499" s="635"/>
      <c r="N499" s="635"/>
      <c r="O499" s="635"/>
      <c r="P499" s="635"/>
      <c r="Q499" s="635"/>
      <c r="R499" s="635"/>
      <c r="S499" s="635"/>
    </row>
    <row r="500" spans="1:19" x14ac:dyDescent="0.3">
      <c r="A500" s="635"/>
      <c r="B500" s="635" t="s">
        <v>588</v>
      </c>
      <c r="C500" s="635" t="s">
        <v>589</v>
      </c>
      <c r="D500" s="635"/>
      <c r="E500" s="635"/>
      <c r="F500" s="635"/>
      <c r="G500" s="655" t="s">
        <v>230</v>
      </c>
      <c r="H500" s="656" t="s">
        <v>230</v>
      </c>
      <c r="I500" s="656" t="s">
        <v>230</v>
      </c>
      <c r="J500" s="657" t="s">
        <v>230</v>
      </c>
      <c r="K500" s="635"/>
      <c r="L500" s="635"/>
      <c r="M500" s="635"/>
      <c r="N500" s="635"/>
      <c r="O500" s="635"/>
      <c r="P500" s="635"/>
      <c r="Q500" s="635"/>
      <c r="R500" s="635"/>
      <c r="S500" s="635"/>
    </row>
    <row r="501" spans="1:19" x14ac:dyDescent="0.3">
      <c r="A501" s="635"/>
      <c r="B501" s="635" t="s">
        <v>590</v>
      </c>
      <c r="C501" s="635" t="s">
        <v>591</v>
      </c>
      <c r="D501" s="635"/>
      <c r="E501" s="635"/>
      <c r="F501" s="635"/>
      <c r="G501" s="636">
        <v>0.4</v>
      </c>
      <c r="H501" s="637">
        <v>13</v>
      </c>
      <c r="I501" s="637">
        <v>30</v>
      </c>
      <c r="J501" s="638">
        <v>29</v>
      </c>
      <c r="K501" s="635"/>
      <c r="L501" s="635"/>
      <c r="M501" s="635"/>
      <c r="N501" s="635"/>
      <c r="O501" s="635"/>
      <c r="P501" s="635"/>
      <c r="Q501" s="635"/>
      <c r="R501" s="635"/>
      <c r="S501" s="635"/>
    </row>
    <row r="502" spans="1:19" x14ac:dyDescent="0.3">
      <c r="A502" s="635"/>
      <c r="B502" s="635" t="s">
        <v>592</v>
      </c>
      <c r="C502" s="635" t="s">
        <v>593</v>
      </c>
      <c r="D502" s="635"/>
      <c r="E502" s="635"/>
      <c r="F502" s="635"/>
      <c r="G502" s="655" t="s">
        <v>367</v>
      </c>
      <c r="H502" s="656" t="s">
        <v>367</v>
      </c>
      <c r="I502" s="656" t="s">
        <v>367</v>
      </c>
      <c r="J502" s="657" t="s">
        <v>230</v>
      </c>
      <c r="K502" s="635"/>
      <c r="L502" s="635"/>
      <c r="M502" s="635"/>
      <c r="N502" s="635"/>
      <c r="O502" s="635"/>
      <c r="P502" s="635"/>
      <c r="Q502" s="635"/>
      <c r="R502" s="635"/>
      <c r="S502" s="635"/>
    </row>
    <row r="503" spans="1:19" x14ac:dyDescent="0.3">
      <c r="A503" s="635"/>
      <c r="B503" s="635" t="s">
        <v>594</v>
      </c>
      <c r="C503" s="635" t="s">
        <v>595</v>
      </c>
      <c r="D503" s="635"/>
      <c r="E503" s="635"/>
      <c r="F503" s="635"/>
      <c r="G503" s="636">
        <v>0.5</v>
      </c>
      <c r="H503" s="637">
        <v>13</v>
      </c>
      <c r="I503" s="637">
        <v>40</v>
      </c>
      <c r="J503" s="638">
        <v>16.3</v>
      </c>
      <c r="K503" s="635"/>
      <c r="L503" s="635"/>
      <c r="M503" s="635"/>
      <c r="N503" s="635"/>
      <c r="O503" s="635"/>
      <c r="P503" s="635"/>
      <c r="Q503" s="635"/>
      <c r="R503" s="635"/>
      <c r="S503" s="635"/>
    </row>
    <row r="504" spans="1:19" x14ac:dyDescent="0.3">
      <c r="A504" s="635"/>
      <c r="B504" s="635" t="s">
        <v>596</v>
      </c>
      <c r="C504" s="635" t="s">
        <v>597</v>
      </c>
      <c r="D504" s="635"/>
      <c r="E504" s="635"/>
      <c r="F504" s="635"/>
      <c r="G504" s="655" t="s">
        <v>230</v>
      </c>
      <c r="H504" s="656" t="s">
        <v>230</v>
      </c>
      <c r="I504" s="656" t="s">
        <v>230</v>
      </c>
      <c r="J504" s="657" t="s">
        <v>230</v>
      </c>
      <c r="K504" s="635"/>
      <c r="L504" s="635"/>
      <c r="M504" s="635"/>
      <c r="N504" s="635"/>
      <c r="O504" s="635"/>
      <c r="P504" s="635"/>
      <c r="Q504" s="635"/>
      <c r="R504" s="635"/>
      <c r="S504" s="635"/>
    </row>
    <row r="505" spans="1:19" x14ac:dyDescent="0.3">
      <c r="A505" s="635"/>
      <c r="B505" s="635" t="s">
        <v>598</v>
      </c>
      <c r="C505" s="635" t="s">
        <v>599</v>
      </c>
      <c r="D505" s="635"/>
      <c r="E505" s="635"/>
      <c r="F505" s="635"/>
      <c r="G505" s="655" t="s">
        <v>367</v>
      </c>
      <c r="H505" s="656" t="s">
        <v>367</v>
      </c>
      <c r="I505" s="656" t="s">
        <v>367</v>
      </c>
      <c r="J505" s="657" t="s">
        <v>230</v>
      </c>
      <c r="K505" s="635"/>
      <c r="L505" s="635"/>
      <c r="M505" s="635"/>
      <c r="N505" s="635"/>
      <c r="O505" s="635"/>
      <c r="P505" s="635"/>
      <c r="Q505" s="635"/>
      <c r="R505" s="635"/>
      <c r="S505" s="635"/>
    </row>
    <row r="506" spans="1:19" x14ac:dyDescent="0.3">
      <c r="A506" s="635"/>
      <c r="B506" s="635"/>
      <c r="C506" s="635"/>
      <c r="D506" s="635"/>
      <c r="E506" s="635"/>
      <c r="F506" s="635"/>
      <c r="G506" s="636"/>
      <c r="H506" s="637"/>
      <c r="I506" s="637"/>
      <c r="J506" s="638"/>
      <c r="K506" s="635"/>
      <c r="L506" s="635"/>
      <c r="M506" s="635"/>
      <c r="N506" s="635"/>
      <c r="O506" s="635"/>
      <c r="P506" s="635"/>
      <c r="Q506" s="635"/>
      <c r="R506" s="635"/>
      <c r="S506" s="635"/>
    </row>
    <row r="507" spans="1:19" x14ac:dyDescent="0.3">
      <c r="A507" s="635">
        <v>9.3000000000000007</v>
      </c>
      <c r="B507" s="635" t="s">
        <v>600</v>
      </c>
      <c r="C507" s="635"/>
      <c r="D507" s="635"/>
      <c r="E507" s="635"/>
      <c r="F507" s="635"/>
      <c r="G507" s="636">
        <v>16.3</v>
      </c>
      <c r="H507" s="637">
        <v>460</v>
      </c>
      <c r="I507" s="637">
        <v>3730</v>
      </c>
      <c r="J507" s="638">
        <v>2.1</v>
      </c>
      <c r="K507" s="635"/>
      <c r="L507" s="635"/>
      <c r="M507" s="635"/>
      <c r="N507" s="635"/>
      <c r="O507" s="635"/>
      <c r="P507" s="635"/>
      <c r="Q507" s="635"/>
      <c r="R507" s="635"/>
      <c r="S507" s="635"/>
    </row>
    <row r="508" spans="1:19" x14ac:dyDescent="0.3">
      <c r="A508" s="635"/>
      <c r="B508" s="635" t="s">
        <v>601</v>
      </c>
      <c r="C508" s="635" t="s">
        <v>602</v>
      </c>
      <c r="D508" s="635"/>
      <c r="E508" s="635"/>
      <c r="F508" s="635"/>
      <c r="G508" s="636">
        <v>3</v>
      </c>
      <c r="H508" s="637">
        <v>83</v>
      </c>
      <c r="I508" s="637">
        <v>1230</v>
      </c>
      <c r="J508" s="638">
        <v>4.3</v>
      </c>
      <c r="K508" s="635"/>
      <c r="L508" s="635"/>
      <c r="M508" s="635"/>
      <c r="N508" s="635"/>
      <c r="O508" s="635"/>
      <c r="P508" s="635"/>
      <c r="Q508" s="635"/>
      <c r="R508" s="635"/>
      <c r="S508" s="635"/>
    </row>
    <row r="509" spans="1:19" x14ac:dyDescent="0.3">
      <c r="A509" s="635"/>
      <c r="B509" s="635"/>
      <c r="C509" s="635"/>
      <c r="D509" s="635"/>
      <c r="E509" s="635"/>
      <c r="F509" s="635"/>
      <c r="G509" s="636"/>
      <c r="H509" s="637"/>
      <c r="I509" s="637"/>
      <c r="J509" s="638"/>
      <c r="K509" s="635"/>
      <c r="L509" s="635"/>
      <c r="M509" s="635"/>
      <c r="N509" s="635"/>
      <c r="O509" s="635"/>
      <c r="P509" s="635"/>
      <c r="Q509" s="635"/>
      <c r="R509" s="635"/>
      <c r="S509" s="635"/>
    </row>
    <row r="510" spans="1:19" x14ac:dyDescent="0.3">
      <c r="A510" s="635"/>
      <c r="B510" s="635" t="s">
        <v>603</v>
      </c>
      <c r="C510" s="635" t="s">
        <v>604</v>
      </c>
      <c r="D510" s="635"/>
      <c r="E510" s="635"/>
      <c r="F510" s="635"/>
      <c r="G510" s="636">
        <v>1.1000000000000001</v>
      </c>
      <c r="H510" s="637">
        <v>32</v>
      </c>
      <c r="I510" s="637">
        <v>420</v>
      </c>
      <c r="J510" s="638">
        <v>8.1</v>
      </c>
      <c r="K510" s="635"/>
      <c r="L510" s="635"/>
      <c r="M510" s="635"/>
      <c r="N510" s="635"/>
      <c r="O510" s="635"/>
      <c r="P510" s="635"/>
      <c r="Q510" s="635"/>
      <c r="R510" s="635"/>
      <c r="S510" s="635"/>
    </row>
    <row r="511" spans="1:19" x14ac:dyDescent="0.3">
      <c r="A511" s="635"/>
      <c r="B511" s="635"/>
      <c r="C511" s="635" t="s">
        <v>605</v>
      </c>
      <c r="D511" s="635" t="s">
        <v>606</v>
      </c>
      <c r="E511" s="635"/>
      <c r="F511" s="635"/>
      <c r="G511" s="636">
        <v>0.9</v>
      </c>
      <c r="H511" s="637">
        <v>24</v>
      </c>
      <c r="I511" s="637">
        <v>390</v>
      </c>
      <c r="J511" s="638">
        <v>8.3000000000000007</v>
      </c>
      <c r="K511" s="635"/>
      <c r="L511" s="635"/>
      <c r="M511" s="635"/>
      <c r="N511" s="635"/>
      <c r="O511" s="635"/>
      <c r="P511" s="635"/>
      <c r="Q511" s="635"/>
      <c r="R511" s="635"/>
      <c r="S511" s="635"/>
    </row>
    <row r="512" spans="1:19" x14ac:dyDescent="0.3">
      <c r="A512" s="635"/>
      <c r="B512" s="635"/>
      <c r="C512" s="635" t="s">
        <v>607</v>
      </c>
      <c r="D512" s="635" t="s">
        <v>608</v>
      </c>
      <c r="E512" s="635"/>
      <c r="F512" s="635"/>
      <c r="G512" s="636">
        <v>0.3</v>
      </c>
      <c r="H512" s="637">
        <v>8</v>
      </c>
      <c r="I512" s="637">
        <v>40</v>
      </c>
      <c r="J512" s="638">
        <v>19.100000000000001</v>
      </c>
      <c r="K512" s="635"/>
      <c r="L512" s="635"/>
      <c r="M512" s="635"/>
      <c r="N512" s="635"/>
      <c r="O512" s="635"/>
      <c r="P512" s="635"/>
      <c r="Q512" s="635"/>
      <c r="R512" s="635"/>
      <c r="S512" s="635"/>
    </row>
    <row r="513" spans="1:19" x14ac:dyDescent="0.3">
      <c r="A513" s="635"/>
      <c r="B513" s="635"/>
      <c r="C513" s="635"/>
      <c r="D513" s="635"/>
      <c r="E513" s="635"/>
      <c r="F513" s="635"/>
      <c r="G513" s="636"/>
      <c r="H513" s="637"/>
      <c r="I513" s="637"/>
      <c r="J513" s="638"/>
      <c r="K513" s="635"/>
      <c r="L513" s="635"/>
      <c r="M513" s="635"/>
      <c r="N513" s="635"/>
      <c r="O513" s="635"/>
      <c r="P513" s="635"/>
      <c r="Q513" s="635"/>
      <c r="R513" s="635"/>
      <c r="S513" s="635"/>
    </row>
    <row r="514" spans="1:19" x14ac:dyDescent="0.3">
      <c r="A514" s="635"/>
      <c r="B514" s="635" t="s">
        <v>609</v>
      </c>
      <c r="C514" s="635" t="s">
        <v>610</v>
      </c>
      <c r="D514" s="635"/>
      <c r="E514" s="635"/>
      <c r="F514" s="635"/>
      <c r="G514" s="636">
        <v>1.5</v>
      </c>
      <c r="H514" s="637">
        <v>42</v>
      </c>
      <c r="I514" s="637">
        <v>360</v>
      </c>
      <c r="J514" s="638">
        <v>7</v>
      </c>
      <c r="K514" s="635"/>
      <c r="L514" s="635"/>
      <c r="M514" s="635"/>
      <c r="N514" s="635"/>
      <c r="O514" s="635"/>
      <c r="P514" s="635"/>
      <c r="Q514" s="635"/>
      <c r="R514" s="635"/>
      <c r="S514" s="635"/>
    </row>
    <row r="515" spans="1:19" x14ac:dyDescent="0.3">
      <c r="A515" s="635"/>
      <c r="B515" s="635"/>
      <c r="C515" s="635"/>
      <c r="D515" s="635"/>
      <c r="E515" s="635"/>
      <c r="F515" s="635"/>
      <c r="G515" s="636"/>
      <c r="H515" s="637"/>
      <c r="I515" s="637"/>
      <c r="J515" s="638"/>
      <c r="K515" s="635"/>
      <c r="L515" s="635"/>
      <c r="M515" s="635"/>
      <c r="N515" s="635"/>
      <c r="O515" s="635"/>
      <c r="P515" s="635"/>
      <c r="Q515" s="635"/>
      <c r="R515" s="635"/>
      <c r="S515" s="635"/>
    </row>
    <row r="516" spans="1:19" x14ac:dyDescent="0.3">
      <c r="A516" s="635"/>
      <c r="B516" s="635" t="s">
        <v>611</v>
      </c>
      <c r="C516" s="635" t="s">
        <v>612</v>
      </c>
      <c r="D516" s="635"/>
      <c r="E516" s="635"/>
      <c r="F516" s="635"/>
      <c r="G516" s="636">
        <v>4</v>
      </c>
      <c r="H516" s="637">
        <v>113</v>
      </c>
      <c r="I516" s="637">
        <v>2010</v>
      </c>
      <c r="J516" s="638">
        <v>2.2000000000000002</v>
      </c>
      <c r="K516" s="635"/>
      <c r="L516" s="635"/>
      <c r="M516" s="635"/>
      <c r="N516" s="635"/>
      <c r="O516" s="635"/>
      <c r="P516" s="635"/>
      <c r="Q516" s="635"/>
      <c r="R516" s="635"/>
      <c r="S516" s="635"/>
    </row>
    <row r="517" spans="1:19" x14ac:dyDescent="0.3">
      <c r="A517" s="635"/>
      <c r="B517" s="635"/>
      <c r="C517" s="635" t="s">
        <v>613</v>
      </c>
      <c r="D517" s="635" t="s">
        <v>614</v>
      </c>
      <c r="E517" s="635"/>
      <c r="F517" s="635"/>
      <c r="G517" s="636">
        <v>0.2</v>
      </c>
      <c r="H517" s="637">
        <v>4</v>
      </c>
      <c r="I517" s="637">
        <v>40</v>
      </c>
      <c r="J517" s="638">
        <v>11.2</v>
      </c>
      <c r="K517" s="635"/>
      <c r="L517" s="635"/>
      <c r="M517" s="635"/>
      <c r="N517" s="635"/>
      <c r="O517" s="635"/>
      <c r="P517" s="635"/>
      <c r="Q517" s="635"/>
      <c r="R517" s="635"/>
      <c r="S517" s="635"/>
    </row>
    <row r="518" spans="1:19" x14ac:dyDescent="0.3">
      <c r="A518" s="635"/>
      <c r="B518" s="635"/>
      <c r="C518" s="635" t="s">
        <v>615</v>
      </c>
      <c r="D518" s="635" t="s">
        <v>616</v>
      </c>
      <c r="E518" s="635"/>
      <c r="F518" s="635"/>
      <c r="G518" s="636">
        <v>3.4</v>
      </c>
      <c r="H518" s="637">
        <v>95</v>
      </c>
      <c r="I518" s="637">
        <v>1930</v>
      </c>
      <c r="J518" s="638">
        <v>2.2999999999999998</v>
      </c>
      <c r="K518" s="635"/>
      <c r="L518" s="635"/>
      <c r="M518" s="635"/>
      <c r="N518" s="635"/>
      <c r="O518" s="635"/>
      <c r="P518" s="635"/>
      <c r="Q518" s="635"/>
      <c r="R518" s="635"/>
      <c r="S518" s="635"/>
    </row>
    <row r="519" spans="1:19" x14ac:dyDescent="0.3">
      <c r="A519" s="635"/>
      <c r="B519" s="635"/>
      <c r="C519" s="635" t="s">
        <v>617</v>
      </c>
      <c r="D519" s="635" t="s">
        <v>618</v>
      </c>
      <c r="E519" s="635"/>
      <c r="F519" s="635"/>
      <c r="G519" s="636">
        <v>0.4</v>
      </c>
      <c r="H519" s="637">
        <v>12</v>
      </c>
      <c r="I519" s="637">
        <v>150</v>
      </c>
      <c r="J519" s="638">
        <v>4.5999999999999996</v>
      </c>
      <c r="K519" s="635"/>
      <c r="L519" s="635"/>
      <c r="M519" s="635"/>
      <c r="N519" s="635"/>
      <c r="O519" s="635"/>
      <c r="P519" s="635"/>
      <c r="Q519" s="635"/>
      <c r="R519" s="635"/>
      <c r="S519" s="635"/>
    </row>
    <row r="520" spans="1:19" x14ac:dyDescent="0.3">
      <c r="A520" s="635"/>
      <c r="B520" s="635"/>
      <c r="C520" s="635" t="s">
        <v>619</v>
      </c>
      <c r="D520" s="635" t="s">
        <v>620</v>
      </c>
      <c r="E520" s="635"/>
      <c r="F520" s="635"/>
      <c r="G520" s="636">
        <v>0.1</v>
      </c>
      <c r="H520" s="637">
        <v>2</v>
      </c>
      <c r="I520" s="637">
        <v>70</v>
      </c>
      <c r="J520" s="638">
        <v>8.1</v>
      </c>
      <c r="K520" s="635"/>
      <c r="L520" s="635"/>
      <c r="M520" s="635"/>
      <c r="N520" s="635"/>
      <c r="O520" s="635"/>
      <c r="P520" s="635"/>
      <c r="Q520" s="635"/>
      <c r="R520" s="635"/>
      <c r="S520" s="635"/>
    </row>
    <row r="521" spans="1:19" x14ac:dyDescent="0.3">
      <c r="A521" s="635"/>
      <c r="B521" s="635"/>
      <c r="C521" s="635"/>
      <c r="D521" s="635"/>
      <c r="E521" s="635"/>
      <c r="F521" s="635"/>
      <c r="G521" s="636"/>
      <c r="H521" s="637"/>
      <c r="I521" s="637"/>
      <c r="J521" s="638"/>
      <c r="K521" s="635"/>
      <c r="L521" s="635"/>
      <c r="M521" s="635"/>
      <c r="N521" s="635"/>
      <c r="O521" s="635"/>
      <c r="P521" s="635"/>
      <c r="Q521" s="635"/>
      <c r="R521" s="635"/>
      <c r="S521" s="635"/>
    </row>
    <row r="522" spans="1:19" x14ac:dyDescent="0.3">
      <c r="A522" s="635"/>
      <c r="B522" s="635" t="s">
        <v>621</v>
      </c>
      <c r="C522" s="635" t="s">
        <v>622</v>
      </c>
      <c r="D522" s="635"/>
      <c r="E522" s="635"/>
      <c r="F522" s="635"/>
      <c r="G522" s="636">
        <v>6.7</v>
      </c>
      <c r="H522" s="637">
        <v>189</v>
      </c>
      <c r="I522" s="637">
        <v>2080</v>
      </c>
      <c r="J522" s="638">
        <v>3.4</v>
      </c>
      <c r="K522" s="635"/>
      <c r="L522" s="635"/>
      <c r="M522" s="635"/>
      <c r="N522" s="635"/>
      <c r="O522" s="635"/>
      <c r="P522" s="635"/>
      <c r="Q522" s="635"/>
      <c r="R522" s="635"/>
      <c r="S522" s="635"/>
    </row>
    <row r="523" spans="1:19" x14ac:dyDescent="0.3">
      <c r="A523" s="635"/>
      <c r="B523" s="635"/>
      <c r="C523" s="635" t="s">
        <v>623</v>
      </c>
      <c r="D523" s="635" t="s">
        <v>624</v>
      </c>
      <c r="E523" s="635"/>
      <c r="F523" s="635"/>
      <c r="G523" s="636">
        <v>2.5</v>
      </c>
      <c r="H523" s="637">
        <v>71</v>
      </c>
      <c r="I523" s="637">
        <v>1860</v>
      </c>
      <c r="J523" s="638">
        <v>2.8</v>
      </c>
      <c r="K523" s="635"/>
      <c r="L523" s="635"/>
      <c r="M523" s="635"/>
      <c r="N523" s="635"/>
      <c r="O523" s="635"/>
      <c r="P523" s="635"/>
      <c r="Q523" s="635"/>
      <c r="R523" s="635"/>
      <c r="S523" s="635"/>
    </row>
    <row r="524" spans="1:19" x14ac:dyDescent="0.3">
      <c r="A524" s="635"/>
      <c r="B524" s="635"/>
      <c r="C524" s="635" t="s">
        <v>625</v>
      </c>
      <c r="D524" s="635" t="s">
        <v>626</v>
      </c>
      <c r="E524" s="635"/>
      <c r="F524" s="635"/>
      <c r="G524" s="636">
        <v>1.7</v>
      </c>
      <c r="H524" s="637">
        <v>49</v>
      </c>
      <c r="I524" s="637">
        <v>740</v>
      </c>
      <c r="J524" s="638">
        <v>5</v>
      </c>
      <c r="K524" s="635"/>
      <c r="L524" s="635"/>
      <c r="M524" s="635"/>
      <c r="N524" s="635"/>
      <c r="O524" s="635"/>
      <c r="P524" s="635"/>
      <c r="Q524" s="635"/>
      <c r="R524" s="635"/>
      <c r="S524" s="635"/>
    </row>
    <row r="525" spans="1:19" x14ac:dyDescent="0.3">
      <c r="A525" s="635"/>
      <c r="B525" s="635"/>
      <c r="C525" s="635" t="s">
        <v>627</v>
      </c>
      <c r="D525" s="635" t="s">
        <v>628</v>
      </c>
      <c r="E525" s="635"/>
      <c r="F525" s="635"/>
      <c r="G525" s="636">
        <v>2.5</v>
      </c>
      <c r="H525" s="663">
        <v>70</v>
      </c>
      <c r="I525" s="663">
        <v>260</v>
      </c>
      <c r="J525" s="638">
        <v>7.7</v>
      </c>
      <c r="K525" s="635"/>
      <c r="L525" s="635"/>
      <c r="M525" s="635"/>
      <c r="N525" s="635"/>
      <c r="O525" s="635"/>
      <c r="P525" s="635"/>
      <c r="Q525" s="635"/>
      <c r="R525" s="635"/>
      <c r="S525" s="635"/>
    </row>
    <row r="526" spans="1:19" x14ac:dyDescent="0.3">
      <c r="A526" s="639"/>
      <c r="B526" s="639"/>
      <c r="C526" s="639"/>
      <c r="D526" s="639"/>
      <c r="E526" s="639"/>
      <c r="F526" s="639"/>
      <c r="G526" s="640"/>
      <c r="H526" s="641"/>
      <c r="I526" s="641"/>
      <c r="J526" s="642"/>
      <c r="K526" s="635"/>
      <c r="L526" s="635"/>
      <c r="M526" s="635"/>
      <c r="N526" s="635"/>
      <c r="O526" s="635"/>
      <c r="P526" s="635"/>
      <c r="Q526" s="635"/>
      <c r="R526" s="635"/>
      <c r="S526" s="635"/>
    </row>
    <row r="527" spans="1:19" x14ac:dyDescent="0.3">
      <c r="A527" s="635"/>
      <c r="B527" s="635"/>
      <c r="C527" s="635"/>
      <c r="D527" s="635"/>
      <c r="E527" s="635"/>
      <c r="F527" s="635"/>
      <c r="G527" s="636"/>
      <c r="H527" s="637"/>
      <c r="I527" s="637"/>
      <c r="J527" s="638"/>
      <c r="K527" s="635"/>
      <c r="L527" s="635"/>
      <c r="M527" s="635"/>
      <c r="N527" s="635"/>
      <c r="O527" s="635"/>
      <c r="P527" s="635"/>
      <c r="Q527" s="635"/>
      <c r="R527" s="635"/>
      <c r="S527" s="635"/>
    </row>
    <row r="528" spans="1:19" x14ac:dyDescent="0.3">
      <c r="A528" s="635" t="s">
        <v>111</v>
      </c>
      <c r="B528" s="635"/>
      <c r="C528" s="635"/>
      <c r="D528" s="635"/>
      <c r="E528" s="635"/>
      <c r="F528" s="635"/>
      <c r="G528" s="636"/>
      <c r="H528" s="637"/>
      <c r="I528" s="637"/>
      <c r="J528" s="638"/>
      <c r="K528" s="635"/>
      <c r="L528" s="635"/>
      <c r="M528" s="635"/>
      <c r="N528" s="635"/>
      <c r="O528" s="635"/>
      <c r="P528" s="635"/>
      <c r="Q528" s="635"/>
      <c r="R528" s="635"/>
      <c r="S528" s="635"/>
    </row>
    <row r="529" spans="1:19" x14ac:dyDescent="0.3">
      <c r="A529" s="635" t="s">
        <v>182</v>
      </c>
      <c r="B529" s="635"/>
      <c r="C529" s="635"/>
      <c r="D529" s="635"/>
      <c r="E529" s="635"/>
      <c r="F529" s="635"/>
      <c r="G529" s="636"/>
      <c r="H529" s="637"/>
      <c r="I529" s="637"/>
      <c r="J529" s="638"/>
      <c r="K529" s="635"/>
      <c r="L529" s="635"/>
      <c r="M529" s="635"/>
      <c r="N529" s="635"/>
      <c r="O529" s="635"/>
      <c r="P529" s="635"/>
      <c r="Q529" s="635"/>
      <c r="R529" s="635"/>
      <c r="S529" s="635"/>
    </row>
    <row r="530" spans="1:19" x14ac:dyDescent="0.3">
      <c r="A530" s="635" t="s">
        <v>112</v>
      </c>
      <c r="B530" s="635"/>
      <c r="C530" s="635"/>
      <c r="D530" s="635"/>
      <c r="E530" s="635"/>
      <c r="F530" s="635"/>
      <c r="G530" s="636"/>
      <c r="H530" s="637"/>
      <c r="I530" s="637"/>
      <c r="J530" s="638"/>
      <c r="K530" s="635"/>
      <c r="L530" s="635"/>
      <c r="M530" s="635"/>
      <c r="N530" s="635"/>
      <c r="O530" s="635"/>
      <c r="P530" s="635"/>
      <c r="Q530" s="635"/>
      <c r="R530" s="635"/>
      <c r="S530" s="635"/>
    </row>
    <row r="531" spans="1:19" x14ac:dyDescent="0.3">
      <c r="A531" s="635" t="s">
        <v>629</v>
      </c>
      <c r="B531" s="635"/>
      <c r="C531" s="635"/>
      <c r="D531" s="635"/>
      <c r="E531" s="635"/>
      <c r="F531" s="635"/>
      <c r="G531" s="636"/>
      <c r="H531" s="637"/>
      <c r="I531" s="637"/>
      <c r="J531" s="638"/>
      <c r="K531" s="635"/>
      <c r="L531" s="635"/>
      <c r="M531" s="635"/>
      <c r="N531" s="635"/>
      <c r="O531" s="635"/>
      <c r="P531" s="635"/>
      <c r="Q531" s="635"/>
      <c r="R531" s="635"/>
      <c r="S531" s="635"/>
    </row>
    <row r="532" spans="1:19" x14ac:dyDescent="0.3">
      <c r="A532" s="635" t="s">
        <v>630</v>
      </c>
      <c r="B532" s="635"/>
      <c r="C532" s="635"/>
      <c r="D532" s="635"/>
      <c r="E532" s="635"/>
      <c r="F532" s="635"/>
      <c r="G532" s="636"/>
      <c r="H532" s="637"/>
      <c r="I532" s="637"/>
      <c r="J532" s="638"/>
      <c r="K532" s="635"/>
      <c r="L532" s="635"/>
      <c r="M532" s="635"/>
      <c r="N532" s="635"/>
      <c r="O532" s="635"/>
      <c r="P532" s="635"/>
      <c r="Q532" s="635"/>
      <c r="R532" s="635"/>
      <c r="S532" s="635"/>
    </row>
    <row r="533" spans="1:19" x14ac:dyDescent="0.3">
      <c r="A533" s="635" t="s">
        <v>631</v>
      </c>
      <c r="B533" s="635"/>
      <c r="C533" s="635"/>
      <c r="D533" s="635"/>
      <c r="E533" s="635"/>
      <c r="F533" s="635"/>
      <c r="G533" s="636"/>
      <c r="H533" s="637"/>
      <c r="I533" s="637"/>
      <c r="J533" s="638"/>
      <c r="K533" s="635"/>
      <c r="L533" s="635"/>
      <c r="M533" s="635"/>
      <c r="N533" s="635"/>
      <c r="O533" s="635"/>
      <c r="P533" s="635"/>
      <c r="Q533" s="635"/>
      <c r="R533" s="635"/>
      <c r="S533" s="635"/>
    </row>
    <row r="534" spans="1:19" x14ac:dyDescent="0.3">
      <c r="A534" s="635" t="s">
        <v>632</v>
      </c>
      <c r="B534" s="635"/>
      <c r="C534" s="635"/>
      <c r="D534" s="635"/>
      <c r="E534" s="635"/>
      <c r="F534" s="635"/>
      <c r="G534" s="636"/>
      <c r="H534" s="637"/>
      <c r="I534" s="637"/>
      <c r="J534" s="638"/>
      <c r="K534" s="635"/>
      <c r="L534" s="635"/>
      <c r="M534" s="635"/>
      <c r="N534" s="635"/>
      <c r="O534" s="635"/>
      <c r="P534" s="635"/>
      <c r="Q534" s="635"/>
      <c r="R534" s="635"/>
      <c r="S534" s="635"/>
    </row>
    <row r="535" spans="1:19" x14ac:dyDescent="0.3">
      <c r="A535" s="635" t="s">
        <v>633</v>
      </c>
      <c r="B535" s="635"/>
      <c r="C535" s="635"/>
      <c r="D535" s="635"/>
      <c r="E535" s="635"/>
      <c r="F535" s="635"/>
      <c r="G535" s="636"/>
      <c r="H535" s="637"/>
      <c r="I535" s="637"/>
      <c r="J535" s="638"/>
      <c r="K535" s="635"/>
      <c r="L535" s="635"/>
      <c r="M535" s="635"/>
      <c r="N535" s="635"/>
      <c r="O535" s="635"/>
      <c r="P535" s="635"/>
      <c r="Q535" s="635"/>
      <c r="R535" s="635"/>
      <c r="S535" s="635"/>
    </row>
    <row r="536" spans="1:19" x14ac:dyDescent="0.3">
      <c r="A536" s="635" t="s">
        <v>634</v>
      </c>
      <c r="B536" s="635"/>
      <c r="C536" s="635"/>
      <c r="D536" s="635"/>
      <c r="E536" s="635"/>
      <c r="F536" s="635"/>
      <c r="G536" s="636"/>
      <c r="H536" s="637"/>
      <c r="I536" s="637"/>
      <c r="J536" s="638"/>
      <c r="K536" s="635"/>
      <c r="L536" s="635"/>
      <c r="M536" s="635"/>
      <c r="N536" s="635"/>
      <c r="O536" s="635"/>
      <c r="P536" s="635"/>
      <c r="Q536" s="635"/>
      <c r="R536" s="635"/>
      <c r="S536" s="635"/>
    </row>
    <row r="537" spans="1:19" x14ac:dyDescent="0.3">
      <c r="A537" s="635" t="s">
        <v>635</v>
      </c>
      <c r="B537" s="635"/>
      <c r="C537" s="635"/>
      <c r="D537" s="635"/>
      <c r="E537" s="635"/>
      <c r="F537" s="635"/>
      <c r="G537" s="636"/>
      <c r="H537" s="637"/>
      <c r="I537" s="637"/>
      <c r="J537" s="638"/>
      <c r="K537" s="635"/>
      <c r="L537" s="635"/>
      <c r="M537" s="635"/>
      <c r="N537" s="635"/>
      <c r="O537" s="635"/>
      <c r="P537" s="635"/>
      <c r="Q537" s="635"/>
      <c r="R537" s="635"/>
      <c r="S537" s="635"/>
    </row>
    <row r="538" spans="1:19" x14ac:dyDescent="0.3">
      <c r="A538" s="635"/>
      <c r="B538" s="635"/>
      <c r="C538" s="635"/>
      <c r="D538" s="635"/>
      <c r="E538" s="635"/>
      <c r="F538" s="635"/>
      <c r="G538" s="636"/>
      <c r="H538" s="637"/>
      <c r="I538" s="637"/>
      <c r="J538" s="638"/>
      <c r="K538" s="635"/>
      <c r="L538" s="635"/>
      <c r="M538" s="635"/>
      <c r="N538" s="635"/>
      <c r="O538" s="635"/>
      <c r="P538" s="635"/>
      <c r="Q538" s="635"/>
      <c r="R538" s="635"/>
      <c r="S538" s="635"/>
    </row>
    <row r="539" spans="1:19" x14ac:dyDescent="0.3">
      <c r="G539" s="643"/>
    </row>
    <row r="540" spans="1:19" x14ac:dyDescent="0.3">
      <c r="G540" s="643"/>
    </row>
    <row r="541" spans="1:19" x14ac:dyDescent="0.3">
      <c r="G541" s="643"/>
    </row>
    <row r="542" spans="1:19" ht="15.6" x14ac:dyDescent="0.3">
      <c r="A542" s="159" t="s">
        <v>114</v>
      </c>
      <c r="B542" s="129"/>
      <c r="C542" s="157"/>
      <c r="D542" s="219"/>
      <c r="E542" s="219"/>
      <c r="F542" s="130"/>
      <c r="G542" s="219"/>
      <c r="H542" s="649"/>
      <c r="I542" s="649"/>
      <c r="J542" s="135"/>
      <c r="K542" s="218"/>
    </row>
    <row r="543" spans="1:19" ht="34.799999999999997" x14ac:dyDescent="0.3">
      <c r="A543" s="160" t="s">
        <v>183</v>
      </c>
      <c r="B543" s="161"/>
      <c r="C543" s="31"/>
      <c r="D543" s="32"/>
      <c r="E543" s="32"/>
      <c r="F543" s="33"/>
      <c r="G543" s="658"/>
      <c r="H543" s="659"/>
      <c r="I543" s="659"/>
      <c r="J543" s="646"/>
      <c r="K543" s="37"/>
    </row>
    <row r="544" spans="1:19" ht="17.399999999999999" x14ac:dyDescent="0.3">
      <c r="A544" s="41" t="s">
        <v>1360</v>
      </c>
      <c r="B544" s="168"/>
      <c r="C544" s="43"/>
      <c r="D544" s="44"/>
      <c r="E544" s="32"/>
      <c r="F544" s="33"/>
      <c r="G544" s="658"/>
      <c r="H544" s="659"/>
      <c r="I544" s="659"/>
      <c r="J544" s="660"/>
      <c r="K544" s="37"/>
    </row>
    <row r="545" spans="1:18" ht="3" customHeight="1" x14ac:dyDescent="0.3">
      <c r="A545" s="71"/>
      <c r="B545" s="71"/>
      <c r="C545" s="72"/>
      <c r="D545" s="73"/>
      <c r="E545" s="73"/>
      <c r="F545" s="73"/>
      <c r="G545" s="73"/>
      <c r="H545" s="648"/>
      <c r="I545" s="648"/>
      <c r="J545" s="624"/>
      <c r="K545" s="53"/>
    </row>
    <row r="546" spans="1:18" x14ac:dyDescent="0.3">
      <c r="A546" s="81"/>
      <c r="B546" s="81"/>
      <c r="C546" s="55"/>
      <c r="D546" s="84"/>
      <c r="E546" s="84"/>
      <c r="F546" s="84"/>
      <c r="G546" s="219"/>
      <c r="H546" s="649"/>
      <c r="I546" s="649"/>
      <c r="J546" s="217"/>
      <c r="K546" s="53"/>
    </row>
    <row r="547" spans="1:18" x14ac:dyDescent="0.3">
      <c r="A547" s="172"/>
      <c r="B547" s="172"/>
      <c r="C547" s="173"/>
      <c r="D547" s="174"/>
      <c r="E547" s="174"/>
      <c r="F547" s="59"/>
      <c r="G547" s="650" t="s">
        <v>116</v>
      </c>
      <c r="H547" s="622" t="s">
        <v>25</v>
      </c>
      <c r="I547" s="622" t="s">
        <v>26</v>
      </c>
      <c r="J547" s="63" t="s">
        <v>117</v>
      </c>
      <c r="K547" s="179"/>
    </row>
    <row r="548" spans="1:18" x14ac:dyDescent="0.3">
      <c r="A548" s="172"/>
      <c r="B548" s="172"/>
      <c r="C548" s="181"/>
      <c r="D548" s="174"/>
      <c r="E548" s="174"/>
      <c r="F548" s="59"/>
      <c r="G548" s="651" t="s">
        <v>29</v>
      </c>
      <c r="H548" s="622" t="s">
        <v>27</v>
      </c>
      <c r="I548" s="622" t="s">
        <v>28</v>
      </c>
      <c r="J548" s="63" t="s">
        <v>118</v>
      </c>
      <c r="K548" s="179"/>
    </row>
    <row r="549" spans="1:18" x14ac:dyDescent="0.3">
      <c r="A549" s="172"/>
      <c r="B549" s="172"/>
      <c r="C549" s="181"/>
      <c r="D549" s="174"/>
      <c r="E549" s="174"/>
      <c r="F549" s="59"/>
      <c r="G549" s="650" t="s">
        <v>31</v>
      </c>
      <c r="H549" s="622" t="s">
        <v>29</v>
      </c>
      <c r="I549" s="622" t="s">
        <v>30</v>
      </c>
      <c r="J549" s="63" t="s">
        <v>119</v>
      </c>
      <c r="K549" s="179"/>
    </row>
    <row r="550" spans="1:18" x14ac:dyDescent="0.3">
      <c r="A550" s="172"/>
      <c r="B550" s="172"/>
      <c r="C550" s="181"/>
      <c r="D550" s="174"/>
      <c r="E550" s="174"/>
      <c r="F550" s="59"/>
      <c r="G550" s="651" t="s">
        <v>32</v>
      </c>
      <c r="H550" s="622" t="s">
        <v>33</v>
      </c>
      <c r="I550" s="622" t="s">
        <v>120</v>
      </c>
      <c r="J550" s="63" t="s">
        <v>121</v>
      </c>
      <c r="K550" s="179"/>
    </row>
    <row r="551" spans="1:18" x14ac:dyDescent="0.3">
      <c r="A551" s="71"/>
      <c r="B551" s="71"/>
      <c r="C551" s="72"/>
      <c r="D551" s="73"/>
      <c r="E551" s="73"/>
      <c r="F551" s="73"/>
      <c r="G551" s="73"/>
      <c r="H551" s="648"/>
      <c r="I551" s="648"/>
      <c r="J551" s="624"/>
      <c r="K551" s="53"/>
    </row>
    <row r="552" spans="1:18" ht="1.95" customHeight="1" x14ac:dyDescent="0.3">
      <c r="A552" s="80"/>
      <c r="B552" s="81"/>
      <c r="C552" s="82"/>
      <c r="D552" s="83"/>
      <c r="E552" s="83"/>
      <c r="F552" s="84"/>
      <c r="G552" s="83"/>
      <c r="H552" s="661"/>
      <c r="I552" s="661"/>
      <c r="J552" s="231"/>
      <c r="K552" s="53"/>
    </row>
    <row r="553" spans="1:18" s="93" customFormat="1" ht="10.95" customHeight="1" x14ac:dyDescent="0.2">
      <c r="A553" s="111" t="s">
        <v>123</v>
      </c>
      <c r="B553" s="112"/>
      <c r="C553" s="113"/>
      <c r="F553" s="114" t="s">
        <v>124</v>
      </c>
      <c r="G553" s="219"/>
      <c r="H553" s="649"/>
      <c r="I553" s="649"/>
      <c r="J553" s="217"/>
      <c r="K553" s="53"/>
      <c r="L553" s="270"/>
    </row>
    <row r="554" spans="1:18" x14ac:dyDescent="0.3">
      <c r="G554" s="643"/>
    </row>
    <row r="555" spans="1:18" s="662" customFormat="1" ht="12" x14ac:dyDescent="0.2">
      <c r="A555" s="631">
        <v>9</v>
      </c>
      <c r="B555" s="631" t="s">
        <v>636</v>
      </c>
      <c r="C555" s="631"/>
      <c r="D555" s="631"/>
      <c r="E555" s="631"/>
      <c r="F555" s="631"/>
      <c r="G555" s="632"/>
      <c r="H555" s="633"/>
      <c r="I555" s="633"/>
      <c r="J555" s="634"/>
      <c r="K555" s="631"/>
      <c r="L555" s="631"/>
      <c r="M555" s="631"/>
      <c r="N555" s="631"/>
      <c r="O555" s="631"/>
      <c r="P555" s="631"/>
      <c r="Q555" s="631"/>
      <c r="R555" s="631"/>
    </row>
    <row r="556" spans="1:18" x14ac:dyDescent="0.3">
      <c r="A556" s="635"/>
      <c r="B556" s="635"/>
      <c r="C556" s="635"/>
      <c r="D556" s="635"/>
      <c r="E556" s="635"/>
      <c r="F556" s="635"/>
      <c r="G556" s="636"/>
      <c r="H556" s="637"/>
      <c r="I556" s="637"/>
      <c r="J556" s="638"/>
      <c r="K556" s="635"/>
      <c r="L556" s="635"/>
      <c r="M556" s="635"/>
      <c r="N556" s="635"/>
      <c r="O556" s="635"/>
      <c r="P556" s="635"/>
      <c r="Q556" s="635"/>
      <c r="R556" s="635"/>
    </row>
    <row r="557" spans="1:18" x14ac:dyDescent="0.3">
      <c r="A557" s="635">
        <v>9.4</v>
      </c>
      <c r="B557" s="635" t="s">
        <v>637</v>
      </c>
      <c r="C557" s="635"/>
      <c r="D557" s="635"/>
      <c r="E557" s="635"/>
      <c r="F557" s="635"/>
      <c r="G557" s="636">
        <v>11.3</v>
      </c>
      <c r="H557" s="637">
        <v>318</v>
      </c>
      <c r="I557" s="637">
        <v>4870</v>
      </c>
      <c r="J557" s="638">
        <v>4.7</v>
      </c>
      <c r="K557" s="635"/>
      <c r="L557" s="635"/>
      <c r="M557" s="635"/>
      <c r="N557" s="635"/>
      <c r="O557" s="635"/>
      <c r="P557" s="635"/>
      <c r="Q557" s="635"/>
      <c r="R557" s="635"/>
    </row>
    <row r="558" spans="1:18" x14ac:dyDescent="0.3">
      <c r="A558" s="635"/>
      <c r="B558" s="635" t="s">
        <v>638</v>
      </c>
      <c r="C558" s="635" t="s">
        <v>639</v>
      </c>
      <c r="D558" s="635"/>
      <c r="E558" s="635"/>
      <c r="F558" s="635"/>
      <c r="G558" s="636">
        <v>3.6</v>
      </c>
      <c r="H558" s="637">
        <v>101</v>
      </c>
      <c r="I558" s="637">
        <v>1190</v>
      </c>
      <c r="J558" s="638">
        <v>9.3000000000000007</v>
      </c>
      <c r="K558" s="635"/>
      <c r="L558" s="635"/>
      <c r="M558" s="635"/>
      <c r="N558" s="635"/>
      <c r="O558" s="635"/>
      <c r="P558" s="635"/>
      <c r="Q558" s="635"/>
      <c r="R558" s="635"/>
    </row>
    <row r="559" spans="1:18" x14ac:dyDescent="0.3">
      <c r="A559" s="635"/>
      <c r="B559" s="635"/>
      <c r="C559" s="635" t="s">
        <v>640</v>
      </c>
      <c r="D559" s="635" t="s">
        <v>641</v>
      </c>
      <c r="E559" s="635"/>
      <c r="F559" s="635"/>
      <c r="G559" s="636">
        <v>0.1</v>
      </c>
      <c r="H559" s="637">
        <v>3</v>
      </c>
      <c r="I559" s="637">
        <v>40</v>
      </c>
      <c r="J559" s="638">
        <v>100</v>
      </c>
      <c r="K559" s="635"/>
      <c r="L559" s="635"/>
      <c r="M559" s="635"/>
      <c r="N559" s="635"/>
      <c r="O559" s="635"/>
      <c r="P559" s="635"/>
      <c r="Q559" s="635"/>
      <c r="R559" s="635"/>
    </row>
    <row r="560" spans="1:18" x14ac:dyDescent="0.3">
      <c r="A560" s="635"/>
      <c r="B560" s="635"/>
      <c r="C560" s="635" t="s">
        <v>642</v>
      </c>
      <c r="D560" s="635" t="s">
        <v>643</v>
      </c>
      <c r="E560" s="635"/>
      <c r="F560" s="635"/>
      <c r="G560" s="636">
        <v>0.6</v>
      </c>
      <c r="H560" s="637">
        <v>16</v>
      </c>
      <c r="I560" s="637">
        <v>270</v>
      </c>
      <c r="J560" s="638">
        <v>20.9</v>
      </c>
      <c r="K560" s="635"/>
      <c r="L560" s="635"/>
      <c r="M560" s="635"/>
      <c r="N560" s="635"/>
      <c r="O560" s="635"/>
      <c r="P560" s="635"/>
      <c r="Q560" s="635"/>
      <c r="R560" s="635"/>
    </row>
    <row r="561" spans="1:18" x14ac:dyDescent="0.3">
      <c r="A561" s="635"/>
      <c r="B561" s="635"/>
      <c r="C561" s="635" t="s">
        <v>644</v>
      </c>
      <c r="D561" s="635" t="s">
        <v>645</v>
      </c>
      <c r="E561" s="635"/>
      <c r="F561" s="635"/>
      <c r="G561" s="636">
        <v>1.2</v>
      </c>
      <c r="H561" s="637">
        <v>35</v>
      </c>
      <c r="I561" s="637">
        <v>660</v>
      </c>
      <c r="J561" s="638">
        <v>12.3</v>
      </c>
      <c r="K561" s="635"/>
      <c r="L561" s="635"/>
      <c r="M561" s="635"/>
      <c r="N561" s="635"/>
      <c r="O561" s="635"/>
      <c r="P561" s="635"/>
      <c r="Q561" s="635"/>
      <c r="R561" s="635"/>
    </row>
    <row r="562" spans="1:18" x14ac:dyDescent="0.3">
      <c r="A562" s="635"/>
      <c r="B562" s="635"/>
      <c r="C562" s="635" t="s">
        <v>646</v>
      </c>
      <c r="D562" s="635" t="s">
        <v>647</v>
      </c>
      <c r="E562" s="635"/>
      <c r="F562" s="635"/>
      <c r="G562" s="636">
        <v>1.6</v>
      </c>
      <c r="H562" s="637">
        <v>46</v>
      </c>
      <c r="I562" s="637">
        <v>400</v>
      </c>
      <c r="J562" s="638">
        <v>11.8</v>
      </c>
      <c r="K562" s="635"/>
      <c r="L562" s="635"/>
      <c r="M562" s="635"/>
      <c r="N562" s="635"/>
      <c r="O562" s="635"/>
      <c r="P562" s="635"/>
      <c r="Q562" s="635"/>
      <c r="R562" s="635"/>
    </row>
    <row r="563" spans="1:18" x14ac:dyDescent="0.3">
      <c r="A563" s="635"/>
      <c r="B563" s="635"/>
      <c r="C563" s="635" t="s">
        <v>648</v>
      </c>
      <c r="D563" s="635" t="s">
        <v>649</v>
      </c>
      <c r="E563" s="635"/>
      <c r="F563" s="635"/>
      <c r="G563" s="655" t="s">
        <v>230</v>
      </c>
      <c r="H563" s="656" t="s">
        <v>230</v>
      </c>
      <c r="I563" s="656" t="s">
        <v>230</v>
      </c>
      <c r="J563" s="657" t="s">
        <v>230</v>
      </c>
      <c r="K563" s="635"/>
      <c r="L563" s="635"/>
      <c r="M563" s="635"/>
      <c r="N563" s="635"/>
      <c r="O563" s="635"/>
      <c r="P563" s="635"/>
      <c r="Q563" s="635"/>
      <c r="R563" s="635"/>
    </row>
    <row r="564" spans="1:18" x14ac:dyDescent="0.3">
      <c r="A564" s="635"/>
      <c r="B564" s="635"/>
      <c r="C564" s="635"/>
      <c r="D564" s="635"/>
      <c r="E564" s="635"/>
      <c r="F564" s="635"/>
      <c r="G564" s="636"/>
      <c r="H564" s="637"/>
      <c r="I564" s="637"/>
      <c r="J564" s="638"/>
      <c r="K564" s="635"/>
      <c r="L564" s="635"/>
      <c r="M564" s="635"/>
      <c r="N564" s="635"/>
      <c r="O564" s="635"/>
      <c r="P564" s="635"/>
      <c r="Q564" s="635"/>
      <c r="R564" s="635"/>
    </row>
    <row r="565" spans="1:18" x14ac:dyDescent="0.3">
      <c r="A565" s="635"/>
      <c r="B565" s="635" t="s">
        <v>650</v>
      </c>
      <c r="C565" s="635" t="s">
        <v>651</v>
      </c>
      <c r="D565" s="635"/>
      <c r="E565" s="635"/>
      <c r="F565" s="635"/>
      <c r="G565" s="636">
        <v>0.8</v>
      </c>
      <c r="H565" s="637">
        <v>22</v>
      </c>
      <c r="I565" s="637">
        <v>210</v>
      </c>
      <c r="J565" s="638">
        <v>39.5</v>
      </c>
      <c r="K565" s="635"/>
      <c r="L565" s="635"/>
      <c r="M565" s="635"/>
      <c r="N565" s="635"/>
      <c r="O565" s="635"/>
      <c r="P565" s="635"/>
      <c r="Q565" s="635"/>
      <c r="R565" s="635"/>
    </row>
    <row r="566" spans="1:18" x14ac:dyDescent="0.3">
      <c r="A566" s="635"/>
      <c r="B566" s="635"/>
      <c r="C566" s="635" t="s">
        <v>652</v>
      </c>
      <c r="D566" s="635" t="s">
        <v>653</v>
      </c>
      <c r="E566" s="635"/>
      <c r="F566" s="635"/>
      <c r="G566" s="636">
        <v>0</v>
      </c>
      <c r="H566" s="637">
        <v>1</v>
      </c>
      <c r="I566" s="637">
        <v>20</v>
      </c>
      <c r="J566" s="638">
        <v>136.69999999999999</v>
      </c>
      <c r="K566" s="635"/>
      <c r="L566" s="635"/>
      <c r="M566" s="635"/>
      <c r="N566" s="635"/>
      <c r="O566" s="635"/>
      <c r="P566" s="635"/>
      <c r="Q566" s="635"/>
      <c r="R566" s="635"/>
    </row>
    <row r="567" spans="1:18" x14ac:dyDescent="0.3">
      <c r="A567" s="635"/>
      <c r="B567" s="635"/>
      <c r="C567" s="635" t="s">
        <v>654</v>
      </c>
      <c r="D567" s="635" t="s">
        <v>655</v>
      </c>
      <c r="E567" s="635"/>
      <c r="F567" s="635"/>
      <c r="G567" s="636">
        <v>0.4</v>
      </c>
      <c r="H567" s="637">
        <v>11</v>
      </c>
      <c r="I567" s="637">
        <v>70</v>
      </c>
      <c r="J567" s="638">
        <v>25.9</v>
      </c>
      <c r="K567" s="635"/>
      <c r="L567" s="635"/>
      <c r="M567" s="635"/>
      <c r="N567" s="635"/>
      <c r="O567" s="635"/>
      <c r="P567" s="635"/>
      <c r="Q567" s="635"/>
      <c r="R567" s="635"/>
    </row>
    <row r="568" spans="1:18" x14ac:dyDescent="0.3">
      <c r="A568" s="635"/>
      <c r="B568" s="635"/>
      <c r="C568" s="635" t="s">
        <v>656</v>
      </c>
      <c r="D568" s="635" t="s">
        <v>657</v>
      </c>
      <c r="E568" s="635"/>
      <c r="F568" s="635"/>
      <c r="G568" s="636">
        <v>0.3</v>
      </c>
      <c r="H568" s="637">
        <v>10</v>
      </c>
      <c r="I568" s="637">
        <v>130</v>
      </c>
      <c r="J568" s="638">
        <v>80</v>
      </c>
      <c r="K568" s="635"/>
      <c r="L568" s="635"/>
      <c r="M568" s="635"/>
      <c r="N568" s="635"/>
      <c r="O568" s="635"/>
      <c r="P568" s="635"/>
      <c r="Q568" s="635"/>
      <c r="R568" s="635"/>
    </row>
    <row r="569" spans="1:18" x14ac:dyDescent="0.3">
      <c r="A569" s="635"/>
      <c r="B569" s="635"/>
      <c r="C569" s="635"/>
      <c r="D569" s="635"/>
      <c r="E569" s="635"/>
      <c r="F569" s="635"/>
      <c r="G569" s="636"/>
      <c r="H569" s="637"/>
      <c r="I569" s="637"/>
      <c r="J569" s="638"/>
      <c r="K569" s="635"/>
      <c r="L569" s="635"/>
      <c r="M569" s="635"/>
      <c r="N569" s="635"/>
      <c r="O569" s="635"/>
      <c r="P569" s="635"/>
      <c r="Q569" s="635"/>
      <c r="R569" s="635"/>
    </row>
    <row r="570" spans="1:18" x14ac:dyDescent="0.3">
      <c r="A570" s="635"/>
      <c r="B570" s="635" t="s">
        <v>658</v>
      </c>
      <c r="C570" s="635" t="s">
        <v>659</v>
      </c>
      <c r="D570" s="635"/>
      <c r="E570" s="635"/>
      <c r="F570" s="635"/>
      <c r="G570" s="636">
        <v>5.0999999999999996</v>
      </c>
      <c r="H570" s="637">
        <v>143</v>
      </c>
      <c r="I570" s="637">
        <v>4630</v>
      </c>
      <c r="J570" s="638">
        <v>1.7</v>
      </c>
      <c r="K570" s="635"/>
      <c r="L570" s="635"/>
      <c r="M570" s="635"/>
      <c r="N570" s="635"/>
      <c r="O570" s="635"/>
      <c r="P570" s="635"/>
      <c r="Q570" s="635"/>
      <c r="R570" s="635"/>
    </row>
    <row r="571" spans="1:18" x14ac:dyDescent="0.3">
      <c r="A571" s="635"/>
      <c r="B571" s="635"/>
      <c r="C571" s="635" t="s">
        <v>660</v>
      </c>
      <c r="D571" s="635" t="s">
        <v>661</v>
      </c>
      <c r="E571" s="635"/>
      <c r="F571" s="635"/>
      <c r="G571" s="636">
        <v>2.1</v>
      </c>
      <c r="H571" s="637">
        <v>60</v>
      </c>
      <c r="I571" s="637">
        <v>4300</v>
      </c>
      <c r="J571" s="638">
        <v>0.8</v>
      </c>
      <c r="K571" s="635"/>
      <c r="L571" s="635"/>
      <c r="M571" s="635"/>
      <c r="N571" s="635"/>
      <c r="O571" s="635"/>
      <c r="P571" s="635"/>
      <c r="Q571" s="635"/>
      <c r="R571" s="635"/>
    </row>
    <row r="572" spans="1:18" x14ac:dyDescent="0.3">
      <c r="A572" s="635"/>
      <c r="B572" s="635"/>
      <c r="C572" s="635" t="s">
        <v>662</v>
      </c>
      <c r="D572" s="635" t="s">
        <v>663</v>
      </c>
      <c r="E572" s="635"/>
      <c r="F572" s="635"/>
      <c r="G572" s="636">
        <v>1.4</v>
      </c>
      <c r="H572" s="637">
        <v>39</v>
      </c>
      <c r="I572" s="637">
        <v>690</v>
      </c>
      <c r="J572" s="638">
        <v>5.2</v>
      </c>
      <c r="K572" s="635"/>
      <c r="L572" s="635"/>
      <c r="M572" s="635"/>
      <c r="N572" s="635"/>
      <c r="O572" s="635"/>
      <c r="P572" s="635"/>
      <c r="Q572" s="635"/>
      <c r="R572" s="635"/>
    </row>
    <row r="573" spans="1:18" x14ac:dyDescent="0.3">
      <c r="A573" s="635"/>
      <c r="B573" s="635"/>
      <c r="C573" s="635" t="s">
        <v>664</v>
      </c>
      <c r="D573" s="635" t="s">
        <v>665</v>
      </c>
      <c r="E573" s="635"/>
      <c r="F573" s="635"/>
      <c r="G573" s="636" t="s">
        <v>230</v>
      </c>
      <c r="H573" s="664" t="s">
        <v>230</v>
      </c>
      <c r="I573" s="664" t="s">
        <v>230</v>
      </c>
      <c r="J573" s="638" t="s">
        <v>230</v>
      </c>
      <c r="K573" s="635"/>
      <c r="L573" s="635"/>
      <c r="M573" s="635"/>
      <c r="N573" s="635"/>
      <c r="O573" s="635"/>
      <c r="P573" s="635"/>
      <c r="Q573" s="635"/>
      <c r="R573" s="635"/>
    </row>
    <row r="574" spans="1:18" x14ac:dyDescent="0.3">
      <c r="A574" s="635"/>
      <c r="B574" s="635"/>
      <c r="C574" s="635" t="s">
        <v>666</v>
      </c>
      <c r="D574" s="635" t="s">
        <v>667</v>
      </c>
      <c r="E574" s="635"/>
      <c r="F574" s="635"/>
      <c r="G574" s="636">
        <v>0.2</v>
      </c>
      <c r="H574" s="637">
        <v>5</v>
      </c>
      <c r="I574" s="637">
        <v>170</v>
      </c>
      <c r="J574" s="638">
        <v>25.6</v>
      </c>
      <c r="K574" s="635"/>
      <c r="L574" s="635"/>
      <c r="M574" s="635"/>
      <c r="N574" s="635"/>
      <c r="O574" s="635"/>
      <c r="P574" s="635"/>
      <c r="Q574" s="635"/>
      <c r="R574" s="635"/>
    </row>
    <row r="575" spans="1:18" x14ac:dyDescent="0.3">
      <c r="A575" s="635"/>
      <c r="B575" s="635"/>
      <c r="C575" s="635" t="s">
        <v>668</v>
      </c>
      <c r="D575" s="635" t="s">
        <v>669</v>
      </c>
      <c r="E575" s="635"/>
      <c r="F575" s="635"/>
      <c r="G575" s="655" t="s">
        <v>230</v>
      </c>
      <c r="H575" s="656" t="s">
        <v>230</v>
      </c>
      <c r="I575" s="656" t="s">
        <v>230</v>
      </c>
      <c r="J575" s="657" t="s">
        <v>230</v>
      </c>
      <c r="K575" s="635"/>
      <c r="L575" s="635"/>
      <c r="M575" s="635"/>
      <c r="N575" s="635"/>
      <c r="O575" s="635"/>
      <c r="P575" s="635"/>
      <c r="Q575" s="635"/>
      <c r="R575" s="635"/>
    </row>
    <row r="576" spans="1:18" x14ac:dyDescent="0.3">
      <c r="A576" s="635"/>
      <c r="B576" s="635"/>
      <c r="C576" s="635" t="s">
        <v>670</v>
      </c>
      <c r="D576" s="635" t="s">
        <v>671</v>
      </c>
      <c r="E576" s="635"/>
      <c r="F576" s="635"/>
      <c r="G576" s="636">
        <v>1.3</v>
      </c>
      <c r="H576" s="637">
        <v>38</v>
      </c>
      <c r="I576" s="637">
        <v>1820</v>
      </c>
      <c r="J576" s="638">
        <v>0.5</v>
      </c>
      <c r="K576" s="635"/>
      <c r="L576" s="635"/>
      <c r="M576" s="635"/>
      <c r="N576" s="635"/>
      <c r="O576" s="635"/>
      <c r="P576" s="635"/>
      <c r="Q576" s="635"/>
      <c r="R576" s="635"/>
    </row>
    <row r="577" spans="1:18" x14ac:dyDescent="0.3">
      <c r="A577" s="635"/>
      <c r="B577" s="635"/>
      <c r="C577" s="635"/>
      <c r="D577" s="635"/>
      <c r="E577" s="635"/>
      <c r="F577" s="635"/>
      <c r="G577" s="636"/>
      <c r="H577" s="637"/>
      <c r="I577" s="637"/>
      <c r="J577" s="638"/>
      <c r="K577" s="635"/>
      <c r="L577" s="635"/>
      <c r="M577" s="635"/>
      <c r="N577" s="635"/>
      <c r="O577" s="635"/>
      <c r="P577" s="635"/>
      <c r="Q577" s="635"/>
      <c r="R577" s="635"/>
    </row>
    <row r="578" spans="1:18" x14ac:dyDescent="0.3">
      <c r="A578" s="635"/>
      <c r="B578" s="635" t="s">
        <v>672</v>
      </c>
      <c r="C578" s="635" t="s">
        <v>673</v>
      </c>
      <c r="D578" s="635"/>
      <c r="E578" s="635"/>
      <c r="F578" s="635"/>
      <c r="G578" s="636">
        <v>0.6</v>
      </c>
      <c r="H578" s="637">
        <v>17</v>
      </c>
      <c r="I578" s="637">
        <v>750</v>
      </c>
      <c r="J578" s="638">
        <v>12</v>
      </c>
      <c r="K578" s="635"/>
      <c r="L578" s="635"/>
      <c r="M578" s="635"/>
      <c r="N578" s="635"/>
      <c r="O578" s="635"/>
      <c r="P578" s="635"/>
      <c r="Q578" s="635"/>
      <c r="R578" s="635"/>
    </row>
    <row r="579" spans="1:18" x14ac:dyDescent="0.3">
      <c r="A579" s="635"/>
      <c r="B579" s="635"/>
      <c r="C579" s="635" t="s">
        <v>674</v>
      </c>
      <c r="D579" s="635" t="s">
        <v>675</v>
      </c>
      <c r="E579" s="635"/>
      <c r="F579" s="635"/>
      <c r="G579" s="636">
        <v>0.1</v>
      </c>
      <c r="H579" s="637">
        <v>3</v>
      </c>
      <c r="I579" s="637">
        <v>50</v>
      </c>
      <c r="J579" s="638">
        <v>37.700000000000003</v>
      </c>
      <c r="K579" s="635"/>
      <c r="L579" s="635"/>
      <c r="M579" s="635"/>
      <c r="N579" s="635"/>
      <c r="O579" s="635"/>
      <c r="P579" s="635"/>
      <c r="Q579" s="635"/>
      <c r="R579" s="635"/>
    </row>
    <row r="580" spans="1:18" x14ac:dyDescent="0.3">
      <c r="A580" s="635"/>
      <c r="B580" s="635"/>
      <c r="C580" s="635" t="s">
        <v>676</v>
      </c>
      <c r="D580" s="635" t="s">
        <v>677</v>
      </c>
      <c r="E580" s="635"/>
      <c r="F580" s="635"/>
      <c r="G580" s="636">
        <v>0</v>
      </c>
      <c r="H580" s="637">
        <v>1</v>
      </c>
      <c r="I580" s="637">
        <v>30</v>
      </c>
      <c r="J580" s="638">
        <v>150</v>
      </c>
      <c r="K580" s="635"/>
      <c r="L580" s="635"/>
      <c r="M580" s="635"/>
      <c r="N580" s="635"/>
      <c r="O580" s="635"/>
      <c r="P580" s="635"/>
      <c r="Q580" s="635"/>
      <c r="R580" s="635"/>
    </row>
    <row r="581" spans="1:18" x14ac:dyDescent="0.3">
      <c r="A581" s="635"/>
      <c r="B581" s="635"/>
      <c r="C581" s="635" t="s">
        <v>678</v>
      </c>
      <c r="D581" s="635" t="s">
        <v>679</v>
      </c>
      <c r="E581" s="635"/>
      <c r="F581" s="635"/>
      <c r="G581" s="636">
        <v>0.5</v>
      </c>
      <c r="H581" s="637">
        <v>13</v>
      </c>
      <c r="I581" s="637">
        <v>690</v>
      </c>
      <c r="J581" s="638">
        <v>8.6</v>
      </c>
      <c r="K581" s="635"/>
      <c r="L581" s="635"/>
      <c r="M581" s="635"/>
      <c r="N581" s="635"/>
      <c r="O581" s="635"/>
      <c r="P581" s="635"/>
      <c r="Q581" s="635"/>
      <c r="R581" s="635"/>
    </row>
    <row r="582" spans="1:18" x14ac:dyDescent="0.3">
      <c r="A582" s="635"/>
      <c r="B582" s="635"/>
      <c r="C582" s="635"/>
      <c r="D582" s="635"/>
      <c r="E582" s="635"/>
      <c r="F582" s="635"/>
      <c r="G582" s="636"/>
      <c r="H582" s="637"/>
      <c r="I582" s="637"/>
      <c r="J582" s="638"/>
      <c r="K582" s="635"/>
      <c r="L582" s="635"/>
      <c r="M582" s="635"/>
      <c r="N582" s="635"/>
      <c r="O582" s="635"/>
      <c r="P582" s="635"/>
      <c r="Q582" s="635"/>
      <c r="R582" s="635"/>
    </row>
    <row r="583" spans="1:18" x14ac:dyDescent="0.3">
      <c r="A583" s="635"/>
      <c r="B583" s="635" t="s">
        <v>680</v>
      </c>
      <c r="C583" s="635" t="s">
        <v>681</v>
      </c>
      <c r="D583" s="635"/>
      <c r="E583" s="635"/>
      <c r="F583" s="635"/>
      <c r="G583" s="636"/>
      <c r="H583" s="637"/>
      <c r="I583" s="637"/>
      <c r="J583" s="638"/>
      <c r="K583" s="635"/>
      <c r="L583" s="635"/>
      <c r="M583" s="635"/>
      <c r="N583" s="635"/>
      <c r="O583" s="635"/>
      <c r="P583" s="635"/>
      <c r="Q583" s="635"/>
      <c r="R583" s="635"/>
    </row>
    <row r="584" spans="1:18" x14ac:dyDescent="0.3">
      <c r="A584" s="635"/>
      <c r="B584" s="635"/>
      <c r="C584" s="635" t="s">
        <v>682</v>
      </c>
      <c r="D584" s="635"/>
      <c r="E584" s="635"/>
      <c r="F584" s="635"/>
      <c r="G584" s="636">
        <v>0.1</v>
      </c>
      <c r="H584" s="637">
        <v>4</v>
      </c>
      <c r="I584" s="637">
        <v>90</v>
      </c>
      <c r="J584" s="638">
        <v>44.9</v>
      </c>
      <c r="K584" s="635"/>
      <c r="L584" s="635"/>
      <c r="M584" s="635"/>
      <c r="N584" s="635"/>
      <c r="O584" s="635"/>
      <c r="P584" s="635"/>
      <c r="Q584" s="635"/>
      <c r="R584" s="635"/>
    </row>
    <row r="585" spans="1:18" x14ac:dyDescent="0.3">
      <c r="A585" s="635"/>
      <c r="B585" s="635"/>
      <c r="C585" s="635"/>
      <c r="D585" s="635"/>
      <c r="E585" s="635"/>
      <c r="F585" s="635"/>
      <c r="G585" s="636"/>
      <c r="H585" s="637"/>
      <c r="I585" s="637"/>
      <c r="J585" s="638"/>
      <c r="K585" s="635"/>
      <c r="L585" s="635"/>
      <c r="M585" s="635"/>
      <c r="N585" s="635"/>
      <c r="O585" s="635"/>
      <c r="P585" s="635"/>
      <c r="Q585" s="635"/>
      <c r="R585" s="635"/>
    </row>
    <row r="586" spans="1:18" x14ac:dyDescent="0.3">
      <c r="A586" s="635"/>
      <c r="B586" s="635" t="s">
        <v>683</v>
      </c>
      <c r="C586" s="635" t="s">
        <v>684</v>
      </c>
      <c r="D586" s="635"/>
      <c r="E586" s="635"/>
      <c r="F586" s="635"/>
      <c r="G586" s="636">
        <v>1.1000000000000001</v>
      </c>
      <c r="H586" s="637">
        <v>31</v>
      </c>
      <c r="I586" s="637">
        <v>950</v>
      </c>
      <c r="J586" s="638">
        <v>12.8</v>
      </c>
      <c r="K586" s="635"/>
      <c r="L586" s="635"/>
      <c r="M586" s="635"/>
      <c r="N586" s="635"/>
      <c r="O586" s="635"/>
      <c r="P586" s="635"/>
      <c r="Q586" s="635"/>
      <c r="R586" s="635"/>
    </row>
    <row r="587" spans="1:18" x14ac:dyDescent="0.3">
      <c r="A587" s="635"/>
      <c r="B587" s="635"/>
      <c r="C587" s="635" t="s">
        <v>685</v>
      </c>
      <c r="D587" s="635" t="s">
        <v>686</v>
      </c>
      <c r="E587" s="635"/>
      <c r="F587" s="635"/>
      <c r="G587" s="655" t="s">
        <v>230</v>
      </c>
      <c r="H587" s="656" t="s">
        <v>230</v>
      </c>
      <c r="I587" s="656" t="s">
        <v>230</v>
      </c>
      <c r="J587" s="657" t="s">
        <v>230</v>
      </c>
      <c r="K587" s="635"/>
      <c r="L587" s="635"/>
      <c r="M587" s="635"/>
      <c r="N587" s="635"/>
      <c r="O587" s="635"/>
      <c r="P587" s="635"/>
      <c r="Q587" s="635"/>
      <c r="R587" s="635"/>
    </row>
    <row r="588" spans="1:18" x14ac:dyDescent="0.3">
      <c r="A588" s="635"/>
      <c r="B588" s="635"/>
      <c r="C588" s="635" t="s">
        <v>687</v>
      </c>
      <c r="D588" s="635" t="s">
        <v>688</v>
      </c>
      <c r="E588" s="635"/>
      <c r="F588" s="635"/>
      <c r="G588" s="636">
        <v>0</v>
      </c>
      <c r="H588" s="637">
        <v>1</v>
      </c>
      <c r="I588" s="637">
        <v>10</v>
      </c>
      <c r="J588" s="638">
        <v>151.5</v>
      </c>
      <c r="K588" s="635"/>
      <c r="L588" s="635"/>
      <c r="M588" s="635"/>
      <c r="N588" s="635"/>
      <c r="O588" s="635"/>
      <c r="P588" s="635"/>
      <c r="Q588" s="635"/>
      <c r="R588" s="635"/>
    </row>
    <row r="589" spans="1:18" x14ac:dyDescent="0.3">
      <c r="A589" s="635"/>
      <c r="B589" s="635"/>
      <c r="C589" s="635" t="s">
        <v>689</v>
      </c>
      <c r="D589" s="635" t="s">
        <v>690</v>
      </c>
      <c r="E589" s="635"/>
      <c r="F589" s="635"/>
      <c r="G589" s="636">
        <v>0.9</v>
      </c>
      <c r="H589" s="637">
        <v>26</v>
      </c>
      <c r="I589" s="637">
        <v>890</v>
      </c>
      <c r="J589" s="638">
        <v>6.5</v>
      </c>
      <c r="K589" s="635"/>
      <c r="L589" s="635"/>
      <c r="M589" s="635"/>
      <c r="N589" s="635"/>
      <c r="O589" s="635"/>
      <c r="P589" s="635"/>
      <c r="Q589" s="635"/>
      <c r="R589" s="635"/>
    </row>
    <row r="590" spans="1:18" x14ac:dyDescent="0.3">
      <c r="A590" s="635"/>
      <c r="B590" s="635"/>
      <c r="C590" s="635" t="s">
        <v>691</v>
      </c>
      <c r="D590" s="635" t="s">
        <v>692</v>
      </c>
      <c r="E590" s="635"/>
      <c r="F590" s="635"/>
      <c r="G590" s="636">
        <v>0.1</v>
      </c>
      <c r="H590" s="637">
        <v>3</v>
      </c>
      <c r="I590" s="637">
        <v>80</v>
      </c>
      <c r="J590" s="638">
        <v>77.7</v>
      </c>
      <c r="K590" s="635"/>
      <c r="L590" s="635"/>
      <c r="M590" s="635"/>
      <c r="N590" s="635"/>
      <c r="O590" s="635"/>
      <c r="P590" s="635"/>
      <c r="Q590" s="635"/>
      <c r="R590" s="635"/>
    </row>
    <row r="591" spans="1:18" x14ac:dyDescent="0.3">
      <c r="A591" s="635"/>
      <c r="B591" s="635"/>
      <c r="C591" s="635"/>
      <c r="D591" s="635"/>
      <c r="E591" s="635"/>
      <c r="F591" s="635"/>
      <c r="G591" s="636"/>
      <c r="H591" s="637"/>
      <c r="I591" s="637"/>
      <c r="J591" s="638"/>
      <c r="K591" s="635"/>
      <c r="L591" s="635"/>
      <c r="M591" s="635"/>
      <c r="N591" s="635"/>
      <c r="O591" s="635"/>
      <c r="P591" s="635"/>
      <c r="Q591" s="635"/>
      <c r="R591" s="635"/>
    </row>
    <row r="592" spans="1:18" x14ac:dyDescent="0.3">
      <c r="A592" s="635">
        <v>9.5</v>
      </c>
      <c r="B592" s="635" t="s">
        <v>693</v>
      </c>
      <c r="C592" s="635"/>
      <c r="D592" s="635"/>
      <c r="E592" s="635"/>
      <c r="F592" s="635"/>
      <c r="G592" s="636">
        <v>4.9000000000000004</v>
      </c>
      <c r="H592" s="637">
        <v>137</v>
      </c>
      <c r="I592" s="637">
        <v>3680</v>
      </c>
      <c r="J592" s="638">
        <v>2.7</v>
      </c>
      <c r="K592" s="635"/>
      <c r="L592" s="635"/>
      <c r="M592" s="635"/>
      <c r="N592" s="635"/>
      <c r="O592" s="635"/>
      <c r="P592" s="635"/>
      <c r="Q592" s="635"/>
      <c r="R592" s="635"/>
    </row>
    <row r="593" spans="1:18" x14ac:dyDescent="0.3">
      <c r="A593" s="635"/>
      <c r="B593" s="635" t="s">
        <v>694</v>
      </c>
      <c r="C593" s="635" t="s">
        <v>695</v>
      </c>
      <c r="D593" s="635"/>
      <c r="E593" s="635"/>
      <c r="F593" s="635"/>
      <c r="G593" s="636">
        <v>1.4</v>
      </c>
      <c r="H593" s="637">
        <v>38</v>
      </c>
      <c r="I593" s="637">
        <v>890</v>
      </c>
      <c r="J593" s="638">
        <v>6.6</v>
      </c>
      <c r="K593" s="635"/>
      <c r="L593" s="635"/>
      <c r="M593" s="635"/>
      <c r="N593" s="635"/>
      <c r="O593" s="635"/>
      <c r="P593" s="635"/>
      <c r="Q593" s="635"/>
      <c r="R593" s="635"/>
    </row>
    <row r="594" spans="1:18" x14ac:dyDescent="0.3">
      <c r="A594" s="635"/>
      <c r="B594" s="635" t="s">
        <v>696</v>
      </c>
      <c r="C594" s="635" t="s">
        <v>697</v>
      </c>
      <c r="D594" s="635"/>
      <c r="E594" s="635"/>
      <c r="F594" s="635"/>
      <c r="G594" s="636">
        <v>0.9</v>
      </c>
      <c r="H594" s="637">
        <v>25</v>
      </c>
      <c r="I594" s="637">
        <v>1200</v>
      </c>
      <c r="J594" s="638">
        <v>3.4</v>
      </c>
      <c r="K594" s="635"/>
      <c r="L594" s="635"/>
      <c r="M594" s="635"/>
      <c r="N594" s="635"/>
      <c r="O594" s="635"/>
      <c r="P594" s="635"/>
      <c r="Q594" s="635"/>
      <c r="R594" s="635"/>
    </row>
    <row r="595" spans="1:18" x14ac:dyDescent="0.3">
      <c r="A595" s="635"/>
      <c r="B595" s="635" t="s">
        <v>698</v>
      </c>
      <c r="C595" s="635" t="s">
        <v>699</v>
      </c>
      <c r="D595" s="635"/>
      <c r="E595" s="635"/>
      <c r="F595" s="635"/>
      <c r="G595" s="636">
        <v>1.1000000000000001</v>
      </c>
      <c r="H595" s="637">
        <v>31</v>
      </c>
      <c r="I595" s="637">
        <v>2000</v>
      </c>
      <c r="J595" s="638">
        <v>3.5</v>
      </c>
      <c r="K595" s="635"/>
      <c r="L595" s="635"/>
      <c r="M595" s="635"/>
      <c r="N595" s="635"/>
      <c r="O595" s="635"/>
      <c r="P595" s="635"/>
      <c r="Q595" s="635"/>
      <c r="R595" s="635"/>
    </row>
    <row r="596" spans="1:18" x14ac:dyDescent="0.3">
      <c r="A596" s="635"/>
      <c r="B596" s="635" t="s">
        <v>700</v>
      </c>
      <c r="C596" s="635" t="s">
        <v>701</v>
      </c>
      <c r="D596" s="635"/>
      <c r="E596" s="635"/>
      <c r="F596" s="635"/>
      <c r="G596" s="636">
        <v>1</v>
      </c>
      <c r="H596" s="637">
        <v>28</v>
      </c>
      <c r="I596" s="637">
        <v>1400</v>
      </c>
      <c r="J596" s="638">
        <v>5.3</v>
      </c>
      <c r="K596" s="635"/>
      <c r="L596" s="635"/>
      <c r="M596" s="635"/>
      <c r="N596" s="635"/>
      <c r="O596" s="635"/>
      <c r="P596" s="635"/>
      <c r="Q596" s="635"/>
      <c r="R596" s="635"/>
    </row>
    <row r="597" spans="1:18" x14ac:dyDescent="0.3">
      <c r="A597" s="635"/>
      <c r="B597" s="635" t="s">
        <v>702</v>
      </c>
      <c r="C597" s="635" t="s">
        <v>703</v>
      </c>
      <c r="D597" s="635"/>
      <c r="E597" s="635"/>
      <c r="F597" s="635"/>
      <c r="G597" s="636">
        <v>0.6</v>
      </c>
      <c r="H597" s="637">
        <v>16</v>
      </c>
      <c r="I597" s="637">
        <v>1090</v>
      </c>
      <c r="J597" s="638">
        <v>5</v>
      </c>
      <c r="K597" s="635"/>
      <c r="L597" s="635"/>
      <c r="M597" s="635"/>
      <c r="N597" s="635"/>
      <c r="O597" s="635"/>
      <c r="P597" s="635"/>
      <c r="Q597" s="635"/>
      <c r="R597" s="635"/>
    </row>
    <row r="598" spans="1:18" x14ac:dyDescent="0.3">
      <c r="A598" s="635"/>
      <c r="B598" s="635"/>
      <c r="C598" s="635"/>
      <c r="D598" s="635"/>
      <c r="E598" s="635"/>
      <c r="F598" s="635"/>
      <c r="G598" s="636"/>
      <c r="H598" s="637"/>
      <c r="I598" s="637"/>
      <c r="J598" s="638"/>
      <c r="K598" s="635"/>
      <c r="L598" s="635"/>
      <c r="M598" s="635"/>
      <c r="N598" s="635"/>
      <c r="O598" s="635"/>
      <c r="P598" s="635"/>
      <c r="Q598" s="635"/>
      <c r="R598" s="635"/>
    </row>
    <row r="599" spans="1:18" x14ac:dyDescent="0.3">
      <c r="A599" s="635">
        <v>9.6</v>
      </c>
      <c r="B599" s="635" t="s">
        <v>1363</v>
      </c>
      <c r="C599" s="635"/>
      <c r="D599" s="635"/>
      <c r="E599" s="635"/>
      <c r="F599" s="635"/>
      <c r="G599" s="636">
        <v>5.8</v>
      </c>
      <c r="H599" s="637">
        <v>164</v>
      </c>
      <c r="I599" s="637">
        <v>350</v>
      </c>
      <c r="J599" s="638">
        <v>13.8</v>
      </c>
      <c r="K599" s="635"/>
      <c r="L599" s="635"/>
      <c r="M599" s="635"/>
      <c r="N599" s="635"/>
      <c r="O599" s="635"/>
      <c r="P599" s="635"/>
      <c r="Q599" s="635"/>
      <c r="R599" s="635"/>
    </row>
    <row r="600" spans="1:18" x14ac:dyDescent="0.3">
      <c r="A600" s="635"/>
      <c r="B600" s="635" t="s">
        <v>705</v>
      </c>
      <c r="C600" s="635" t="s">
        <v>706</v>
      </c>
      <c r="D600" s="635"/>
      <c r="E600" s="635"/>
      <c r="F600" s="635"/>
      <c r="G600" s="636">
        <v>0.8</v>
      </c>
      <c r="H600" s="637">
        <v>22</v>
      </c>
      <c r="I600" s="637">
        <v>110</v>
      </c>
      <c r="J600" s="638">
        <v>18.2</v>
      </c>
      <c r="K600" s="635"/>
      <c r="L600" s="635"/>
      <c r="M600" s="635"/>
      <c r="N600" s="635"/>
      <c r="O600" s="635"/>
      <c r="P600" s="635"/>
      <c r="Q600" s="635"/>
      <c r="R600" s="635"/>
    </row>
    <row r="601" spans="1:18" x14ac:dyDescent="0.3">
      <c r="A601" s="635"/>
      <c r="B601" s="635" t="s">
        <v>707</v>
      </c>
      <c r="C601" s="635" t="s">
        <v>708</v>
      </c>
      <c r="D601" s="635"/>
      <c r="E601" s="635"/>
      <c r="F601" s="635"/>
      <c r="G601" s="636">
        <v>5</v>
      </c>
      <c r="H601" s="637">
        <v>142</v>
      </c>
      <c r="I601" s="637">
        <v>250</v>
      </c>
      <c r="J601" s="638">
        <v>15.7</v>
      </c>
      <c r="K601" s="635"/>
      <c r="L601" s="635"/>
      <c r="M601" s="635"/>
      <c r="N601" s="635"/>
      <c r="O601" s="635"/>
      <c r="P601" s="635"/>
      <c r="Q601" s="635"/>
      <c r="R601" s="635"/>
    </row>
    <row r="602" spans="1:18" x14ac:dyDescent="0.3">
      <c r="A602" s="635"/>
      <c r="B602" s="635"/>
      <c r="C602" s="635"/>
      <c r="D602" s="635"/>
      <c r="E602" s="635"/>
      <c r="F602" s="635"/>
      <c r="G602" s="636"/>
      <c r="H602" s="637"/>
      <c r="I602" s="637"/>
      <c r="J602" s="638"/>
      <c r="K602" s="635"/>
      <c r="L602" s="635"/>
      <c r="M602" s="635"/>
      <c r="N602" s="635"/>
      <c r="O602" s="635"/>
      <c r="P602" s="635"/>
      <c r="Q602" s="635"/>
      <c r="R602" s="635"/>
    </row>
    <row r="603" spans="1:18" s="55" customFormat="1" ht="4.2" customHeight="1" x14ac:dyDescent="0.2">
      <c r="A603" s="45"/>
      <c r="B603" s="45"/>
      <c r="C603" s="45"/>
      <c r="D603" s="47"/>
      <c r="E603" s="47"/>
      <c r="F603" s="48"/>
      <c r="G603" s="293"/>
      <c r="H603" s="623"/>
      <c r="I603" s="623"/>
      <c r="J603" s="258"/>
      <c r="K603" s="78"/>
      <c r="L603" s="78"/>
      <c r="M603" s="255"/>
      <c r="N603" s="255"/>
    </row>
    <row r="604" spans="1:18" s="662" customFormat="1" ht="12" x14ac:dyDescent="0.2">
      <c r="A604" s="631">
        <v>10</v>
      </c>
      <c r="B604" s="631" t="s">
        <v>16</v>
      </c>
      <c r="C604" s="631"/>
      <c r="D604" s="631"/>
      <c r="E604" s="631"/>
      <c r="F604" s="631"/>
      <c r="G604" s="632">
        <v>8.3000000000000007</v>
      </c>
      <c r="H604" s="633">
        <v>235</v>
      </c>
      <c r="I604" s="633">
        <v>190</v>
      </c>
      <c r="J604" s="634">
        <v>9.1999999999999993</v>
      </c>
      <c r="K604" s="631"/>
      <c r="L604" s="631"/>
      <c r="M604" s="631"/>
      <c r="N604" s="631"/>
      <c r="O604" s="631"/>
      <c r="P604" s="631"/>
      <c r="Q604" s="631"/>
      <c r="R604" s="631"/>
    </row>
    <row r="605" spans="1:18" x14ac:dyDescent="0.3">
      <c r="A605" s="635"/>
      <c r="B605" s="635"/>
      <c r="C605" s="635"/>
      <c r="D605" s="635"/>
      <c r="E605" s="635"/>
      <c r="F605" s="635"/>
      <c r="G605" s="636"/>
      <c r="H605" s="637"/>
      <c r="I605" s="637"/>
      <c r="J605" s="638"/>
      <c r="K605" s="635"/>
      <c r="L605" s="635"/>
      <c r="M605" s="635"/>
      <c r="N605" s="635"/>
      <c r="O605" s="635"/>
      <c r="P605" s="635"/>
      <c r="Q605" s="635"/>
      <c r="R605" s="635"/>
    </row>
    <row r="606" spans="1:18" x14ac:dyDescent="0.3">
      <c r="A606" s="635">
        <v>10.1</v>
      </c>
      <c r="B606" s="635" t="s">
        <v>709</v>
      </c>
      <c r="C606" s="635"/>
      <c r="D606" s="635"/>
      <c r="E606" s="635"/>
      <c r="F606" s="635"/>
      <c r="G606" s="636">
        <v>8.1999999999999993</v>
      </c>
      <c r="H606" s="637">
        <v>231</v>
      </c>
      <c r="I606" s="637">
        <v>170</v>
      </c>
      <c r="J606" s="638">
        <v>9.3000000000000007</v>
      </c>
      <c r="K606" s="635"/>
      <c r="L606" s="635"/>
      <c r="M606" s="635"/>
      <c r="N606" s="635"/>
      <c r="O606" s="635"/>
      <c r="P606" s="635"/>
      <c r="Q606" s="635"/>
      <c r="R606" s="635"/>
    </row>
    <row r="607" spans="1:18" x14ac:dyDescent="0.3">
      <c r="A607" s="635"/>
      <c r="B607" s="635" t="s">
        <v>710</v>
      </c>
      <c r="C607" s="635" t="s">
        <v>711</v>
      </c>
      <c r="D607" s="635"/>
      <c r="E607" s="635"/>
      <c r="F607" s="635"/>
      <c r="G607" s="636">
        <v>1.6</v>
      </c>
      <c r="H607" s="637">
        <v>46</v>
      </c>
      <c r="I607" s="637">
        <v>20</v>
      </c>
      <c r="J607" s="638">
        <v>16.600000000000001</v>
      </c>
      <c r="K607" s="635"/>
      <c r="L607" s="635"/>
      <c r="M607" s="635"/>
      <c r="N607" s="635"/>
      <c r="O607" s="635"/>
      <c r="P607" s="635"/>
      <c r="Q607" s="635"/>
      <c r="R607" s="635"/>
    </row>
    <row r="608" spans="1:18" x14ac:dyDescent="0.3">
      <c r="A608" s="635"/>
      <c r="B608" s="635" t="s">
        <v>712</v>
      </c>
      <c r="C608" s="635" t="s">
        <v>713</v>
      </c>
      <c r="D608" s="635"/>
      <c r="E608" s="635"/>
      <c r="F608" s="635"/>
      <c r="G608" s="636">
        <v>1.8</v>
      </c>
      <c r="H608" s="637">
        <v>50</v>
      </c>
      <c r="I608" s="637">
        <v>30</v>
      </c>
      <c r="J608" s="638">
        <v>21.6</v>
      </c>
      <c r="K608" s="635"/>
      <c r="L608" s="635"/>
      <c r="M608" s="635"/>
      <c r="N608" s="635"/>
      <c r="O608" s="635"/>
      <c r="P608" s="635"/>
      <c r="Q608" s="635"/>
      <c r="R608" s="635"/>
    </row>
    <row r="609" spans="1:18" x14ac:dyDescent="0.3">
      <c r="A609" s="635"/>
      <c r="B609" s="635" t="s">
        <v>714</v>
      </c>
      <c r="C609" s="635" t="s">
        <v>715</v>
      </c>
      <c r="D609" s="635"/>
      <c r="E609" s="635"/>
      <c r="F609" s="635"/>
      <c r="G609" s="636">
        <v>0.4</v>
      </c>
      <c r="H609" s="637">
        <v>12</v>
      </c>
      <c r="I609" s="637">
        <v>20</v>
      </c>
      <c r="J609" s="638">
        <v>36.5</v>
      </c>
      <c r="K609" s="635"/>
      <c r="L609" s="635"/>
      <c r="M609" s="635"/>
      <c r="N609" s="635"/>
      <c r="O609" s="635"/>
      <c r="P609" s="635"/>
      <c r="Q609" s="635"/>
      <c r="R609" s="635"/>
    </row>
    <row r="610" spans="1:18" x14ac:dyDescent="0.3">
      <c r="A610" s="635"/>
      <c r="B610" s="635" t="s">
        <v>716</v>
      </c>
      <c r="C610" s="635" t="s">
        <v>717</v>
      </c>
      <c r="D610" s="635"/>
      <c r="E610" s="635"/>
      <c r="F610" s="635"/>
      <c r="G610" s="636">
        <v>3.4</v>
      </c>
      <c r="H610" s="637">
        <v>95</v>
      </c>
      <c r="I610" s="637">
        <v>30</v>
      </c>
      <c r="J610" s="638">
        <v>15.4</v>
      </c>
      <c r="K610" s="635"/>
      <c r="L610" s="635"/>
      <c r="M610" s="635"/>
      <c r="N610" s="635"/>
      <c r="O610" s="635"/>
      <c r="P610" s="635"/>
      <c r="Q610" s="635"/>
      <c r="R610" s="635"/>
    </row>
    <row r="611" spans="1:18" x14ac:dyDescent="0.3">
      <c r="A611" s="635"/>
      <c r="B611" s="635" t="s">
        <v>718</v>
      </c>
      <c r="C611" s="635" t="s">
        <v>719</v>
      </c>
      <c r="D611" s="635"/>
      <c r="E611" s="635"/>
      <c r="F611" s="635"/>
      <c r="G611" s="636">
        <v>1.1000000000000001</v>
      </c>
      <c r="H611" s="637">
        <v>30</v>
      </c>
      <c r="I611" s="637">
        <v>80</v>
      </c>
      <c r="J611" s="638">
        <v>9.3000000000000007</v>
      </c>
      <c r="K611" s="635"/>
      <c r="L611" s="635"/>
      <c r="M611" s="635"/>
      <c r="N611" s="635"/>
      <c r="O611" s="635"/>
      <c r="P611" s="635"/>
      <c r="Q611" s="635"/>
      <c r="R611" s="635"/>
    </row>
    <row r="612" spans="1:18" x14ac:dyDescent="0.3">
      <c r="A612" s="635"/>
      <c r="B612" s="635"/>
      <c r="C612" s="635"/>
      <c r="D612" s="635"/>
      <c r="E612" s="635"/>
      <c r="F612" s="635"/>
      <c r="G612" s="636"/>
      <c r="H612" s="637"/>
      <c r="I612" s="637"/>
      <c r="J612" s="638"/>
      <c r="K612" s="635"/>
      <c r="L612" s="635"/>
      <c r="M612" s="635"/>
      <c r="N612" s="635"/>
      <c r="O612" s="635"/>
      <c r="P612" s="635"/>
      <c r="Q612" s="635"/>
      <c r="R612" s="635"/>
    </row>
    <row r="613" spans="1:18" x14ac:dyDescent="0.3">
      <c r="A613" s="635">
        <v>10.199999999999999</v>
      </c>
      <c r="B613" s="635" t="s">
        <v>720</v>
      </c>
      <c r="C613" s="635"/>
      <c r="D613" s="635"/>
      <c r="E613" s="635"/>
      <c r="F613" s="635"/>
      <c r="G613" s="636">
        <v>0.1</v>
      </c>
      <c r="H613" s="637">
        <v>3</v>
      </c>
      <c r="I613" s="637">
        <v>20</v>
      </c>
      <c r="J613" s="638">
        <v>47.5</v>
      </c>
      <c r="K613" s="635"/>
      <c r="L613" s="635"/>
      <c r="M613" s="635"/>
      <c r="N613" s="635"/>
      <c r="O613" s="635"/>
      <c r="P613" s="635"/>
      <c r="Q613" s="635"/>
      <c r="R613" s="635"/>
    </row>
    <row r="614" spans="1:18" x14ac:dyDescent="0.3">
      <c r="A614" s="635"/>
      <c r="B614" s="635" t="s">
        <v>721</v>
      </c>
      <c r="C614" s="635" t="s">
        <v>711</v>
      </c>
      <c r="D614" s="635"/>
      <c r="E614" s="635"/>
      <c r="F614" s="635"/>
      <c r="G614" s="655" t="s">
        <v>230</v>
      </c>
      <c r="H614" s="656" t="s">
        <v>230</v>
      </c>
      <c r="I614" s="656" t="s">
        <v>230</v>
      </c>
      <c r="J614" s="657" t="s">
        <v>230</v>
      </c>
      <c r="K614" s="635"/>
      <c r="L614" s="635"/>
      <c r="M614" s="635"/>
      <c r="N614" s="635"/>
      <c r="O614" s="635"/>
      <c r="P614" s="635"/>
      <c r="Q614" s="635"/>
      <c r="R614" s="635"/>
    </row>
    <row r="615" spans="1:18" x14ac:dyDescent="0.3">
      <c r="A615" s="635"/>
      <c r="B615" s="635" t="s">
        <v>722</v>
      </c>
      <c r="C615" s="635" t="s">
        <v>713</v>
      </c>
      <c r="D615" s="635"/>
      <c r="E615" s="635"/>
      <c r="F615" s="635"/>
      <c r="G615" s="655" t="s">
        <v>230</v>
      </c>
      <c r="H615" s="656" t="s">
        <v>230</v>
      </c>
      <c r="I615" s="656" t="s">
        <v>230</v>
      </c>
      <c r="J615" s="657" t="s">
        <v>230</v>
      </c>
      <c r="K615" s="635"/>
      <c r="L615" s="635"/>
      <c r="M615" s="635"/>
      <c r="N615" s="635"/>
      <c r="O615" s="635"/>
      <c r="P615" s="635"/>
      <c r="Q615" s="635"/>
      <c r="R615" s="635"/>
    </row>
    <row r="616" spans="1:18" x14ac:dyDescent="0.3">
      <c r="A616" s="635"/>
      <c r="B616" s="635" t="s">
        <v>723</v>
      </c>
      <c r="C616" s="635" t="s">
        <v>715</v>
      </c>
      <c r="D616" s="635"/>
      <c r="E616" s="635"/>
      <c r="F616" s="635"/>
      <c r="G616" s="655" t="s">
        <v>367</v>
      </c>
      <c r="H616" s="656" t="s">
        <v>367</v>
      </c>
      <c r="I616" s="656" t="s">
        <v>367</v>
      </c>
      <c r="J616" s="657" t="s">
        <v>230</v>
      </c>
      <c r="K616" s="635"/>
      <c r="L616" s="635"/>
      <c r="M616" s="635"/>
      <c r="N616" s="635"/>
      <c r="O616" s="635"/>
      <c r="P616" s="635"/>
      <c r="Q616" s="635"/>
      <c r="R616" s="635"/>
    </row>
    <row r="617" spans="1:18" x14ac:dyDescent="0.3">
      <c r="A617" s="635"/>
      <c r="B617" s="635" t="s">
        <v>724</v>
      </c>
      <c r="C617" s="635" t="s">
        <v>717</v>
      </c>
      <c r="D617" s="635"/>
      <c r="E617" s="635"/>
      <c r="F617" s="635"/>
      <c r="G617" s="655" t="s">
        <v>230</v>
      </c>
      <c r="H617" s="656" t="s">
        <v>230</v>
      </c>
      <c r="I617" s="656" t="s">
        <v>230</v>
      </c>
      <c r="J617" s="657" t="s">
        <v>230</v>
      </c>
      <c r="K617" s="635"/>
      <c r="L617" s="635"/>
      <c r="M617" s="635"/>
      <c r="N617" s="635"/>
      <c r="O617" s="635"/>
      <c r="P617" s="635"/>
      <c r="Q617" s="635"/>
      <c r="R617" s="635"/>
    </row>
    <row r="618" spans="1:18" x14ac:dyDescent="0.3">
      <c r="A618" s="635"/>
      <c r="B618" s="635" t="s">
        <v>725</v>
      </c>
      <c r="C618" s="635" t="s">
        <v>719</v>
      </c>
      <c r="D618" s="635"/>
      <c r="E618" s="635"/>
      <c r="F618" s="635"/>
      <c r="G618" s="655" t="s">
        <v>230</v>
      </c>
      <c r="H618" s="656" t="s">
        <v>230</v>
      </c>
      <c r="I618" s="656" t="s">
        <v>230</v>
      </c>
      <c r="J618" s="657" t="s">
        <v>230</v>
      </c>
      <c r="K618" s="635"/>
      <c r="L618" s="635"/>
      <c r="M618" s="635"/>
      <c r="N618" s="635"/>
      <c r="O618" s="635"/>
      <c r="P618" s="635"/>
      <c r="Q618" s="635"/>
      <c r="R618" s="635"/>
    </row>
    <row r="619" spans="1:18" s="55" customFormat="1" ht="4.2" customHeight="1" x14ac:dyDescent="0.2">
      <c r="A619" s="45"/>
      <c r="B619" s="45"/>
      <c r="C619" s="45"/>
      <c r="D619" s="47"/>
      <c r="E619" s="47"/>
      <c r="F619" s="48"/>
      <c r="G619" s="293"/>
      <c r="H619" s="623"/>
      <c r="I619" s="623"/>
      <c r="J619" s="258"/>
      <c r="K619" s="78"/>
      <c r="L619" s="78"/>
      <c r="M619" s="255"/>
      <c r="N619" s="255"/>
    </row>
    <row r="620" spans="1:18" x14ac:dyDescent="0.3">
      <c r="A620" s="635"/>
      <c r="B620" s="635"/>
      <c r="C620" s="635"/>
      <c r="D620" s="635"/>
      <c r="E620" s="635"/>
      <c r="F620" s="635"/>
      <c r="G620" s="636"/>
      <c r="H620" s="637"/>
      <c r="I620" s="637"/>
      <c r="J620" s="638"/>
      <c r="K620" s="635"/>
      <c r="L620" s="635"/>
      <c r="M620" s="635"/>
      <c r="N620" s="635"/>
      <c r="O620" s="635"/>
      <c r="P620" s="635"/>
      <c r="Q620" s="635"/>
      <c r="R620" s="635"/>
    </row>
    <row r="621" spans="1:18" x14ac:dyDescent="0.3">
      <c r="A621" s="635" t="s">
        <v>111</v>
      </c>
      <c r="B621" s="635"/>
      <c r="C621" s="635"/>
      <c r="D621" s="635"/>
      <c r="E621" s="635"/>
      <c r="F621" s="635"/>
      <c r="G621" s="636"/>
      <c r="H621" s="637"/>
      <c r="I621" s="637"/>
      <c r="J621" s="638"/>
      <c r="K621" s="635"/>
      <c r="L621" s="635"/>
      <c r="M621" s="635"/>
      <c r="N621" s="635"/>
      <c r="O621" s="635"/>
      <c r="P621" s="635"/>
      <c r="Q621" s="635"/>
      <c r="R621" s="635"/>
    </row>
    <row r="622" spans="1:18" x14ac:dyDescent="0.3">
      <c r="A622" s="635" t="s">
        <v>182</v>
      </c>
      <c r="B622" s="635"/>
      <c r="C622" s="635"/>
      <c r="D622" s="635"/>
      <c r="E622" s="635"/>
      <c r="F622" s="635"/>
      <c r="G622" s="636"/>
      <c r="H622" s="637"/>
      <c r="I622" s="637"/>
      <c r="J622" s="638"/>
      <c r="K622" s="635"/>
      <c r="L622" s="635"/>
      <c r="M622" s="635"/>
      <c r="N622" s="635"/>
      <c r="O622" s="635"/>
      <c r="P622" s="635"/>
      <c r="Q622" s="635"/>
      <c r="R622" s="635"/>
    </row>
    <row r="623" spans="1:18" x14ac:dyDescent="0.3">
      <c r="A623" s="635" t="s">
        <v>112</v>
      </c>
      <c r="B623" s="635"/>
      <c r="C623" s="635"/>
      <c r="D623" s="635"/>
      <c r="E623" s="635"/>
      <c r="F623" s="635"/>
      <c r="G623" s="636"/>
      <c r="H623" s="637"/>
      <c r="I623" s="637"/>
      <c r="J623" s="638"/>
      <c r="K623" s="635"/>
      <c r="L623" s="635"/>
      <c r="M623" s="635"/>
      <c r="N623" s="635"/>
      <c r="O623" s="635"/>
      <c r="P623" s="635"/>
      <c r="Q623" s="635"/>
      <c r="R623" s="635"/>
    </row>
    <row r="624" spans="1:18" x14ac:dyDescent="0.3">
      <c r="A624" s="635" t="s">
        <v>726</v>
      </c>
      <c r="B624" s="635"/>
      <c r="C624" s="635"/>
      <c r="D624" s="635"/>
      <c r="E624" s="635"/>
      <c r="F624" s="635"/>
      <c r="G624" s="636"/>
      <c r="H624" s="637"/>
      <c r="I624" s="637"/>
      <c r="J624" s="638"/>
      <c r="K624" s="635"/>
      <c r="L624" s="635"/>
      <c r="M624" s="635"/>
      <c r="N624" s="635"/>
      <c r="O624" s="635"/>
      <c r="P624" s="635"/>
      <c r="Q624" s="635"/>
      <c r="R624" s="635"/>
    </row>
    <row r="625" spans="1:18" x14ac:dyDescent="0.3">
      <c r="A625" s="635" t="s">
        <v>727</v>
      </c>
      <c r="B625" s="635"/>
      <c r="C625" s="635"/>
      <c r="D625" s="635"/>
      <c r="E625" s="635"/>
      <c r="F625" s="635"/>
      <c r="G625" s="636"/>
      <c r="H625" s="637"/>
      <c r="I625" s="637"/>
      <c r="J625" s="638"/>
      <c r="K625" s="635"/>
      <c r="L625" s="635"/>
      <c r="M625" s="635"/>
      <c r="N625" s="635"/>
      <c r="O625" s="635"/>
      <c r="P625" s="635"/>
      <c r="Q625" s="635"/>
      <c r="R625" s="635"/>
    </row>
    <row r="626" spans="1:18" x14ac:dyDescent="0.3">
      <c r="A626" s="635" t="s">
        <v>728</v>
      </c>
      <c r="B626" s="635"/>
      <c r="C626" s="635"/>
      <c r="D626" s="635"/>
      <c r="E626" s="635"/>
      <c r="F626" s="635"/>
      <c r="G626" s="636"/>
      <c r="H626" s="637"/>
      <c r="I626" s="637"/>
      <c r="J626" s="638"/>
      <c r="K626" s="635"/>
      <c r="L626" s="635"/>
      <c r="M626" s="635"/>
      <c r="N626" s="635"/>
      <c r="O626" s="635"/>
      <c r="P626" s="635"/>
      <c r="Q626" s="635"/>
      <c r="R626" s="635"/>
    </row>
    <row r="627" spans="1:18" x14ac:dyDescent="0.3">
      <c r="A627" s="635" t="s">
        <v>729</v>
      </c>
      <c r="B627" s="635"/>
      <c r="C627" s="635"/>
      <c r="D627" s="635"/>
      <c r="E627" s="635"/>
      <c r="F627" s="635"/>
      <c r="G627" s="636"/>
      <c r="H627" s="637"/>
      <c r="I627" s="637"/>
      <c r="J627" s="638"/>
      <c r="K627" s="635"/>
      <c r="L627" s="635"/>
      <c r="M627" s="635"/>
      <c r="N627" s="635"/>
      <c r="O627" s="635"/>
      <c r="P627" s="635"/>
      <c r="Q627" s="635"/>
      <c r="R627" s="635"/>
    </row>
    <row r="628" spans="1:18" x14ac:dyDescent="0.3">
      <c r="A628" s="635"/>
      <c r="B628" s="635"/>
      <c r="C628" s="635"/>
      <c r="D628" s="635"/>
      <c r="E628" s="635"/>
      <c r="F628" s="635"/>
      <c r="G628" s="636"/>
      <c r="H628" s="637"/>
      <c r="I628" s="637"/>
      <c r="J628" s="638"/>
      <c r="K628" s="635"/>
      <c r="L628" s="635"/>
      <c r="M628" s="635"/>
      <c r="N628" s="635"/>
      <c r="O628" s="635"/>
      <c r="P628" s="635"/>
      <c r="Q628" s="635"/>
      <c r="R628" s="635"/>
    </row>
    <row r="629" spans="1:18" x14ac:dyDescent="0.3">
      <c r="G629" s="643"/>
    </row>
    <row r="630" spans="1:18" x14ac:dyDescent="0.3">
      <c r="G630" s="643"/>
    </row>
    <row r="631" spans="1:18" x14ac:dyDescent="0.3">
      <c r="G631" s="643"/>
    </row>
    <row r="632" spans="1:18" ht="15.6" x14ac:dyDescent="0.3">
      <c r="A632" s="159" t="s">
        <v>114</v>
      </c>
      <c r="B632" s="129"/>
      <c r="C632" s="157"/>
      <c r="D632" s="219"/>
      <c r="E632" s="219"/>
      <c r="F632" s="130"/>
      <c r="G632" s="219"/>
      <c r="H632" s="649"/>
      <c r="I632" s="649"/>
      <c r="J632" s="135"/>
      <c r="K632" s="218"/>
    </row>
    <row r="633" spans="1:18" ht="34.799999999999997" x14ac:dyDescent="0.3">
      <c r="A633" s="160" t="s">
        <v>183</v>
      </c>
      <c r="B633" s="161"/>
      <c r="C633" s="31"/>
      <c r="D633" s="32"/>
      <c r="E633" s="32"/>
      <c r="F633" s="33"/>
      <c r="G633" s="658"/>
      <c r="H633" s="659"/>
      <c r="I633" s="659"/>
      <c r="J633" s="646"/>
      <c r="K633" s="37"/>
    </row>
    <row r="634" spans="1:18" ht="17.399999999999999" x14ac:dyDescent="0.3">
      <c r="A634" s="41" t="s">
        <v>1360</v>
      </c>
      <c r="B634" s="168"/>
      <c r="C634" s="43"/>
      <c r="D634" s="44"/>
      <c r="E634" s="32"/>
      <c r="F634" s="33"/>
      <c r="G634" s="658"/>
      <c r="H634" s="659"/>
      <c r="I634" s="659"/>
      <c r="J634" s="660"/>
      <c r="K634" s="37"/>
    </row>
    <row r="635" spans="1:18" ht="5.55" customHeight="1" x14ac:dyDescent="0.3">
      <c r="A635" s="71"/>
      <c r="B635" s="71"/>
      <c r="C635" s="72"/>
      <c r="D635" s="73"/>
      <c r="E635" s="73"/>
      <c r="F635" s="73"/>
      <c r="G635" s="73"/>
      <c r="H635" s="648"/>
      <c r="I635" s="648"/>
      <c r="J635" s="624"/>
      <c r="K635" s="53"/>
    </row>
    <row r="636" spans="1:18" x14ac:dyDescent="0.3">
      <c r="A636" s="81"/>
      <c r="B636" s="81"/>
      <c r="C636" s="55"/>
      <c r="D636" s="84"/>
      <c r="E636" s="84"/>
      <c r="F636" s="84"/>
      <c r="G636" s="219"/>
      <c r="H636" s="649"/>
      <c r="I636" s="649"/>
      <c r="J636" s="217"/>
      <c r="K636" s="53"/>
    </row>
    <row r="637" spans="1:18" x14ac:dyDescent="0.3">
      <c r="A637" s="172"/>
      <c r="B637" s="172"/>
      <c r="C637" s="173"/>
      <c r="D637" s="174"/>
      <c r="E637" s="174"/>
      <c r="F637" s="59"/>
      <c r="G637" s="650" t="s">
        <v>116</v>
      </c>
      <c r="H637" s="622" t="s">
        <v>25</v>
      </c>
      <c r="I637" s="622" t="s">
        <v>26</v>
      </c>
      <c r="J637" s="63" t="s">
        <v>117</v>
      </c>
      <c r="K637" s="179"/>
    </row>
    <row r="638" spans="1:18" x14ac:dyDescent="0.3">
      <c r="A638" s="172"/>
      <c r="B638" s="172"/>
      <c r="C638" s="181"/>
      <c r="D638" s="174"/>
      <c r="E638" s="174"/>
      <c r="F638" s="59"/>
      <c r="G638" s="651" t="s">
        <v>29</v>
      </c>
      <c r="H638" s="622" t="s">
        <v>27</v>
      </c>
      <c r="I638" s="622" t="s">
        <v>28</v>
      </c>
      <c r="J638" s="63" t="s">
        <v>118</v>
      </c>
      <c r="K638" s="179"/>
    </row>
    <row r="639" spans="1:18" x14ac:dyDescent="0.3">
      <c r="A639" s="172"/>
      <c r="B639" s="172"/>
      <c r="C639" s="181"/>
      <c r="D639" s="174"/>
      <c r="E639" s="174"/>
      <c r="F639" s="59"/>
      <c r="G639" s="650" t="s">
        <v>31</v>
      </c>
      <c r="H639" s="622" t="s">
        <v>29</v>
      </c>
      <c r="I639" s="622" t="s">
        <v>30</v>
      </c>
      <c r="J639" s="63" t="s">
        <v>119</v>
      </c>
      <c r="K639" s="179"/>
    </row>
    <row r="640" spans="1:18" x14ac:dyDescent="0.3">
      <c r="A640" s="172"/>
      <c r="B640" s="172"/>
      <c r="C640" s="181"/>
      <c r="D640" s="174"/>
      <c r="E640" s="174"/>
      <c r="F640" s="59"/>
      <c r="G640" s="651" t="s">
        <v>32</v>
      </c>
      <c r="H640" s="622" t="s">
        <v>33</v>
      </c>
      <c r="I640" s="622" t="s">
        <v>120</v>
      </c>
      <c r="J640" s="63" t="s">
        <v>121</v>
      </c>
      <c r="K640" s="179"/>
    </row>
    <row r="641" spans="1:14" x14ac:dyDescent="0.3">
      <c r="A641" s="71"/>
      <c r="B641" s="71"/>
      <c r="C641" s="72"/>
      <c r="D641" s="73"/>
      <c r="E641" s="73"/>
      <c r="F641" s="73"/>
      <c r="G641" s="73"/>
      <c r="H641" s="648"/>
      <c r="I641" s="648"/>
      <c r="J641" s="624"/>
      <c r="K641" s="53"/>
    </row>
    <row r="642" spans="1:14" ht="2.5499999999999998" customHeight="1" x14ac:dyDescent="0.3">
      <c r="A642" s="80"/>
      <c r="B642" s="81"/>
      <c r="C642" s="82"/>
      <c r="D642" s="83"/>
      <c r="E642" s="83"/>
      <c r="F642" s="84"/>
      <c r="G642" s="83"/>
      <c r="H642" s="661"/>
      <c r="I642" s="661"/>
      <c r="J642" s="231"/>
      <c r="K642" s="53"/>
    </row>
    <row r="643" spans="1:14" x14ac:dyDescent="0.3">
      <c r="A643" s="111" t="s">
        <v>123</v>
      </c>
      <c r="B643" s="112"/>
      <c r="C643" s="113"/>
      <c r="D643" s="93"/>
      <c r="E643" s="93"/>
      <c r="F643" t="s">
        <v>124</v>
      </c>
      <c r="G643" s="643"/>
    </row>
    <row r="644" spans="1:14" x14ac:dyDescent="0.3">
      <c r="A644" s="635"/>
      <c r="B644" s="635"/>
      <c r="C644" s="635"/>
      <c r="D644" s="635"/>
      <c r="E644" s="635"/>
      <c r="F644" s="635"/>
      <c r="G644" s="636"/>
      <c r="H644" s="637"/>
      <c r="I644" s="637"/>
      <c r="J644" s="638"/>
      <c r="K644" s="635"/>
      <c r="L644" s="635"/>
      <c r="M644" s="635"/>
      <c r="N644" s="635"/>
    </row>
    <row r="645" spans="1:14" s="662" customFormat="1" ht="12" x14ac:dyDescent="0.2">
      <c r="A645" s="631">
        <v>11</v>
      </c>
      <c r="B645" s="631" t="s">
        <v>17</v>
      </c>
      <c r="C645" s="631"/>
      <c r="D645" s="631"/>
      <c r="E645" s="631"/>
      <c r="F645" s="631"/>
      <c r="G645" s="632">
        <v>18.3</v>
      </c>
      <c r="H645" s="633">
        <v>516</v>
      </c>
      <c r="I645" s="633">
        <v>3230</v>
      </c>
      <c r="J645" s="634">
        <v>4.7</v>
      </c>
      <c r="K645" s="631"/>
      <c r="L645" s="631"/>
      <c r="M645" s="631"/>
      <c r="N645" s="631"/>
    </row>
    <row r="646" spans="1:14" x14ac:dyDescent="0.3">
      <c r="A646" s="635"/>
      <c r="B646" s="635"/>
      <c r="C646" s="635"/>
      <c r="D646" s="635"/>
      <c r="E646" s="635"/>
      <c r="F646" s="635"/>
      <c r="G646" s="636"/>
      <c r="H646" s="637"/>
      <c r="I646" s="637"/>
      <c r="J646" s="638"/>
      <c r="K646" s="635"/>
      <c r="L646" s="635"/>
      <c r="M646" s="635"/>
      <c r="N646" s="635"/>
    </row>
    <row r="647" spans="1:14" x14ac:dyDescent="0.3">
      <c r="A647" s="635">
        <v>11.1</v>
      </c>
      <c r="B647" s="635" t="s">
        <v>730</v>
      </c>
      <c r="C647" s="635"/>
      <c r="D647" s="635"/>
      <c r="E647" s="635"/>
      <c r="F647" s="635"/>
      <c r="G647" s="636">
        <v>13.6</v>
      </c>
      <c r="H647" s="637">
        <v>383</v>
      </c>
      <c r="I647" s="637">
        <v>3010</v>
      </c>
      <c r="J647" s="638">
        <v>4.9000000000000004</v>
      </c>
      <c r="K647" s="635"/>
      <c r="L647" s="635"/>
      <c r="M647" s="635"/>
      <c r="N647" s="635"/>
    </row>
    <row r="648" spans="1:14" x14ac:dyDescent="0.3">
      <c r="A648" s="635"/>
      <c r="B648" s="635" t="s">
        <v>731</v>
      </c>
      <c r="C648" s="635" t="s">
        <v>732</v>
      </c>
      <c r="D648" s="635"/>
      <c r="E648" s="635"/>
      <c r="F648" s="635"/>
      <c r="G648" s="636">
        <v>4.2</v>
      </c>
      <c r="H648" s="637">
        <v>120</v>
      </c>
      <c r="I648" s="637">
        <v>1250</v>
      </c>
      <c r="J648" s="638">
        <v>8</v>
      </c>
      <c r="K648" s="635"/>
      <c r="L648" s="635"/>
      <c r="M648" s="635"/>
      <c r="N648" s="635"/>
    </row>
    <row r="649" spans="1:14" x14ac:dyDescent="0.3">
      <c r="A649" s="635"/>
      <c r="B649" s="635" t="s">
        <v>733</v>
      </c>
      <c r="C649" s="635" t="s">
        <v>734</v>
      </c>
      <c r="D649" s="635"/>
      <c r="E649" s="635"/>
      <c r="F649" s="635"/>
      <c r="G649" s="636">
        <v>1.6</v>
      </c>
      <c r="H649" s="637">
        <v>45</v>
      </c>
      <c r="I649" s="637">
        <v>590</v>
      </c>
      <c r="J649" s="638">
        <v>15.6</v>
      </c>
      <c r="K649" s="635"/>
      <c r="L649" s="635"/>
      <c r="M649" s="635"/>
      <c r="N649" s="635"/>
    </row>
    <row r="650" spans="1:14" x14ac:dyDescent="0.3">
      <c r="A650" s="635"/>
      <c r="B650" s="635" t="s">
        <v>735</v>
      </c>
      <c r="C650" s="635" t="s">
        <v>736</v>
      </c>
      <c r="D650" s="635"/>
      <c r="E650" s="635"/>
      <c r="F650" s="635"/>
      <c r="G650" s="636">
        <v>5.3</v>
      </c>
      <c r="H650" s="637">
        <v>150</v>
      </c>
      <c r="I650" s="637">
        <v>1740</v>
      </c>
      <c r="J650" s="638">
        <v>2.1</v>
      </c>
      <c r="K650" s="635"/>
      <c r="L650" s="635"/>
      <c r="M650" s="635"/>
      <c r="N650" s="635"/>
    </row>
    <row r="651" spans="1:14" x14ac:dyDescent="0.3">
      <c r="A651" s="635"/>
      <c r="B651" s="635"/>
      <c r="C651" s="635"/>
      <c r="D651" s="635"/>
      <c r="E651" s="635"/>
      <c r="F651" s="635"/>
      <c r="G651" s="636"/>
      <c r="H651" s="637"/>
      <c r="I651" s="637"/>
      <c r="J651" s="638"/>
      <c r="K651" s="635"/>
      <c r="L651" s="635"/>
      <c r="M651" s="635"/>
      <c r="N651" s="635"/>
    </row>
    <row r="652" spans="1:14" x14ac:dyDescent="0.3">
      <c r="A652" s="635"/>
      <c r="B652" s="635" t="s">
        <v>737</v>
      </c>
      <c r="C652" s="635" t="s">
        <v>738</v>
      </c>
      <c r="D652" s="635"/>
      <c r="E652" s="635"/>
      <c r="F652" s="635"/>
      <c r="G652" s="636">
        <v>2</v>
      </c>
      <c r="H652" s="637">
        <v>57</v>
      </c>
      <c r="I652" s="637">
        <v>1460</v>
      </c>
      <c r="J652" s="638">
        <v>5.0999999999999996</v>
      </c>
      <c r="K652" s="635"/>
      <c r="L652" s="635"/>
      <c r="M652" s="635"/>
      <c r="N652" s="635"/>
    </row>
    <row r="653" spans="1:14" x14ac:dyDescent="0.3">
      <c r="A653" s="635"/>
      <c r="B653" s="635"/>
      <c r="C653" s="635" t="s">
        <v>739</v>
      </c>
      <c r="D653" s="635" t="s">
        <v>740</v>
      </c>
      <c r="E653" s="635"/>
      <c r="F653" s="635"/>
      <c r="G653" s="636">
        <v>1.6</v>
      </c>
      <c r="H653" s="637">
        <v>45</v>
      </c>
      <c r="I653" s="637">
        <v>1300</v>
      </c>
      <c r="J653" s="638">
        <v>5.3</v>
      </c>
      <c r="K653" s="635"/>
      <c r="L653" s="635"/>
      <c r="M653" s="635"/>
      <c r="N653" s="635"/>
    </row>
    <row r="654" spans="1:14" x14ac:dyDescent="0.3">
      <c r="A654" s="635"/>
      <c r="B654" s="635"/>
      <c r="C654" s="635" t="s">
        <v>741</v>
      </c>
      <c r="D654" s="635" t="s">
        <v>742</v>
      </c>
      <c r="E654" s="635"/>
      <c r="F654" s="635"/>
      <c r="G654" s="636">
        <v>0.1</v>
      </c>
      <c r="H654" s="637">
        <v>2</v>
      </c>
      <c r="I654" s="637">
        <v>250</v>
      </c>
      <c r="J654" s="638">
        <v>18.600000000000001</v>
      </c>
      <c r="K654" s="635"/>
      <c r="L654" s="635"/>
      <c r="M654" s="635"/>
      <c r="N654" s="635"/>
    </row>
    <row r="655" spans="1:14" x14ac:dyDescent="0.3">
      <c r="A655" s="635"/>
      <c r="B655" s="635"/>
      <c r="C655" s="635" t="s">
        <v>743</v>
      </c>
      <c r="D655" s="635" t="s">
        <v>744</v>
      </c>
      <c r="E655" s="635"/>
      <c r="F655" s="635"/>
      <c r="G655" s="636">
        <v>0.1</v>
      </c>
      <c r="H655" s="637">
        <v>3</v>
      </c>
      <c r="I655" s="637">
        <v>220</v>
      </c>
      <c r="J655" s="638">
        <v>9.6999999999999993</v>
      </c>
      <c r="K655" s="635"/>
      <c r="L655" s="635"/>
      <c r="M655" s="635"/>
      <c r="N655" s="635"/>
    </row>
    <row r="656" spans="1:14" x14ac:dyDescent="0.3">
      <c r="A656" s="635"/>
      <c r="B656" s="635"/>
      <c r="C656" s="635" t="s">
        <v>745</v>
      </c>
      <c r="D656" s="635" t="s">
        <v>110</v>
      </c>
      <c r="E656" s="635"/>
      <c r="F656" s="635"/>
      <c r="G656" s="636">
        <v>0.3</v>
      </c>
      <c r="H656" s="637">
        <v>7</v>
      </c>
      <c r="I656" s="637">
        <v>690</v>
      </c>
      <c r="J656" s="638">
        <v>8.5</v>
      </c>
      <c r="K656" s="635"/>
      <c r="L656" s="635"/>
      <c r="M656" s="635"/>
      <c r="N656" s="635"/>
    </row>
    <row r="657" spans="1:14" x14ac:dyDescent="0.3">
      <c r="A657" s="635"/>
      <c r="B657" s="635"/>
      <c r="C657" s="635"/>
      <c r="D657" s="635"/>
      <c r="E657" s="635"/>
      <c r="F657" s="635"/>
      <c r="G657" s="636"/>
      <c r="H657" s="637"/>
      <c r="I657" s="637"/>
      <c r="J657" s="638"/>
      <c r="K657" s="635"/>
      <c r="L657" s="635"/>
      <c r="M657" s="635"/>
      <c r="N657" s="635"/>
    </row>
    <row r="658" spans="1:14" x14ac:dyDescent="0.3">
      <c r="A658" s="635"/>
      <c r="B658" s="635" t="s">
        <v>746</v>
      </c>
      <c r="C658" s="635" t="s">
        <v>747</v>
      </c>
      <c r="D658" s="635"/>
      <c r="E658" s="635"/>
      <c r="F658" s="635"/>
      <c r="G658" s="636">
        <v>0.1</v>
      </c>
      <c r="H658" s="637">
        <v>2</v>
      </c>
      <c r="I658" s="637">
        <v>20</v>
      </c>
      <c r="J658" s="638">
        <v>357.9</v>
      </c>
      <c r="K658" s="635"/>
      <c r="L658" s="635"/>
      <c r="M658" s="635"/>
      <c r="N658" s="635"/>
    </row>
    <row r="659" spans="1:14" x14ac:dyDescent="0.3">
      <c r="A659" s="635"/>
      <c r="B659" s="635"/>
      <c r="C659" s="635"/>
      <c r="D659" s="635"/>
      <c r="E659" s="635"/>
      <c r="F659" s="635"/>
      <c r="G659" s="636"/>
      <c r="H659" s="637"/>
      <c r="I659" s="637"/>
      <c r="J659" s="638"/>
      <c r="K659" s="635"/>
      <c r="L659" s="635"/>
      <c r="M659" s="635"/>
      <c r="N659" s="635"/>
    </row>
    <row r="660" spans="1:14" x14ac:dyDescent="0.3">
      <c r="A660" s="635"/>
      <c r="B660" s="635" t="s">
        <v>748</v>
      </c>
      <c r="C660" s="635" t="s">
        <v>749</v>
      </c>
      <c r="D660" s="635"/>
      <c r="E660" s="635"/>
      <c r="F660" s="635"/>
      <c r="G660" s="636">
        <v>0.3</v>
      </c>
      <c r="H660" s="637">
        <v>10</v>
      </c>
      <c r="I660" s="637">
        <v>200</v>
      </c>
      <c r="J660" s="638">
        <v>16.899999999999999</v>
      </c>
      <c r="K660" s="635"/>
      <c r="L660" s="635"/>
      <c r="M660" s="635"/>
      <c r="N660" s="635"/>
    </row>
    <row r="661" spans="1:14" x14ac:dyDescent="0.3">
      <c r="A661" s="635"/>
      <c r="B661" s="635"/>
      <c r="C661" s="635" t="s">
        <v>750</v>
      </c>
      <c r="D661" s="635" t="s">
        <v>751</v>
      </c>
      <c r="E661" s="635"/>
      <c r="F661" s="635"/>
      <c r="G661" s="636">
        <v>0.3</v>
      </c>
      <c r="H661" s="637">
        <v>7</v>
      </c>
      <c r="I661" s="637">
        <v>100</v>
      </c>
      <c r="J661" s="638">
        <v>14.9</v>
      </c>
      <c r="K661" s="635"/>
      <c r="L661" s="635"/>
      <c r="M661" s="635"/>
      <c r="N661" s="635"/>
    </row>
    <row r="662" spans="1:14" x14ac:dyDescent="0.3">
      <c r="A662" s="635"/>
      <c r="B662" s="635"/>
      <c r="C662" s="635" t="s">
        <v>752</v>
      </c>
      <c r="D662" s="635" t="s">
        <v>753</v>
      </c>
      <c r="E662" s="635"/>
      <c r="F662" s="635"/>
      <c r="G662" s="636">
        <v>0.1</v>
      </c>
      <c r="H662" s="637">
        <v>2</v>
      </c>
      <c r="I662" s="637">
        <v>100</v>
      </c>
      <c r="J662" s="638">
        <v>47.2</v>
      </c>
      <c r="K662" s="635"/>
      <c r="L662" s="635"/>
      <c r="M662" s="635"/>
      <c r="N662" s="635"/>
    </row>
    <row r="663" spans="1:14" x14ac:dyDescent="0.3">
      <c r="A663" s="635"/>
      <c r="B663" s="635"/>
      <c r="C663" s="635"/>
      <c r="D663" s="635"/>
      <c r="E663" s="635"/>
      <c r="F663" s="635"/>
      <c r="G663" s="636"/>
      <c r="H663" s="637"/>
      <c r="I663" s="637"/>
      <c r="J663" s="638"/>
      <c r="K663" s="635"/>
      <c r="L663" s="635"/>
      <c r="M663" s="635"/>
      <c r="N663" s="635"/>
    </row>
    <row r="664" spans="1:14" x14ac:dyDescent="0.3">
      <c r="A664" s="635">
        <v>11.2</v>
      </c>
      <c r="B664" s="635" t="s">
        <v>754</v>
      </c>
      <c r="C664" s="635"/>
      <c r="D664" s="635"/>
      <c r="E664" s="635"/>
      <c r="F664" s="635"/>
      <c r="G664" s="636">
        <v>4.7</v>
      </c>
      <c r="H664" s="637">
        <v>132</v>
      </c>
      <c r="I664" s="637">
        <v>740</v>
      </c>
      <c r="J664" s="638">
        <v>8.4</v>
      </c>
      <c r="K664" s="635"/>
      <c r="L664" s="635"/>
      <c r="M664" s="635"/>
      <c r="N664" s="635"/>
    </row>
    <row r="665" spans="1:14" x14ac:dyDescent="0.3">
      <c r="A665" s="635"/>
      <c r="B665" s="635" t="s">
        <v>755</v>
      </c>
      <c r="C665" s="635" t="s">
        <v>756</v>
      </c>
      <c r="D665" s="635"/>
      <c r="E665" s="635"/>
      <c r="F665" s="635"/>
      <c r="G665" s="636">
        <v>3.7</v>
      </c>
      <c r="H665" s="637">
        <v>105</v>
      </c>
      <c r="I665" s="637">
        <v>650</v>
      </c>
      <c r="J665" s="638">
        <v>5.5</v>
      </c>
      <c r="K665" s="635"/>
      <c r="L665" s="635"/>
      <c r="M665" s="635"/>
      <c r="N665" s="635"/>
    </row>
    <row r="666" spans="1:14" x14ac:dyDescent="0.3">
      <c r="A666" s="635"/>
      <c r="B666" s="635" t="s">
        <v>757</v>
      </c>
      <c r="C666" s="635" t="s">
        <v>758</v>
      </c>
      <c r="D666" s="635"/>
      <c r="E666" s="635"/>
      <c r="F666" s="635"/>
      <c r="G666" s="636">
        <v>0.9</v>
      </c>
      <c r="H666" s="637">
        <v>26</v>
      </c>
      <c r="I666" s="637">
        <v>80</v>
      </c>
      <c r="J666" s="638">
        <v>36</v>
      </c>
      <c r="K666" s="635"/>
      <c r="L666" s="635"/>
      <c r="M666" s="635"/>
      <c r="N666" s="635"/>
    </row>
    <row r="667" spans="1:14" x14ac:dyDescent="0.3">
      <c r="A667" s="635"/>
      <c r="B667" s="635" t="s">
        <v>759</v>
      </c>
      <c r="C667" s="635" t="s">
        <v>760</v>
      </c>
      <c r="D667" s="635"/>
      <c r="E667" s="635"/>
      <c r="F667" s="635"/>
      <c r="G667" s="636">
        <v>0.1</v>
      </c>
      <c r="H667" s="637">
        <v>2</v>
      </c>
      <c r="I667" s="637">
        <v>20</v>
      </c>
      <c r="J667" s="638">
        <v>171.9</v>
      </c>
      <c r="K667" s="635"/>
      <c r="L667" s="635"/>
      <c r="M667" s="635"/>
      <c r="N667" s="635"/>
    </row>
    <row r="668" spans="1:14" x14ac:dyDescent="0.3">
      <c r="A668" s="635"/>
      <c r="B668" s="635"/>
      <c r="C668" s="635"/>
      <c r="D668" s="635"/>
      <c r="E668" s="635"/>
      <c r="F668" s="635"/>
      <c r="G668" s="636"/>
      <c r="H668" s="637"/>
      <c r="I668" s="637"/>
      <c r="J668" s="638"/>
      <c r="K668" s="635"/>
      <c r="L668" s="635"/>
      <c r="M668" s="635"/>
      <c r="N668" s="635"/>
    </row>
    <row r="669" spans="1:14" s="79" customFormat="1" ht="4.2" customHeight="1" x14ac:dyDescent="0.15">
      <c r="A669" s="71"/>
      <c r="B669" s="71"/>
      <c r="C669" s="72"/>
      <c r="D669" s="73"/>
      <c r="E669" s="73"/>
      <c r="F669" s="73"/>
      <c r="G669" s="73"/>
      <c r="H669" s="648"/>
      <c r="I669" s="648"/>
      <c r="J669" s="624"/>
      <c r="K669" s="128"/>
      <c r="L669" s="128"/>
      <c r="M669" s="255"/>
      <c r="N669" s="255"/>
    </row>
    <row r="670" spans="1:14" s="662" customFormat="1" ht="12" x14ac:dyDescent="0.2">
      <c r="A670" s="631">
        <v>12</v>
      </c>
      <c r="B670" s="631" t="s">
        <v>18</v>
      </c>
      <c r="C670" s="631"/>
      <c r="D670" s="631"/>
      <c r="E670" s="631"/>
      <c r="F670" s="631"/>
      <c r="G670" s="632">
        <v>37.200000000000003</v>
      </c>
      <c r="H670" s="633">
        <v>1048</v>
      </c>
      <c r="I670" s="633">
        <v>5300</v>
      </c>
      <c r="J670" s="634">
        <v>2.2000000000000002</v>
      </c>
      <c r="K670" s="631"/>
      <c r="L670" s="631"/>
      <c r="M670" s="631"/>
      <c r="N670" s="631"/>
    </row>
    <row r="671" spans="1:14" x14ac:dyDescent="0.3">
      <c r="A671" s="635"/>
      <c r="B671" s="635"/>
      <c r="C671" s="635"/>
      <c r="D671" s="635"/>
      <c r="E671" s="635"/>
      <c r="F671" s="635"/>
      <c r="G671" s="636"/>
      <c r="H671" s="637"/>
      <c r="I671" s="637"/>
      <c r="J671" s="638"/>
      <c r="K671" s="635"/>
      <c r="L671" s="635"/>
      <c r="M671" s="635"/>
      <c r="N671" s="635"/>
    </row>
    <row r="672" spans="1:14" x14ac:dyDescent="0.3">
      <c r="A672" s="635">
        <v>12.1</v>
      </c>
      <c r="B672" s="635" t="s">
        <v>761</v>
      </c>
      <c r="C672" s="635"/>
      <c r="D672" s="635"/>
      <c r="E672" s="635"/>
      <c r="F672" s="635"/>
      <c r="G672" s="636">
        <v>9.9</v>
      </c>
      <c r="H672" s="637">
        <v>280</v>
      </c>
      <c r="I672" s="637">
        <v>4590</v>
      </c>
      <c r="J672" s="638">
        <v>2.2000000000000002</v>
      </c>
      <c r="K672" s="635"/>
      <c r="L672" s="635"/>
      <c r="M672" s="635"/>
      <c r="N672" s="635"/>
    </row>
    <row r="673" spans="1:14" x14ac:dyDescent="0.3">
      <c r="A673" s="635"/>
      <c r="B673" s="635" t="s">
        <v>762</v>
      </c>
      <c r="C673" s="635" t="s">
        <v>763</v>
      </c>
      <c r="D673" s="635"/>
      <c r="E673" s="635"/>
      <c r="F673" s="635"/>
      <c r="G673" s="636">
        <v>1.6</v>
      </c>
      <c r="H673" s="637">
        <v>44</v>
      </c>
      <c r="I673" s="637">
        <v>490</v>
      </c>
      <c r="J673" s="638">
        <v>8.3000000000000007</v>
      </c>
      <c r="K673" s="635"/>
      <c r="L673" s="635"/>
      <c r="M673" s="635"/>
      <c r="N673" s="635"/>
    </row>
    <row r="674" spans="1:14" x14ac:dyDescent="0.3">
      <c r="A674" s="635"/>
      <c r="B674" s="635" t="s">
        <v>764</v>
      </c>
      <c r="C674" s="635" t="s">
        <v>765</v>
      </c>
      <c r="D674" s="635"/>
      <c r="E674" s="635"/>
      <c r="F674" s="635"/>
      <c r="G674" s="636">
        <v>0.9</v>
      </c>
      <c r="H674" s="637">
        <v>25</v>
      </c>
      <c r="I674" s="637">
        <v>2000</v>
      </c>
      <c r="J674" s="638">
        <v>2</v>
      </c>
      <c r="K674" s="635"/>
      <c r="L674" s="635"/>
      <c r="M674" s="635"/>
      <c r="N674" s="635"/>
    </row>
    <row r="675" spans="1:14" x14ac:dyDescent="0.3">
      <c r="A675" s="635"/>
      <c r="B675" s="635"/>
      <c r="C675" s="635"/>
      <c r="D675" s="635"/>
      <c r="E675" s="635"/>
      <c r="F675" s="635"/>
      <c r="G675" s="636"/>
      <c r="H675" s="637"/>
      <c r="I675" s="637"/>
      <c r="J675" s="638"/>
      <c r="K675" s="635"/>
      <c r="L675" s="635"/>
      <c r="M675" s="635"/>
      <c r="N675" s="635"/>
    </row>
    <row r="676" spans="1:14" x14ac:dyDescent="0.3">
      <c r="A676" s="635"/>
      <c r="B676" s="635" t="s">
        <v>766</v>
      </c>
      <c r="C676" s="635" t="s">
        <v>767</v>
      </c>
      <c r="D676" s="635"/>
      <c r="E676" s="635"/>
      <c r="F676" s="635"/>
      <c r="G676" s="636">
        <v>2.7</v>
      </c>
      <c r="H676" s="637">
        <v>75</v>
      </c>
      <c r="I676" s="637">
        <v>3850</v>
      </c>
      <c r="J676" s="638">
        <v>1.8</v>
      </c>
      <c r="K676" s="635"/>
      <c r="L676" s="635"/>
      <c r="M676" s="635"/>
      <c r="N676" s="635"/>
    </row>
    <row r="677" spans="1:14" x14ac:dyDescent="0.3">
      <c r="A677" s="635"/>
      <c r="B677" s="635"/>
      <c r="C677" s="635" t="s">
        <v>768</v>
      </c>
      <c r="D677" s="635" t="s">
        <v>769</v>
      </c>
      <c r="E677" s="635"/>
      <c r="F677" s="635"/>
      <c r="G677" s="636">
        <v>1.5</v>
      </c>
      <c r="H677" s="637">
        <v>42</v>
      </c>
      <c r="I677" s="637">
        <v>3180</v>
      </c>
      <c r="J677" s="638">
        <v>2.2999999999999998</v>
      </c>
      <c r="K677" s="635"/>
      <c r="L677" s="635"/>
      <c r="M677" s="635"/>
      <c r="N677" s="635"/>
    </row>
    <row r="678" spans="1:14" x14ac:dyDescent="0.3">
      <c r="A678" s="635"/>
      <c r="B678" s="635"/>
      <c r="C678" s="635" t="s">
        <v>770</v>
      </c>
      <c r="D678" s="635" t="s">
        <v>771</v>
      </c>
      <c r="E678" s="635"/>
      <c r="F678" s="635"/>
      <c r="G678" s="636">
        <v>0.6</v>
      </c>
      <c r="H678" s="637">
        <v>18</v>
      </c>
      <c r="I678" s="637">
        <v>2030</v>
      </c>
      <c r="J678" s="638">
        <v>2.2000000000000002</v>
      </c>
      <c r="K678" s="635"/>
      <c r="L678" s="635"/>
      <c r="M678" s="635"/>
      <c r="N678" s="635"/>
    </row>
    <row r="679" spans="1:14" x14ac:dyDescent="0.3">
      <c r="A679" s="635"/>
      <c r="B679" s="635"/>
      <c r="C679" s="635" t="s">
        <v>772</v>
      </c>
      <c r="D679" s="635" t="s">
        <v>773</v>
      </c>
      <c r="E679" s="635"/>
      <c r="F679" s="635"/>
      <c r="G679" s="636">
        <v>0.5</v>
      </c>
      <c r="H679" s="637">
        <v>15</v>
      </c>
      <c r="I679" s="637">
        <v>1020</v>
      </c>
      <c r="J679" s="638">
        <v>5.2</v>
      </c>
      <c r="K679" s="635"/>
      <c r="L679" s="635"/>
      <c r="M679" s="635"/>
      <c r="N679" s="635"/>
    </row>
    <row r="680" spans="1:14" x14ac:dyDescent="0.3">
      <c r="A680" s="635"/>
      <c r="B680" s="635"/>
      <c r="C680" s="635"/>
      <c r="D680" s="635"/>
      <c r="E680" s="635"/>
      <c r="F680" s="635"/>
      <c r="G680" s="636"/>
      <c r="H680" s="637"/>
      <c r="I680" s="637"/>
      <c r="J680" s="638"/>
      <c r="K680" s="635"/>
      <c r="L680" s="635"/>
      <c r="M680" s="635"/>
      <c r="N680" s="635"/>
    </row>
    <row r="681" spans="1:14" x14ac:dyDescent="0.3">
      <c r="A681" s="635"/>
      <c r="B681" s="635" t="s">
        <v>774</v>
      </c>
      <c r="C681" s="635" t="s">
        <v>775</v>
      </c>
      <c r="D681" s="635"/>
      <c r="E681" s="635"/>
      <c r="F681" s="635"/>
      <c r="G681" s="636">
        <v>0.5</v>
      </c>
      <c r="H681" s="637">
        <v>14</v>
      </c>
      <c r="I681" s="637">
        <v>810</v>
      </c>
      <c r="J681" s="638">
        <v>5.7</v>
      </c>
      <c r="K681" s="635"/>
      <c r="L681" s="635"/>
      <c r="M681" s="635"/>
      <c r="N681" s="635"/>
    </row>
    <row r="682" spans="1:14" x14ac:dyDescent="0.3">
      <c r="A682" s="635"/>
      <c r="B682" s="635"/>
      <c r="C682" s="635"/>
      <c r="D682" s="635"/>
      <c r="E682" s="635"/>
      <c r="F682" s="635"/>
      <c r="G682" s="636"/>
      <c r="H682" s="637"/>
      <c r="I682" s="637"/>
      <c r="J682" s="638"/>
      <c r="K682" s="635"/>
      <c r="L682" s="635"/>
      <c r="M682" s="635"/>
      <c r="N682" s="635"/>
    </row>
    <row r="683" spans="1:14" x14ac:dyDescent="0.3">
      <c r="A683" s="635"/>
      <c r="B683" s="635" t="s">
        <v>776</v>
      </c>
      <c r="C683" s="635" t="s">
        <v>777</v>
      </c>
      <c r="D683" s="635"/>
      <c r="E683" s="635"/>
      <c r="F683" s="635"/>
      <c r="G683" s="636">
        <v>4.3</v>
      </c>
      <c r="H683" s="637">
        <v>122</v>
      </c>
      <c r="I683" s="637">
        <v>2760</v>
      </c>
      <c r="J683" s="638">
        <v>2.8</v>
      </c>
      <c r="K683" s="635"/>
      <c r="L683" s="635"/>
      <c r="M683" s="635"/>
      <c r="N683" s="635"/>
    </row>
    <row r="684" spans="1:14" x14ac:dyDescent="0.3">
      <c r="A684" s="635"/>
      <c r="B684" s="635"/>
      <c r="C684" s="635" t="s">
        <v>778</v>
      </c>
      <c r="D684" s="635" t="s">
        <v>779</v>
      </c>
      <c r="E684" s="635"/>
      <c r="F684" s="635"/>
      <c r="G684" s="636">
        <v>0.9</v>
      </c>
      <c r="H684" s="637">
        <v>26</v>
      </c>
      <c r="I684" s="637">
        <v>1500</v>
      </c>
      <c r="J684" s="638">
        <v>2.8</v>
      </c>
      <c r="K684" s="635"/>
      <c r="L684" s="635"/>
      <c r="M684" s="635"/>
      <c r="N684" s="635"/>
    </row>
    <row r="685" spans="1:14" x14ac:dyDescent="0.3">
      <c r="A685" s="635"/>
      <c r="B685" s="635"/>
      <c r="C685" s="635" t="s">
        <v>780</v>
      </c>
      <c r="D685" s="635" t="s">
        <v>781</v>
      </c>
      <c r="E685" s="635"/>
      <c r="F685" s="635"/>
      <c r="G685" s="636">
        <v>3</v>
      </c>
      <c r="H685" s="637">
        <v>84</v>
      </c>
      <c r="I685" s="637">
        <v>2050</v>
      </c>
      <c r="J685" s="638">
        <v>3.5</v>
      </c>
      <c r="K685" s="635"/>
      <c r="L685" s="635"/>
      <c r="M685" s="635"/>
      <c r="N685" s="635"/>
    </row>
    <row r="686" spans="1:14" x14ac:dyDescent="0.3">
      <c r="A686" s="635"/>
      <c r="B686" s="635"/>
      <c r="C686" s="635" t="s">
        <v>782</v>
      </c>
      <c r="D686" s="635" t="s">
        <v>783</v>
      </c>
      <c r="E686" s="635"/>
      <c r="F686" s="635"/>
      <c r="G686" s="636">
        <v>0.4</v>
      </c>
      <c r="H686" s="637">
        <v>12</v>
      </c>
      <c r="I686" s="637">
        <v>120</v>
      </c>
      <c r="J686" s="638">
        <v>9.6</v>
      </c>
      <c r="K686" s="635"/>
      <c r="L686" s="635"/>
      <c r="M686" s="635"/>
      <c r="N686" s="635"/>
    </row>
    <row r="687" spans="1:14" x14ac:dyDescent="0.3">
      <c r="A687" s="635"/>
      <c r="B687" s="635"/>
      <c r="C687" s="635"/>
      <c r="D687" s="635"/>
      <c r="E687" s="635"/>
      <c r="F687" s="635"/>
      <c r="G687" s="636"/>
      <c r="H687" s="637"/>
      <c r="I687" s="637"/>
      <c r="J687" s="638"/>
      <c r="K687" s="635"/>
      <c r="L687" s="635"/>
      <c r="M687" s="635"/>
      <c r="N687" s="635"/>
    </row>
    <row r="688" spans="1:14" x14ac:dyDescent="0.3">
      <c r="A688" s="635">
        <v>12.2</v>
      </c>
      <c r="B688" s="635" t="s">
        <v>784</v>
      </c>
      <c r="C688" s="635"/>
      <c r="D688" s="635"/>
      <c r="E688" s="635"/>
      <c r="F688" s="635"/>
      <c r="G688" s="636">
        <v>2</v>
      </c>
      <c r="H688" s="637">
        <v>57</v>
      </c>
      <c r="I688" s="637">
        <v>790</v>
      </c>
      <c r="J688" s="638">
        <v>25.5</v>
      </c>
      <c r="K688" s="635"/>
      <c r="L688" s="635"/>
      <c r="M688" s="635"/>
      <c r="N688" s="635"/>
    </row>
    <row r="689" spans="1:14" x14ac:dyDescent="0.3">
      <c r="A689" s="635"/>
      <c r="B689" s="635" t="s">
        <v>785</v>
      </c>
      <c r="C689" s="635" t="s">
        <v>786</v>
      </c>
      <c r="D689" s="635"/>
      <c r="E689" s="635"/>
      <c r="F689" s="635"/>
      <c r="G689" s="636">
        <v>1.3</v>
      </c>
      <c r="H689" s="637">
        <v>36</v>
      </c>
      <c r="I689" s="637">
        <v>570</v>
      </c>
      <c r="J689" s="638">
        <v>38.200000000000003</v>
      </c>
      <c r="K689" s="635"/>
      <c r="L689" s="635"/>
      <c r="M689" s="635"/>
      <c r="N689" s="635"/>
    </row>
    <row r="690" spans="1:14" x14ac:dyDescent="0.3">
      <c r="A690" s="635"/>
      <c r="B690" s="635" t="s">
        <v>787</v>
      </c>
      <c r="C690" s="635" t="s">
        <v>788</v>
      </c>
      <c r="D690" s="635"/>
      <c r="E690" s="635"/>
      <c r="F690" s="635"/>
      <c r="G690" s="636">
        <v>0.4</v>
      </c>
      <c r="H690" s="637">
        <v>12</v>
      </c>
      <c r="I690" s="637">
        <v>210</v>
      </c>
      <c r="J690" s="638">
        <v>19.100000000000001</v>
      </c>
      <c r="K690" s="635"/>
      <c r="L690" s="635"/>
      <c r="M690" s="635"/>
      <c r="N690" s="635"/>
    </row>
    <row r="691" spans="1:14" x14ac:dyDescent="0.3">
      <c r="A691" s="635"/>
      <c r="B691" s="635" t="s">
        <v>789</v>
      </c>
      <c r="C691" s="635" t="s">
        <v>790</v>
      </c>
      <c r="D691" s="635"/>
      <c r="E691" s="635"/>
      <c r="F691" s="635"/>
      <c r="G691" s="636">
        <v>0.1</v>
      </c>
      <c r="H691" s="637">
        <v>3</v>
      </c>
      <c r="I691" s="637">
        <v>50</v>
      </c>
      <c r="J691" s="638">
        <v>23</v>
      </c>
      <c r="K691" s="635"/>
      <c r="L691" s="635"/>
      <c r="M691" s="635"/>
      <c r="N691" s="635"/>
    </row>
    <row r="692" spans="1:14" x14ac:dyDescent="0.3">
      <c r="A692" s="635"/>
      <c r="B692" s="635" t="s">
        <v>791</v>
      </c>
      <c r="C692" s="635" t="s">
        <v>792</v>
      </c>
      <c r="D692" s="635"/>
      <c r="E692" s="635"/>
      <c r="F692" s="635"/>
      <c r="G692" s="636">
        <v>0</v>
      </c>
      <c r="H692" s="637">
        <v>1</v>
      </c>
      <c r="I692" s="637">
        <v>20</v>
      </c>
      <c r="J692" s="638">
        <v>117.2</v>
      </c>
      <c r="K692" s="635"/>
      <c r="L692" s="635"/>
      <c r="M692" s="635"/>
      <c r="N692" s="635"/>
    </row>
    <row r="693" spans="1:14" x14ac:dyDescent="0.3">
      <c r="A693" s="635"/>
      <c r="B693" s="635" t="s">
        <v>793</v>
      </c>
      <c r="C693" s="635" t="s">
        <v>794</v>
      </c>
      <c r="D693" s="635"/>
      <c r="E693" s="635"/>
      <c r="F693" s="635"/>
      <c r="G693" s="655" t="s">
        <v>230</v>
      </c>
      <c r="H693" s="656" t="s">
        <v>230</v>
      </c>
      <c r="I693" s="656" t="s">
        <v>230</v>
      </c>
      <c r="J693" s="657" t="s">
        <v>230</v>
      </c>
      <c r="K693" s="635"/>
      <c r="L693" s="635"/>
      <c r="M693" s="635"/>
      <c r="N693" s="635"/>
    </row>
    <row r="694" spans="1:14" x14ac:dyDescent="0.3">
      <c r="A694" s="635"/>
      <c r="B694" s="635" t="s">
        <v>795</v>
      </c>
      <c r="C694" s="635" t="s">
        <v>796</v>
      </c>
      <c r="D694" s="635"/>
      <c r="E694" s="635"/>
      <c r="F694" s="635"/>
      <c r="G694" s="636">
        <v>0</v>
      </c>
      <c r="H694" s="637">
        <v>1</v>
      </c>
      <c r="I694" s="637">
        <v>10</v>
      </c>
      <c r="J694" s="638">
        <v>133.1</v>
      </c>
      <c r="K694" s="635"/>
      <c r="L694" s="635"/>
      <c r="M694" s="635"/>
      <c r="N694" s="635"/>
    </row>
    <row r="695" spans="1:14" x14ac:dyDescent="0.3">
      <c r="A695" s="635"/>
      <c r="B695" s="635"/>
      <c r="C695" s="635"/>
      <c r="D695" s="635"/>
      <c r="E695" s="635"/>
      <c r="F695" s="635"/>
      <c r="G695" s="636"/>
      <c r="H695" s="637"/>
      <c r="I695" s="637"/>
      <c r="J695" s="638"/>
      <c r="K695" s="635"/>
      <c r="L695" s="635"/>
      <c r="M695" s="635"/>
      <c r="N695" s="635"/>
    </row>
    <row r="696" spans="1:14" x14ac:dyDescent="0.3">
      <c r="A696" s="635">
        <v>12.3</v>
      </c>
      <c r="B696" s="635" t="s">
        <v>797</v>
      </c>
      <c r="C696" s="635"/>
      <c r="D696" s="635"/>
      <c r="E696" s="635"/>
      <c r="F696" s="635"/>
      <c r="G696" s="636">
        <v>1.5</v>
      </c>
      <c r="H696" s="637">
        <v>42</v>
      </c>
      <c r="I696" s="637">
        <v>80</v>
      </c>
      <c r="J696" s="638">
        <v>19.5</v>
      </c>
      <c r="K696" s="635"/>
      <c r="L696" s="635"/>
      <c r="M696" s="635"/>
      <c r="N696" s="635"/>
    </row>
    <row r="697" spans="1:14" x14ac:dyDescent="0.3">
      <c r="A697" s="635"/>
      <c r="B697" s="635" t="s">
        <v>798</v>
      </c>
      <c r="C697" s="635" t="s">
        <v>799</v>
      </c>
      <c r="D697" s="635"/>
      <c r="E697" s="635"/>
      <c r="F697" s="635"/>
      <c r="G697" s="655" t="s">
        <v>230</v>
      </c>
      <c r="H697" s="656" t="s">
        <v>230</v>
      </c>
      <c r="I697" s="656" t="s">
        <v>230</v>
      </c>
      <c r="J697" s="657" t="s">
        <v>230</v>
      </c>
      <c r="K697" s="665"/>
      <c r="L697" s="635"/>
      <c r="M697" s="635"/>
      <c r="N697" s="635"/>
    </row>
    <row r="698" spans="1:14" x14ac:dyDescent="0.3">
      <c r="A698" s="635"/>
      <c r="B698" s="635" t="s">
        <v>800</v>
      </c>
      <c r="C698" s="635" t="s">
        <v>801</v>
      </c>
      <c r="D698" s="635"/>
      <c r="E698" s="635"/>
      <c r="F698" s="635"/>
      <c r="G698" s="636">
        <v>0.3</v>
      </c>
      <c r="H698" s="637">
        <v>0</v>
      </c>
      <c r="I698" s="637">
        <v>10</v>
      </c>
      <c r="J698" s="638">
        <v>24.4</v>
      </c>
      <c r="K698" s="635"/>
      <c r="L698" s="635"/>
      <c r="M698" s="635"/>
      <c r="N698" s="635"/>
    </row>
    <row r="699" spans="1:14" x14ac:dyDescent="0.3">
      <c r="A699" s="635"/>
      <c r="B699" s="635" t="s">
        <v>802</v>
      </c>
      <c r="C699" s="635" t="s">
        <v>803</v>
      </c>
      <c r="D699" s="635"/>
      <c r="E699" s="635"/>
      <c r="F699" s="635"/>
      <c r="G699" s="636">
        <v>0.5</v>
      </c>
      <c r="H699" s="637">
        <v>13</v>
      </c>
      <c r="I699" s="637">
        <v>30</v>
      </c>
      <c r="J699" s="638">
        <v>32.700000000000003</v>
      </c>
      <c r="K699" s="635"/>
      <c r="L699" s="635"/>
      <c r="M699" s="635"/>
      <c r="N699" s="635"/>
    </row>
    <row r="700" spans="1:14" x14ac:dyDescent="0.3">
      <c r="A700" s="635"/>
      <c r="B700" s="635" t="s">
        <v>804</v>
      </c>
      <c r="C700" s="635" t="s">
        <v>805</v>
      </c>
      <c r="D700" s="635"/>
      <c r="E700" s="635"/>
      <c r="F700" s="635"/>
      <c r="G700" s="636">
        <v>0.7</v>
      </c>
      <c r="H700" s="637">
        <v>20</v>
      </c>
      <c r="I700" s="637">
        <v>40</v>
      </c>
      <c r="J700" s="638">
        <v>30.9</v>
      </c>
      <c r="K700" s="635"/>
      <c r="L700" s="635"/>
      <c r="M700" s="635"/>
      <c r="N700" s="635"/>
    </row>
    <row r="701" spans="1:14" s="79" customFormat="1" ht="4.2" customHeight="1" x14ac:dyDescent="0.15">
      <c r="A701" s="71"/>
      <c r="B701" s="71"/>
      <c r="C701" s="72"/>
      <c r="D701" s="73"/>
      <c r="E701" s="73"/>
      <c r="F701" s="73"/>
      <c r="G701" s="73"/>
      <c r="H701" s="648"/>
      <c r="I701" s="648"/>
      <c r="J701" s="624"/>
      <c r="K701" s="128"/>
      <c r="L701" s="128"/>
      <c r="M701" s="255"/>
      <c r="N701" s="255"/>
    </row>
    <row r="702" spans="1:14" x14ac:dyDescent="0.3">
      <c r="A702" s="635"/>
      <c r="B702" s="635"/>
      <c r="C702" s="635"/>
      <c r="D702" s="635"/>
      <c r="E702" s="635"/>
      <c r="F702" s="635"/>
      <c r="G702" s="636"/>
      <c r="H702" s="637"/>
      <c r="I702" s="637"/>
      <c r="J702" s="638"/>
      <c r="K702" s="635"/>
      <c r="L702" s="635"/>
      <c r="M702" s="635"/>
      <c r="N702" s="635"/>
    </row>
    <row r="703" spans="1:14" x14ac:dyDescent="0.3">
      <c r="A703" s="635" t="s">
        <v>111</v>
      </c>
      <c r="B703" s="635"/>
      <c r="C703" s="635"/>
      <c r="D703" s="635"/>
      <c r="E703" s="635"/>
      <c r="F703" s="635"/>
      <c r="G703" s="636"/>
      <c r="H703" s="637"/>
      <c r="I703" s="637"/>
      <c r="J703" s="638"/>
      <c r="K703" s="635"/>
      <c r="L703" s="635"/>
      <c r="M703" s="635"/>
      <c r="N703" s="635"/>
    </row>
    <row r="704" spans="1:14" x14ac:dyDescent="0.3">
      <c r="A704" s="635" t="s">
        <v>182</v>
      </c>
      <c r="B704" s="635"/>
      <c r="C704" s="635"/>
      <c r="D704" s="635"/>
      <c r="E704" s="635"/>
      <c r="F704" s="635"/>
      <c r="G704" s="636"/>
      <c r="H704" s="637"/>
      <c r="I704" s="637"/>
      <c r="J704" s="638"/>
      <c r="K704" s="635"/>
      <c r="L704" s="635"/>
      <c r="M704" s="635"/>
      <c r="N704" s="635"/>
    </row>
    <row r="705" spans="1:14" x14ac:dyDescent="0.3">
      <c r="A705" s="635" t="s">
        <v>112</v>
      </c>
      <c r="B705" s="635"/>
      <c r="C705" s="635"/>
      <c r="D705" s="635"/>
      <c r="E705" s="635"/>
      <c r="F705" s="635"/>
      <c r="G705" s="636"/>
      <c r="H705" s="637"/>
      <c r="I705" s="637"/>
      <c r="J705" s="638"/>
      <c r="K705" s="635"/>
      <c r="L705" s="635"/>
      <c r="M705" s="635"/>
      <c r="N705" s="635"/>
    </row>
    <row r="706" spans="1:14" x14ac:dyDescent="0.3">
      <c r="A706" s="635"/>
      <c r="B706" s="635"/>
      <c r="C706" s="635"/>
      <c r="D706" s="635"/>
      <c r="E706" s="635"/>
      <c r="F706" s="635"/>
      <c r="G706" s="636"/>
      <c r="H706" s="637"/>
      <c r="I706" s="637"/>
      <c r="J706" s="638"/>
      <c r="K706" s="635"/>
      <c r="L706" s="635"/>
      <c r="M706" s="635"/>
      <c r="N706" s="635"/>
    </row>
    <row r="707" spans="1:14" x14ac:dyDescent="0.3">
      <c r="A707" s="635"/>
      <c r="B707" s="635"/>
      <c r="C707" s="635"/>
      <c r="D707" s="635"/>
      <c r="E707" s="635"/>
      <c r="F707" s="635"/>
      <c r="G707" s="636"/>
      <c r="H707" s="637"/>
      <c r="I707" s="637"/>
      <c r="J707" s="638"/>
      <c r="K707" s="635"/>
      <c r="L707" s="635"/>
      <c r="M707" s="635"/>
      <c r="N707" s="635"/>
    </row>
    <row r="708" spans="1:14" x14ac:dyDescent="0.3">
      <c r="G708" s="643"/>
    </row>
    <row r="709" spans="1:14" x14ac:dyDescent="0.3">
      <c r="G709" s="643"/>
    </row>
    <row r="710" spans="1:14" ht="15.6" x14ac:dyDescent="0.3">
      <c r="A710" s="159" t="s">
        <v>114</v>
      </c>
      <c r="B710" s="129"/>
      <c r="C710" s="157"/>
      <c r="D710" s="219"/>
      <c r="E710" s="219"/>
      <c r="F710" s="130"/>
      <c r="G710" s="219"/>
      <c r="H710" s="649"/>
      <c r="I710" s="649"/>
      <c r="J710" s="135"/>
      <c r="K710" s="218"/>
    </row>
    <row r="711" spans="1:14" ht="34.799999999999997" x14ac:dyDescent="0.3">
      <c r="A711" s="160" t="s">
        <v>183</v>
      </c>
      <c r="B711" s="161"/>
      <c r="C711" s="31"/>
      <c r="D711" s="32"/>
      <c r="E711" s="32"/>
      <c r="F711" s="33"/>
      <c r="G711" s="658"/>
      <c r="H711" s="659"/>
      <c r="I711" s="659"/>
      <c r="J711" s="646"/>
      <c r="K711" s="37"/>
    </row>
    <row r="712" spans="1:14" ht="17.399999999999999" x14ac:dyDescent="0.3">
      <c r="A712" s="41" t="s">
        <v>1360</v>
      </c>
      <c r="B712" s="168"/>
      <c r="C712" s="43"/>
      <c r="D712" s="44"/>
      <c r="E712" s="32"/>
      <c r="F712" s="33"/>
      <c r="G712" s="658"/>
      <c r="H712" s="659"/>
      <c r="I712" s="659"/>
      <c r="J712" s="660"/>
      <c r="K712" s="37"/>
    </row>
    <row r="713" spans="1:14" ht="3" customHeight="1" x14ac:dyDescent="0.3">
      <c r="A713" s="71"/>
      <c r="B713" s="71"/>
      <c r="C713" s="72"/>
      <c r="D713" s="73"/>
      <c r="E713" s="73"/>
      <c r="F713" s="73"/>
      <c r="G713" s="73"/>
      <c r="H713" s="648"/>
      <c r="I713" s="648"/>
      <c r="J713" s="624"/>
      <c r="K713" s="53"/>
    </row>
    <row r="714" spans="1:14" x14ac:dyDescent="0.3">
      <c r="A714" s="81"/>
      <c r="B714" s="81"/>
      <c r="C714" s="55"/>
      <c r="D714" s="84"/>
      <c r="E714" s="84"/>
      <c r="F714" s="84"/>
      <c r="G714" s="219"/>
      <c r="H714" s="649"/>
      <c r="I714" s="649"/>
      <c r="J714" s="217"/>
      <c r="K714" s="53"/>
    </row>
    <row r="715" spans="1:14" x14ac:dyDescent="0.3">
      <c r="A715" s="172"/>
      <c r="B715" s="172"/>
      <c r="C715" s="173"/>
      <c r="D715" s="174"/>
      <c r="E715" s="174"/>
      <c r="F715" s="59"/>
      <c r="G715" s="650" t="s">
        <v>116</v>
      </c>
      <c r="H715" s="622" t="s">
        <v>25</v>
      </c>
      <c r="I715" s="622" t="s">
        <v>26</v>
      </c>
      <c r="J715" s="63" t="s">
        <v>117</v>
      </c>
      <c r="K715" s="179"/>
    </row>
    <row r="716" spans="1:14" x14ac:dyDescent="0.3">
      <c r="A716" s="172"/>
      <c r="B716" s="172"/>
      <c r="C716" s="181"/>
      <c r="D716" s="174"/>
      <c r="E716" s="174"/>
      <c r="F716" s="59"/>
      <c r="G716" s="651" t="s">
        <v>29</v>
      </c>
      <c r="H716" s="622" t="s">
        <v>27</v>
      </c>
      <c r="I716" s="622" t="s">
        <v>28</v>
      </c>
      <c r="J716" s="63" t="s">
        <v>118</v>
      </c>
      <c r="K716" s="179"/>
    </row>
    <row r="717" spans="1:14" x14ac:dyDescent="0.3">
      <c r="A717" s="172"/>
      <c r="B717" s="172"/>
      <c r="C717" s="181"/>
      <c r="D717" s="174"/>
      <c r="E717" s="174"/>
      <c r="F717" s="59"/>
      <c r="G717" s="650" t="s">
        <v>31</v>
      </c>
      <c r="H717" s="622" t="s">
        <v>29</v>
      </c>
      <c r="I717" s="622" t="s">
        <v>30</v>
      </c>
      <c r="J717" s="63" t="s">
        <v>119</v>
      </c>
      <c r="K717" s="179"/>
    </row>
    <row r="718" spans="1:14" x14ac:dyDescent="0.3">
      <c r="A718" s="172"/>
      <c r="B718" s="172"/>
      <c r="C718" s="181"/>
      <c r="D718" s="174"/>
      <c r="E718" s="174"/>
      <c r="F718" s="59"/>
      <c r="G718" s="651" t="s">
        <v>32</v>
      </c>
      <c r="H718" s="622" t="s">
        <v>33</v>
      </c>
      <c r="I718" s="622" t="s">
        <v>120</v>
      </c>
      <c r="J718" s="63" t="s">
        <v>121</v>
      </c>
      <c r="K718" s="179"/>
    </row>
    <row r="719" spans="1:14" x14ac:dyDescent="0.3">
      <c r="A719" s="71"/>
      <c r="B719" s="71"/>
      <c r="C719" s="72"/>
      <c r="D719" s="73"/>
      <c r="E719" s="73"/>
      <c r="F719" s="73"/>
      <c r="G719" s="73"/>
      <c r="H719" s="648"/>
      <c r="I719" s="648"/>
      <c r="J719" s="624"/>
      <c r="K719" s="53"/>
    </row>
    <row r="720" spans="1:14" ht="4.2" customHeight="1" x14ac:dyDescent="0.3">
      <c r="A720" s="80"/>
      <c r="B720" s="81"/>
      <c r="C720" s="82"/>
      <c r="D720" s="83"/>
      <c r="E720" s="83"/>
      <c r="F720" s="84"/>
      <c r="G720" s="83"/>
      <c r="H720" s="661"/>
      <c r="I720" s="661"/>
      <c r="J720" s="231"/>
      <c r="K720" s="53"/>
    </row>
    <row r="721" spans="1:20" s="93" customFormat="1" ht="10.95" customHeight="1" x14ac:dyDescent="0.15">
      <c r="A721" s="111" t="s">
        <v>123</v>
      </c>
      <c r="B721" s="112"/>
      <c r="C721" s="113"/>
      <c r="F721" s="114" t="s">
        <v>124</v>
      </c>
      <c r="G721" s="652"/>
      <c r="H721" s="653"/>
      <c r="I721" s="653"/>
      <c r="J721" s="654"/>
      <c r="K721" s="208"/>
      <c r="L721" s="270"/>
    </row>
    <row r="722" spans="1:20" x14ac:dyDescent="0.3">
      <c r="G722" s="643"/>
    </row>
    <row r="723" spans="1:20" s="662" customFormat="1" ht="12" x14ac:dyDescent="0.2">
      <c r="A723" s="631">
        <v>12</v>
      </c>
      <c r="B723" s="631" t="s">
        <v>806</v>
      </c>
      <c r="C723" s="631"/>
      <c r="D723" s="631"/>
      <c r="E723" s="631"/>
      <c r="F723" s="631"/>
      <c r="G723" s="632"/>
      <c r="H723" s="633"/>
      <c r="I723" s="633"/>
      <c r="J723" s="634"/>
      <c r="K723" s="631"/>
      <c r="L723" s="631"/>
      <c r="M723" s="631"/>
      <c r="N723" s="631"/>
      <c r="O723" s="631"/>
      <c r="P723" s="631"/>
      <c r="Q723" s="631"/>
      <c r="R723" s="631"/>
      <c r="S723" s="631"/>
      <c r="T723" s="631"/>
    </row>
    <row r="724" spans="1:20" x14ac:dyDescent="0.3">
      <c r="A724" s="635"/>
      <c r="B724" s="635"/>
      <c r="C724" s="635"/>
      <c r="D724" s="635"/>
      <c r="E724" s="635"/>
      <c r="F724" s="635"/>
      <c r="G724" s="636"/>
      <c r="H724" s="637"/>
      <c r="I724" s="637"/>
      <c r="J724" s="638"/>
      <c r="K724" s="635"/>
      <c r="L724" s="635"/>
      <c r="M724" s="635"/>
      <c r="N724" s="635"/>
      <c r="O724" s="635"/>
      <c r="P724" s="635"/>
      <c r="Q724" s="635"/>
      <c r="R724" s="635"/>
      <c r="S724" s="635"/>
      <c r="T724" s="635"/>
    </row>
    <row r="725" spans="1:20" x14ac:dyDescent="0.3">
      <c r="A725" s="635">
        <v>12.4</v>
      </c>
      <c r="B725" s="635" t="s">
        <v>807</v>
      </c>
      <c r="C725" s="635"/>
      <c r="D725" s="635"/>
      <c r="E725" s="635"/>
      <c r="F725" s="635"/>
      <c r="G725" s="636">
        <v>18.899999999999999</v>
      </c>
      <c r="H725" s="637">
        <v>533</v>
      </c>
      <c r="I725" s="637">
        <v>5030</v>
      </c>
      <c r="J725" s="638">
        <v>1.6</v>
      </c>
      <c r="K725" s="635"/>
      <c r="L725" s="635"/>
      <c r="M725" s="635"/>
      <c r="N725" s="635"/>
      <c r="O725" s="635"/>
      <c r="P725" s="635"/>
      <c r="Q725" s="635"/>
      <c r="R725" s="635"/>
      <c r="S725" s="635"/>
      <c r="T725" s="635"/>
    </row>
    <row r="726" spans="1:20" x14ac:dyDescent="0.3">
      <c r="A726" s="635"/>
      <c r="B726" s="635" t="s">
        <v>808</v>
      </c>
      <c r="C726" s="635" t="s">
        <v>809</v>
      </c>
      <c r="D726" s="635"/>
      <c r="E726" s="635"/>
      <c r="F726" s="635"/>
      <c r="G726" s="636">
        <v>5.2</v>
      </c>
      <c r="H726" s="637">
        <v>146</v>
      </c>
      <c r="I726" s="637">
        <v>4490</v>
      </c>
      <c r="J726" s="638">
        <v>1.7</v>
      </c>
      <c r="K726" s="635"/>
      <c r="L726" s="635"/>
      <c r="M726" s="635"/>
      <c r="N726" s="635"/>
      <c r="O726" s="635"/>
      <c r="P726" s="635"/>
      <c r="Q726" s="635"/>
      <c r="R726" s="635"/>
      <c r="S726" s="635"/>
      <c r="T726" s="635"/>
    </row>
    <row r="727" spans="1:20" x14ac:dyDescent="0.3">
      <c r="A727" s="635"/>
      <c r="B727" s="635"/>
      <c r="C727" s="635" t="s">
        <v>810</v>
      </c>
      <c r="D727" s="635" t="s">
        <v>811</v>
      </c>
      <c r="E727" s="635"/>
      <c r="F727" s="635"/>
      <c r="G727" s="636">
        <v>2.5</v>
      </c>
      <c r="H727" s="637">
        <v>70</v>
      </c>
      <c r="I727" s="637">
        <v>3770</v>
      </c>
      <c r="J727" s="638">
        <v>2</v>
      </c>
      <c r="K727" s="635"/>
      <c r="L727" s="635"/>
      <c r="M727" s="635"/>
      <c r="N727" s="635"/>
      <c r="O727" s="635"/>
      <c r="P727" s="635"/>
      <c r="Q727" s="635"/>
      <c r="R727" s="635"/>
      <c r="S727" s="635"/>
      <c r="T727" s="635"/>
    </row>
    <row r="728" spans="1:20" x14ac:dyDescent="0.3">
      <c r="A728" s="635"/>
      <c r="B728" s="635"/>
      <c r="C728" s="635" t="s">
        <v>812</v>
      </c>
      <c r="D728" s="635" t="s">
        <v>813</v>
      </c>
      <c r="E728" s="635"/>
      <c r="F728" s="635"/>
      <c r="G728" s="636">
        <v>2.2999999999999998</v>
      </c>
      <c r="H728" s="637">
        <v>65</v>
      </c>
      <c r="I728" s="637">
        <v>4300</v>
      </c>
      <c r="J728" s="638">
        <v>1.8</v>
      </c>
      <c r="K728" s="635"/>
      <c r="L728" s="635"/>
      <c r="M728" s="635"/>
      <c r="N728" s="635"/>
      <c r="O728" s="635"/>
      <c r="P728" s="635"/>
      <c r="Q728" s="635"/>
      <c r="R728" s="635"/>
      <c r="S728" s="635"/>
      <c r="T728" s="635"/>
    </row>
    <row r="729" spans="1:20" x14ac:dyDescent="0.3">
      <c r="A729" s="635"/>
      <c r="B729" s="635"/>
      <c r="C729" s="635" t="s">
        <v>814</v>
      </c>
      <c r="D729" s="635" t="s">
        <v>815</v>
      </c>
      <c r="E729" s="635"/>
      <c r="F729" s="635"/>
      <c r="G729" s="636">
        <v>0.4</v>
      </c>
      <c r="H729" s="637">
        <v>10</v>
      </c>
      <c r="I729" s="637">
        <v>520</v>
      </c>
      <c r="J729" s="638">
        <v>4.0999999999999996</v>
      </c>
      <c r="K729" s="635"/>
      <c r="L729" s="635"/>
      <c r="M729" s="635"/>
      <c r="N729" s="635"/>
      <c r="O729" s="635"/>
      <c r="P729" s="635"/>
      <c r="Q729" s="635"/>
      <c r="R729" s="635"/>
      <c r="S729" s="635"/>
      <c r="T729" s="635"/>
    </row>
    <row r="730" spans="1:20" x14ac:dyDescent="0.3">
      <c r="A730" s="635"/>
      <c r="B730" s="635"/>
      <c r="C730" s="635"/>
      <c r="D730" s="635"/>
      <c r="E730" s="635"/>
      <c r="F730" s="635"/>
      <c r="G730" s="636"/>
      <c r="H730" s="637"/>
      <c r="I730" s="637"/>
      <c r="J730" s="638"/>
      <c r="K730" s="635"/>
      <c r="L730" s="635"/>
      <c r="M730" s="635"/>
      <c r="N730" s="635"/>
      <c r="O730" s="635"/>
      <c r="P730" s="635"/>
      <c r="Q730" s="635"/>
      <c r="R730" s="635"/>
      <c r="S730" s="635"/>
      <c r="T730" s="635"/>
    </row>
    <row r="731" spans="1:20" x14ac:dyDescent="0.3">
      <c r="A731" s="635"/>
      <c r="B731" s="635" t="s">
        <v>816</v>
      </c>
      <c r="C731" s="635" t="s">
        <v>817</v>
      </c>
      <c r="D731" s="635"/>
      <c r="E731" s="635"/>
      <c r="F731" s="635"/>
      <c r="G731" s="636">
        <v>2.2999999999999998</v>
      </c>
      <c r="H731" s="637">
        <v>64</v>
      </c>
      <c r="I731" s="637">
        <v>930</v>
      </c>
      <c r="J731" s="638">
        <v>5.6</v>
      </c>
      <c r="K731" s="635"/>
      <c r="L731" s="635"/>
      <c r="M731" s="635"/>
      <c r="N731" s="635"/>
      <c r="O731" s="635"/>
      <c r="P731" s="635"/>
      <c r="Q731" s="635"/>
      <c r="R731" s="635"/>
      <c r="S731" s="635"/>
      <c r="T731" s="635"/>
    </row>
    <row r="732" spans="1:20" x14ac:dyDescent="0.3">
      <c r="A732" s="635"/>
      <c r="B732" s="635"/>
      <c r="C732" s="635"/>
      <c r="D732" s="635"/>
      <c r="E732" s="635"/>
      <c r="F732" s="635"/>
      <c r="G732" s="636"/>
      <c r="H732" s="637"/>
      <c r="I732" s="637"/>
      <c r="J732" s="638"/>
      <c r="K732" s="635"/>
      <c r="L732" s="635"/>
      <c r="M732" s="635"/>
      <c r="N732" s="635"/>
      <c r="O732" s="635"/>
      <c r="P732" s="635"/>
      <c r="Q732" s="635"/>
      <c r="R732" s="635"/>
      <c r="S732" s="635"/>
      <c r="T732" s="635"/>
    </row>
    <row r="733" spans="1:20" x14ac:dyDescent="0.3">
      <c r="A733" s="635"/>
      <c r="B733" s="635" t="s">
        <v>818</v>
      </c>
      <c r="C733" s="635" t="s">
        <v>819</v>
      </c>
      <c r="D733" s="635"/>
      <c r="E733" s="635"/>
      <c r="F733" s="635"/>
      <c r="G733" s="636">
        <v>11.1</v>
      </c>
      <c r="H733" s="637">
        <v>312</v>
      </c>
      <c r="I733" s="637">
        <v>4420</v>
      </c>
      <c r="J733" s="638">
        <v>2</v>
      </c>
      <c r="K733" s="635"/>
      <c r="L733" s="635"/>
      <c r="M733" s="635"/>
      <c r="N733" s="635"/>
      <c r="O733" s="635"/>
      <c r="P733" s="635"/>
      <c r="Q733" s="635"/>
      <c r="R733" s="635"/>
      <c r="S733" s="635"/>
      <c r="T733" s="635"/>
    </row>
    <row r="734" spans="1:20" x14ac:dyDescent="0.3">
      <c r="A734" s="635"/>
      <c r="B734" s="635"/>
      <c r="C734" s="635" t="s">
        <v>820</v>
      </c>
      <c r="D734" s="635" t="s">
        <v>821</v>
      </c>
      <c r="E734" s="635"/>
      <c r="F734" s="635"/>
      <c r="G734" s="636">
        <v>11.1</v>
      </c>
      <c r="H734" s="637">
        <v>312</v>
      </c>
      <c r="I734" s="637">
        <v>4420</v>
      </c>
      <c r="J734" s="638">
        <v>2</v>
      </c>
      <c r="K734" s="635"/>
      <c r="L734" s="635"/>
      <c r="M734" s="635"/>
      <c r="N734" s="635"/>
      <c r="O734" s="635"/>
      <c r="P734" s="635"/>
      <c r="Q734" s="635"/>
      <c r="R734" s="635"/>
      <c r="S734" s="635"/>
      <c r="T734" s="635"/>
    </row>
    <row r="735" spans="1:20" x14ac:dyDescent="0.3">
      <c r="A735" s="635"/>
      <c r="B735" s="635"/>
      <c r="C735" s="635" t="s">
        <v>822</v>
      </c>
      <c r="D735" s="635" t="s">
        <v>823</v>
      </c>
      <c r="E735" s="635"/>
      <c r="F735" s="635"/>
      <c r="G735" s="655" t="s">
        <v>230</v>
      </c>
      <c r="H735" s="656" t="s">
        <v>230</v>
      </c>
      <c r="I735" s="656" t="s">
        <v>230</v>
      </c>
      <c r="J735" s="657" t="s">
        <v>230</v>
      </c>
      <c r="K735" s="635"/>
      <c r="L735" s="635"/>
      <c r="M735" s="635"/>
      <c r="N735" s="635"/>
      <c r="O735" s="635"/>
      <c r="P735" s="635"/>
      <c r="Q735" s="635"/>
      <c r="R735" s="635"/>
      <c r="S735" s="635"/>
      <c r="T735" s="635"/>
    </row>
    <row r="736" spans="1:20" x14ac:dyDescent="0.3">
      <c r="A736" s="635"/>
      <c r="B736" s="635"/>
      <c r="C736" s="635"/>
      <c r="D736" s="635"/>
      <c r="E736" s="635"/>
      <c r="F736" s="635"/>
      <c r="G736" s="636"/>
      <c r="H736" s="637"/>
      <c r="I736" s="637"/>
      <c r="J736" s="638"/>
      <c r="K736" s="635"/>
      <c r="L736" s="635"/>
      <c r="M736" s="635"/>
      <c r="N736" s="635"/>
      <c r="O736" s="635"/>
      <c r="P736" s="635"/>
      <c r="Q736" s="635"/>
      <c r="R736" s="635"/>
      <c r="S736" s="635"/>
      <c r="T736" s="635"/>
    </row>
    <row r="737" spans="1:20" x14ac:dyDescent="0.3">
      <c r="A737" s="635"/>
      <c r="B737" s="635" t="s">
        <v>824</v>
      </c>
      <c r="C737" s="635" t="s">
        <v>825</v>
      </c>
      <c r="D737" s="635"/>
      <c r="E737" s="635"/>
      <c r="F737" s="635"/>
      <c r="G737" s="636">
        <v>0.4</v>
      </c>
      <c r="H737" s="637">
        <v>12</v>
      </c>
      <c r="I737" s="637">
        <v>740</v>
      </c>
      <c r="J737" s="638">
        <v>6.2</v>
      </c>
      <c r="K737" s="635"/>
      <c r="L737" s="635"/>
      <c r="M737" s="635"/>
      <c r="N737" s="635"/>
      <c r="O737" s="635"/>
      <c r="P737" s="635"/>
      <c r="Q737" s="635"/>
      <c r="R737" s="635"/>
      <c r="S737" s="635"/>
      <c r="T737" s="635"/>
    </row>
    <row r="738" spans="1:20" x14ac:dyDescent="0.3">
      <c r="A738" s="635"/>
      <c r="B738" s="635"/>
      <c r="C738" s="635"/>
      <c r="D738" s="635"/>
      <c r="E738" s="635"/>
      <c r="F738" s="635"/>
      <c r="G738" s="636"/>
      <c r="H738" s="637"/>
      <c r="I738" s="637"/>
      <c r="J738" s="638"/>
      <c r="K738" s="635"/>
      <c r="L738" s="635"/>
      <c r="M738" s="635"/>
      <c r="N738" s="635"/>
      <c r="O738" s="635"/>
      <c r="P738" s="635"/>
      <c r="Q738" s="635"/>
      <c r="R738" s="635"/>
      <c r="S738" s="635"/>
      <c r="T738" s="635"/>
    </row>
    <row r="739" spans="1:20" x14ac:dyDescent="0.3">
      <c r="A739" s="635">
        <v>12.5</v>
      </c>
      <c r="B739" s="635" t="s">
        <v>432</v>
      </c>
      <c r="C739" s="635"/>
      <c r="D739" s="635"/>
      <c r="E739" s="635"/>
      <c r="F739" s="635"/>
      <c r="G739" s="636">
        <v>4.8</v>
      </c>
      <c r="H739" s="637">
        <v>136</v>
      </c>
      <c r="I739" s="637">
        <v>1920</v>
      </c>
      <c r="J739" s="638">
        <v>5.2</v>
      </c>
      <c r="K739" s="635"/>
      <c r="L739" s="635"/>
      <c r="M739" s="635"/>
      <c r="N739" s="635"/>
      <c r="O739" s="635"/>
      <c r="P739" s="635"/>
      <c r="Q739" s="635"/>
      <c r="R739" s="635"/>
      <c r="S739" s="635"/>
      <c r="T739" s="635"/>
    </row>
    <row r="740" spans="1:20" x14ac:dyDescent="0.3">
      <c r="A740" s="635"/>
      <c r="B740" s="635" t="s">
        <v>826</v>
      </c>
      <c r="C740" s="635" t="s">
        <v>827</v>
      </c>
      <c r="D740" s="635"/>
      <c r="E740" s="635"/>
      <c r="F740" s="635"/>
      <c r="G740" s="636">
        <v>1.9</v>
      </c>
      <c r="H740" s="637">
        <v>53</v>
      </c>
      <c r="I740" s="637">
        <v>280</v>
      </c>
      <c r="J740" s="638">
        <v>7.7</v>
      </c>
      <c r="K740" s="635"/>
      <c r="L740" s="635"/>
      <c r="M740" s="635"/>
      <c r="N740" s="635"/>
      <c r="O740" s="635"/>
      <c r="P740" s="635"/>
      <c r="Q740" s="635"/>
      <c r="R740" s="635"/>
      <c r="S740" s="635"/>
      <c r="T740" s="635"/>
    </row>
    <row r="741" spans="1:20" x14ac:dyDescent="0.3">
      <c r="A741" s="635"/>
      <c r="B741" s="635"/>
      <c r="C741" s="635" t="s">
        <v>828</v>
      </c>
      <c r="D741" s="635" t="s">
        <v>829</v>
      </c>
      <c r="E741" s="635"/>
      <c r="F741" s="635"/>
      <c r="G741" s="636">
        <v>0.4</v>
      </c>
      <c r="H741" s="637">
        <v>10</v>
      </c>
      <c r="I741" s="637">
        <v>140</v>
      </c>
      <c r="J741" s="638">
        <v>10.4</v>
      </c>
      <c r="K741" s="635"/>
      <c r="L741" s="635"/>
      <c r="M741" s="635"/>
      <c r="N741" s="635"/>
      <c r="O741" s="635"/>
      <c r="P741" s="635"/>
      <c r="Q741" s="635"/>
      <c r="R741" s="635"/>
      <c r="S741" s="635"/>
      <c r="T741" s="635"/>
    </row>
    <row r="742" spans="1:20" x14ac:dyDescent="0.3">
      <c r="A742" s="635"/>
      <c r="B742" s="635"/>
      <c r="C742" s="635" t="s">
        <v>830</v>
      </c>
      <c r="D742" s="635" t="s">
        <v>831</v>
      </c>
      <c r="E742" s="635"/>
      <c r="F742" s="635"/>
      <c r="G742" s="636">
        <v>0.9</v>
      </c>
      <c r="H742" s="637">
        <v>26</v>
      </c>
      <c r="I742" s="637">
        <v>80</v>
      </c>
      <c r="J742" s="638">
        <v>13.6</v>
      </c>
      <c r="K742" s="635"/>
      <c r="L742" s="635"/>
      <c r="M742" s="635"/>
      <c r="N742" s="635"/>
      <c r="O742" s="635"/>
      <c r="P742" s="635"/>
      <c r="Q742" s="635"/>
      <c r="R742" s="635"/>
      <c r="S742" s="635"/>
      <c r="T742" s="635"/>
    </row>
    <row r="743" spans="1:20" x14ac:dyDescent="0.3">
      <c r="A743" s="635"/>
      <c r="B743" s="635"/>
      <c r="C743" s="635" t="s">
        <v>832</v>
      </c>
      <c r="D743" s="635" t="s">
        <v>833</v>
      </c>
      <c r="E743" s="635"/>
      <c r="F743" s="635"/>
      <c r="G743" s="636">
        <v>0.3</v>
      </c>
      <c r="H743" s="637">
        <v>7</v>
      </c>
      <c r="I743" s="637">
        <v>30</v>
      </c>
      <c r="J743" s="638">
        <v>16.5</v>
      </c>
      <c r="K743" s="635"/>
      <c r="L743" s="635"/>
      <c r="M743" s="635"/>
      <c r="N743" s="635"/>
      <c r="O743" s="635"/>
      <c r="P743" s="635"/>
      <c r="Q743" s="635"/>
      <c r="R743" s="635"/>
      <c r="S743" s="635"/>
      <c r="T743" s="635"/>
    </row>
    <row r="744" spans="1:20" x14ac:dyDescent="0.3">
      <c r="A744" s="635"/>
      <c r="B744" s="635"/>
      <c r="C744" s="635" t="s">
        <v>834</v>
      </c>
      <c r="D744" s="635" t="s">
        <v>835</v>
      </c>
      <c r="E744" s="635"/>
      <c r="F744" s="635"/>
      <c r="G744" s="636">
        <v>0.3</v>
      </c>
      <c r="H744" s="637">
        <v>8</v>
      </c>
      <c r="I744" s="637">
        <v>60</v>
      </c>
      <c r="J744" s="638">
        <v>11.2</v>
      </c>
      <c r="K744" s="635"/>
      <c r="L744" s="635"/>
      <c r="M744" s="635"/>
      <c r="N744" s="635"/>
      <c r="O744" s="635"/>
      <c r="P744" s="635"/>
      <c r="Q744" s="635"/>
      <c r="R744" s="635"/>
      <c r="S744" s="635"/>
      <c r="T744" s="635"/>
    </row>
    <row r="745" spans="1:20" x14ac:dyDescent="0.3">
      <c r="A745" s="635"/>
      <c r="B745" s="635"/>
      <c r="C745" s="635" t="s">
        <v>836</v>
      </c>
      <c r="D745" s="635" t="s">
        <v>837</v>
      </c>
      <c r="E745" s="635"/>
      <c r="F745" s="635"/>
      <c r="G745" s="636">
        <v>0.1</v>
      </c>
      <c r="H745" s="637">
        <v>3</v>
      </c>
      <c r="I745" s="637">
        <v>40</v>
      </c>
      <c r="J745" s="638">
        <v>23.3</v>
      </c>
      <c r="K745" s="635"/>
      <c r="L745" s="635"/>
      <c r="M745" s="635"/>
      <c r="N745" s="635"/>
      <c r="O745" s="635"/>
      <c r="P745" s="635"/>
      <c r="Q745" s="635"/>
      <c r="R745" s="635"/>
      <c r="S745" s="635"/>
      <c r="T745" s="635"/>
    </row>
    <row r="746" spans="1:20" x14ac:dyDescent="0.3">
      <c r="A746" s="635"/>
      <c r="B746" s="635"/>
      <c r="C746" s="635"/>
      <c r="D746" s="635"/>
      <c r="E746" s="635"/>
      <c r="F746" s="635"/>
      <c r="G746" s="636"/>
      <c r="H746" s="637"/>
      <c r="I746" s="637"/>
      <c r="J746" s="638"/>
      <c r="K746" s="635"/>
      <c r="L746" s="635"/>
      <c r="M746" s="635"/>
      <c r="N746" s="635"/>
      <c r="O746" s="635"/>
      <c r="P746" s="635"/>
      <c r="Q746" s="635"/>
      <c r="R746" s="635"/>
      <c r="S746" s="635"/>
      <c r="T746" s="635"/>
    </row>
    <row r="747" spans="1:20" x14ac:dyDescent="0.3">
      <c r="A747" s="635"/>
      <c r="B747" s="635" t="s">
        <v>838</v>
      </c>
      <c r="C747" s="635" t="s">
        <v>839</v>
      </c>
      <c r="D747" s="635"/>
      <c r="E747" s="635"/>
      <c r="F747" s="635"/>
      <c r="G747" s="636">
        <v>0.6</v>
      </c>
      <c r="H747" s="637">
        <v>16</v>
      </c>
      <c r="I747" s="637">
        <v>1350</v>
      </c>
      <c r="J747" s="638">
        <v>8.4</v>
      </c>
      <c r="K747" s="635"/>
      <c r="L747" s="635"/>
      <c r="M747" s="635"/>
      <c r="N747" s="635"/>
      <c r="O747" s="635"/>
      <c r="P747" s="635"/>
      <c r="Q747" s="635"/>
      <c r="R747" s="635"/>
      <c r="S747" s="635"/>
      <c r="T747" s="635"/>
    </row>
    <row r="748" spans="1:20" x14ac:dyDescent="0.3">
      <c r="A748" s="635"/>
      <c r="B748" s="635"/>
      <c r="C748" s="635" t="s">
        <v>840</v>
      </c>
      <c r="D748" s="635" t="s">
        <v>841</v>
      </c>
      <c r="E748" s="635"/>
      <c r="F748" s="635"/>
      <c r="G748" s="636">
        <v>0.5</v>
      </c>
      <c r="H748" s="637">
        <v>14</v>
      </c>
      <c r="I748" s="637">
        <v>1230</v>
      </c>
      <c r="J748" s="638">
        <v>9.6</v>
      </c>
      <c r="K748" s="635"/>
      <c r="L748" s="635"/>
      <c r="M748" s="635"/>
      <c r="N748" s="635"/>
      <c r="O748" s="635"/>
      <c r="P748" s="635"/>
      <c r="Q748" s="635"/>
      <c r="R748" s="635"/>
      <c r="S748" s="635"/>
      <c r="T748" s="635"/>
    </row>
    <row r="749" spans="1:20" x14ac:dyDescent="0.3">
      <c r="A749" s="635"/>
      <c r="B749" s="635"/>
      <c r="C749" s="635" t="s">
        <v>842</v>
      </c>
      <c r="D749" s="635" t="s">
        <v>843</v>
      </c>
      <c r="E749" s="635"/>
      <c r="F749" s="635"/>
      <c r="G749" s="655" t="s">
        <v>230</v>
      </c>
      <c r="H749" s="656" t="s">
        <v>230</v>
      </c>
      <c r="I749" s="656" t="s">
        <v>230</v>
      </c>
      <c r="J749" s="657" t="s">
        <v>230</v>
      </c>
      <c r="K749" s="635"/>
      <c r="L749" s="635"/>
      <c r="M749" s="635"/>
      <c r="N749" s="635"/>
      <c r="O749" s="635"/>
      <c r="P749" s="635"/>
      <c r="Q749" s="635"/>
      <c r="R749" s="635"/>
      <c r="S749" s="635"/>
      <c r="T749" s="635"/>
    </row>
    <row r="750" spans="1:20" x14ac:dyDescent="0.3">
      <c r="A750" s="635"/>
      <c r="B750" s="635"/>
      <c r="C750" s="635" t="s">
        <v>844</v>
      </c>
      <c r="D750" s="635" t="s">
        <v>845</v>
      </c>
      <c r="E750" s="635"/>
      <c r="F750" s="635"/>
      <c r="G750" s="636">
        <v>0.1</v>
      </c>
      <c r="H750" s="637">
        <v>2</v>
      </c>
      <c r="I750" s="637">
        <v>230</v>
      </c>
      <c r="J750" s="638">
        <v>6.9</v>
      </c>
      <c r="K750" s="635"/>
      <c r="L750" s="635"/>
      <c r="M750" s="635"/>
      <c r="N750" s="635"/>
      <c r="O750" s="635"/>
      <c r="P750" s="635"/>
      <c r="Q750" s="635"/>
      <c r="R750" s="635"/>
      <c r="S750" s="635"/>
      <c r="T750" s="635"/>
    </row>
    <row r="751" spans="1:20" x14ac:dyDescent="0.3">
      <c r="A751" s="635"/>
      <c r="B751" s="635"/>
      <c r="C751" s="635" t="s">
        <v>846</v>
      </c>
      <c r="D751" s="635" t="s">
        <v>847</v>
      </c>
      <c r="E751" s="635"/>
      <c r="F751" s="635"/>
      <c r="G751" s="636" t="s">
        <v>367</v>
      </c>
      <c r="H751" s="637" t="s">
        <v>367</v>
      </c>
      <c r="I751" s="637" t="s">
        <v>367</v>
      </c>
      <c r="J751" s="638" t="s">
        <v>230</v>
      </c>
      <c r="K751" s="635"/>
      <c r="L751" s="635"/>
      <c r="M751" s="635"/>
      <c r="N751" s="635"/>
      <c r="O751" s="635"/>
      <c r="P751" s="635"/>
      <c r="Q751" s="635"/>
      <c r="R751" s="635"/>
      <c r="S751" s="635"/>
      <c r="T751" s="635"/>
    </row>
    <row r="752" spans="1:20" x14ac:dyDescent="0.3">
      <c r="A752" s="635"/>
      <c r="B752" s="635"/>
      <c r="C752" s="635"/>
      <c r="D752" s="635"/>
      <c r="E752" s="635"/>
      <c r="F752" s="635"/>
      <c r="G752" s="636"/>
      <c r="H752" s="637"/>
      <c r="I752" s="637"/>
      <c r="J752" s="638"/>
      <c r="K752" s="635"/>
      <c r="L752" s="635"/>
      <c r="M752" s="635"/>
      <c r="N752" s="635"/>
      <c r="O752" s="635"/>
      <c r="P752" s="635"/>
      <c r="Q752" s="635"/>
      <c r="R752" s="635"/>
      <c r="S752" s="635"/>
      <c r="T752" s="635"/>
    </row>
    <row r="753" spans="1:20" x14ac:dyDescent="0.3">
      <c r="A753" s="635"/>
      <c r="B753" s="635" t="s">
        <v>848</v>
      </c>
      <c r="C753" s="635" t="s">
        <v>849</v>
      </c>
      <c r="D753" s="635"/>
      <c r="E753" s="635"/>
      <c r="F753" s="635"/>
      <c r="G753" s="636">
        <v>2.2999999999999998</v>
      </c>
      <c r="H753" s="637">
        <v>66</v>
      </c>
      <c r="I753" s="637">
        <v>660</v>
      </c>
      <c r="J753" s="638">
        <v>8.1999999999999993</v>
      </c>
      <c r="K753" s="635"/>
      <c r="L753" s="635"/>
      <c r="M753" s="635"/>
      <c r="N753" s="635"/>
      <c r="O753" s="635"/>
      <c r="P753" s="635"/>
      <c r="Q753" s="635"/>
      <c r="R753" s="635"/>
      <c r="S753" s="635"/>
      <c r="T753" s="635"/>
    </row>
    <row r="754" spans="1:20" x14ac:dyDescent="0.3">
      <c r="A754" s="635"/>
      <c r="B754" s="635"/>
      <c r="C754" s="635" t="s">
        <v>850</v>
      </c>
      <c r="D754" s="635" t="s">
        <v>851</v>
      </c>
      <c r="E754" s="635"/>
      <c r="F754" s="635"/>
      <c r="G754" s="636">
        <v>0.4</v>
      </c>
      <c r="H754" s="637">
        <v>12</v>
      </c>
      <c r="I754" s="637">
        <v>30</v>
      </c>
      <c r="J754" s="638">
        <v>16.8</v>
      </c>
      <c r="K754" s="635"/>
      <c r="L754" s="635"/>
      <c r="M754" s="635"/>
      <c r="N754" s="635"/>
      <c r="O754" s="635"/>
      <c r="P754" s="635"/>
      <c r="Q754" s="635"/>
      <c r="R754" s="635"/>
      <c r="S754" s="635"/>
      <c r="T754" s="635"/>
    </row>
    <row r="755" spans="1:20" x14ac:dyDescent="0.3">
      <c r="A755" s="635"/>
      <c r="B755" s="635"/>
      <c r="C755" s="635" t="s">
        <v>852</v>
      </c>
      <c r="D755" s="635" t="s">
        <v>853</v>
      </c>
      <c r="E755" s="635"/>
      <c r="F755" s="635"/>
      <c r="G755" s="636">
        <v>0.6</v>
      </c>
      <c r="H755" s="637">
        <v>16</v>
      </c>
      <c r="I755" s="637">
        <v>20</v>
      </c>
      <c r="J755" s="638">
        <v>26.8</v>
      </c>
      <c r="K755" s="635"/>
      <c r="L755" s="635"/>
      <c r="M755" s="635"/>
      <c r="N755" s="635"/>
      <c r="O755" s="635"/>
      <c r="P755" s="635"/>
      <c r="Q755" s="635"/>
      <c r="R755" s="635"/>
      <c r="S755" s="635"/>
      <c r="T755" s="635"/>
    </row>
    <row r="756" spans="1:20" x14ac:dyDescent="0.3">
      <c r="A756" s="635"/>
      <c r="B756" s="635"/>
      <c r="C756" s="635" t="s">
        <v>854</v>
      </c>
      <c r="D756" s="635" t="s">
        <v>855</v>
      </c>
      <c r="E756" s="635"/>
      <c r="F756" s="635"/>
      <c r="G756" s="636">
        <v>0.5</v>
      </c>
      <c r="H756" s="637">
        <v>0</v>
      </c>
      <c r="I756" s="637">
        <v>10</v>
      </c>
      <c r="J756" s="638">
        <v>10.199999999999999</v>
      </c>
      <c r="K756" s="635"/>
      <c r="L756" s="635"/>
      <c r="M756" s="635"/>
      <c r="N756" s="635"/>
      <c r="O756" s="635"/>
      <c r="P756" s="635"/>
      <c r="Q756" s="635"/>
      <c r="R756" s="635"/>
      <c r="S756" s="635"/>
      <c r="T756" s="635"/>
    </row>
    <row r="757" spans="1:20" x14ac:dyDescent="0.3">
      <c r="A757" s="635"/>
      <c r="B757" s="635"/>
      <c r="C757" s="635" t="s">
        <v>856</v>
      </c>
      <c r="D757" s="635" t="s">
        <v>857</v>
      </c>
      <c r="E757" s="635"/>
      <c r="F757" s="635"/>
      <c r="G757" s="636">
        <v>0.7</v>
      </c>
      <c r="H757" s="637">
        <v>19</v>
      </c>
      <c r="I757" s="637">
        <v>590</v>
      </c>
      <c r="J757" s="638">
        <v>9.6999999999999993</v>
      </c>
      <c r="K757" s="635"/>
      <c r="L757" s="635"/>
      <c r="M757" s="635"/>
      <c r="N757" s="635"/>
      <c r="O757" s="635"/>
      <c r="P757" s="635"/>
      <c r="Q757" s="635"/>
      <c r="R757" s="635"/>
      <c r="S757" s="635"/>
      <c r="T757" s="635"/>
    </row>
    <row r="758" spans="1:20" x14ac:dyDescent="0.3">
      <c r="A758" s="635"/>
      <c r="B758" s="635"/>
      <c r="C758" s="635" t="s">
        <v>858</v>
      </c>
      <c r="D758" s="635" t="s">
        <v>859</v>
      </c>
      <c r="E758" s="635"/>
      <c r="F758" s="635"/>
      <c r="G758" s="636">
        <v>0.2</v>
      </c>
      <c r="H758" s="637">
        <v>5</v>
      </c>
      <c r="I758" s="637">
        <v>30</v>
      </c>
      <c r="J758" s="638">
        <v>7.5</v>
      </c>
      <c r="K758" s="635"/>
      <c r="L758" s="635"/>
      <c r="M758" s="635"/>
      <c r="N758" s="635"/>
      <c r="O758" s="635"/>
      <c r="P758" s="635"/>
      <c r="Q758" s="635"/>
      <c r="R758" s="635"/>
      <c r="S758" s="635"/>
      <c r="T758" s="635"/>
    </row>
    <row r="759" spans="1:20" x14ac:dyDescent="0.3">
      <c r="A759" s="635"/>
      <c r="B759" s="635"/>
      <c r="C759" s="635"/>
      <c r="D759" s="635"/>
      <c r="E759" s="635"/>
      <c r="F759" s="635"/>
      <c r="G759" s="636"/>
      <c r="H759" s="637"/>
      <c r="I759" s="637"/>
      <c r="J759" s="638"/>
      <c r="K759" s="635"/>
      <c r="L759" s="635"/>
      <c r="M759" s="635"/>
      <c r="N759" s="635"/>
      <c r="O759" s="635"/>
      <c r="P759" s="635"/>
      <c r="Q759" s="635"/>
      <c r="R759" s="635"/>
      <c r="S759" s="635"/>
      <c r="T759" s="635"/>
    </row>
    <row r="760" spans="1:20" s="79" customFormat="1" ht="4.2" customHeight="1" x14ac:dyDescent="0.15">
      <c r="A760" s="71"/>
      <c r="B760" s="71"/>
      <c r="C760" s="72"/>
      <c r="D760" s="73"/>
      <c r="E760" s="73"/>
      <c r="F760" s="73"/>
      <c r="G760" s="73"/>
      <c r="H760" s="648"/>
      <c r="I760" s="648"/>
      <c r="J760" s="624"/>
      <c r="K760" s="128"/>
      <c r="L760" s="128"/>
      <c r="M760" s="255"/>
      <c r="N760" s="255"/>
    </row>
    <row r="761" spans="1:20" x14ac:dyDescent="0.3">
      <c r="A761" s="631" t="s">
        <v>860</v>
      </c>
      <c r="B761" s="631" t="s">
        <v>19</v>
      </c>
      <c r="C761" s="631"/>
      <c r="D761" s="631"/>
      <c r="E761" s="631"/>
      <c r="F761" s="631"/>
      <c r="G761" s="632">
        <v>414.6</v>
      </c>
      <c r="H761" s="633">
        <v>11692</v>
      </c>
      <c r="I761" s="633">
        <v>5400</v>
      </c>
      <c r="J761" s="634">
        <v>1.1000000000000001</v>
      </c>
      <c r="K761" s="635"/>
      <c r="L761" s="635"/>
      <c r="M761" s="635"/>
      <c r="N761" s="635"/>
      <c r="O761" s="635"/>
      <c r="P761" s="635"/>
      <c r="Q761" s="635"/>
      <c r="R761" s="635"/>
      <c r="S761" s="635"/>
      <c r="T761" s="635"/>
    </row>
    <row r="762" spans="1:20" s="79" customFormat="1" ht="4.2" customHeight="1" x14ac:dyDescent="0.15">
      <c r="A762" s="71"/>
      <c r="B762" s="71"/>
      <c r="C762" s="72"/>
      <c r="D762" s="73"/>
      <c r="E762" s="73"/>
      <c r="F762" s="73"/>
      <c r="G762" s="73"/>
      <c r="H762" s="648"/>
      <c r="I762" s="648"/>
      <c r="J762" s="624"/>
      <c r="K762" s="128"/>
      <c r="L762" s="128"/>
      <c r="M762" s="255"/>
      <c r="N762" s="255"/>
    </row>
    <row r="763" spans="1:20" x14ac:dyDescent="0.3">
      <c r="A763" s="631"/>
      <c r="B763" s="631"/>
      <c r="C763" s="631"/>
      <c r="D763" s="631"/>
      <c r="E763" s="631"/>
      <c r="F763" s="631"/>
      <c r="G763" s="632"/>
      <c r="H763" s="633"/>
      <c r="I763" s="633"/>
      <c r="J763" s="634"/>
      <c r="K763" s="635"/>
      <c r="L763" s="635"/>
      <c r="M763" s="635"/>
      <c r="N763" s="635"/>
      <c r="O763" s="635"/>
      <c r="P763" s="635"/>
      <c r="Q763" s="635"/>
      <c r="R763" s="635"/>
      <c r="S763" s="635"/>
      <c r="T763" s="635"/>
    </row>
    <row r="764" spans="1:20" x14ac:dyDescent="0.3">
      <c r="A764" s="631">
        <v>13</v>
      </c>
      <c r="B764" s="631" t="s">
        <v>20</v>
      </c>
      <c r="C764" s="631"/>
      <c r="D764" s="631"/>
      <c r="E764" s="631"/>
      <c r="F764" s="631"/>
      <c r="G764" s="632">
        <v>66.900000000000006</v>
      </c>
      <c r="H764" s="633">
        <v>1885</v>
      </c>
      <c r="I764" s="633">
        <v>5250</v>
      </c>
      <c r="J764" s="634">
        <v>2</v>
      </c>
      <c r="K764" s="635"/>
      <c r="L764" s="635"/>
      <c r="M764" s="635"/>
      <c r="N764" s="635"/>
      <c r="O764" s="635"/>
      <c r="P764" s="635"/>
      <c r="Q764" s="635"/>
      <c r="R764" s="635"/>
      <c r="S764" s="635"/>
      <c r="T764" s="635"/>
    </row>
    <row r="765" spans="1:20" x14ac:dyDescent="0.3">
      <c r="A765" s="635"/>
      <c r="B765" s="635"/>
      <c r="C765" s="635"/>
      <c r="D765" s="635"/>
      <c r="E765" s="635"/>
      <c r="F765" s="635"/>
      <c r="G765" s="636"/>
      <c r="H765" s="637"/>
      <c r="I765" s="637"/>
      <c r="J765" s="638"/>
      <c r="K765" s="635"/>
      <c r="L765" s="635"/>
      <c r="M765" s="635"/>
      <c r="N765" s="635"/>
      <c r="O765" s="635"/>
      <c r="P765" s="635"/>
      <c r="Q765" s="635"/>
      <c r="R765" s="635"/>
      <c r="S765" s="635"/>
      <c r="T765" s="635"/>
    </row>
    <row r="766" spans="1:20" x14ac:dyDescent="0.3">
      <c r="A766" s="635">
        <v>13.1</v>
      </c>
      <c r="B766" s="635" t="s">
        <v>861</v>
      </c>
      <c r="C766" s="635"/>
      <c r="D766" s="635"/>
      <c r="E766" s="635"/>
      <c r="F766" s="635"/>
      <c r="G766" s="636">
        <v>52</v>
      </c>
      <c r="H766" s="637">
        <v>1466</v>
      </c>
      <c r="I766" s="637">
        <v>5110</v>
      </c>
      <c r="J766" s="638">
        <v>1.6</v>
      </c>
      <c r="K766" s="635"/>
      <c r="L766" s="635"/>
      <c r="M766" s="635"/>
      <c r="N766" s="635"/>
      <c r="O766" s="635"/>
      <c r="P766" s="635"/>
      <c r="Q766" s="635"/>
      <c r="R766" s="635"/>
      <c r="S766" s="635"/>
      <c r="T766" s="635"/>
    </row>
    <row r="767" spans="1:20" x14ac:dyDescent="0.3">
      <c r="A767" s="635"/>
      <c r="B767" s="635" t="s">
        <v>862</v>
      </c>
      <c r="C767" s="635" t="s">
        <v>863</v>
      </c>
      <c r="D767" s="635"/>
      <c r="E767" s="635"/>
      <c r="F767" s="635"/>
      <c r="G767" s="636">
        <v>22.2</v>
      </c>
      <c r="H767" s="637">
        <v>626</v>
      </c>
      <c r="I767" s="637">
        <v>1750</v>
      </c>
      <c r="J767" s="638">
        <v>3</v>
      </c>
      <c r="K767" s="635"/>
      <c r="L767" s="635"/>
      <c r="M767" s="635"/>
      <c r="N767" s="635"/>
      <c r="O767" s="635"/>
      <c r="P767" s="635"/>
      <c r="Q767" s="635"/>
      <c r="R767" s="635"/>
      <c r="S767" s="635"/>
      <c r="T767" s="635"/>
    </row>
    <row r="768" spans="1:20" x14ac:dyDescent="0.3">
      <c r="A768" s="635"/>
      <c r="B768" s="635" t="s">
        <v>864</v>
      </c>
      <c r="C768" s="635" t="s">
        <v>865</v>
      </c>
      <c r="D768" s="635"/>
      <c r="E768" s="635"/>
      <c r="F768" s="635"/>
      <c r="G768" s="636">
        <v>0.9</v>
      </c>
      <c r="H768" s="637">
        <v>27</v>
      </c>
      <c r="I768" s="637">
        <v>560</v>
      </c>
      <c r="J768" s="638">
        <v>6</v>
      </c>
      <c r="K768" s="635"/>
      <c r="L768" s="635"/>
      <c r="M768" s="635"/>
      <c r="N768" s="635"/>
      <c r="O768" s="635"/>
      <c r="P768" s="635"/>
      <c r="Q768" s="635"/>
      <c r="R768" s="635"/>
      <c r="S768" s="635"/>
      <c r="T768" s="635"/>
    </row>
    <row r="769" spans="1:20" x14ac:dyDescent="0.3">
      <c r="A769" s="635"/>
      <c r="B769" s="635" t="s">
        <v>866</v>
      </c>
      <c r="C769" s="635" t="s">
        <v>867</v>
      </c>
      <c r="D769" s="635"/>
      <c r="E769" s="635"/>
      <c r="F769" s="635"/>
      <c r="G769" s="636">
        <v>27.6</v>
      </c>
      <c r="H769" s="637">
        <v>779</v>
      </c>
      <c r="I769" s="637">
        <v>5100</v>
      </c>
      <c r="J769" s="638">
        <v>0.7</v>
      </c>
      <c r="K769" s="635"/>
      <c r="L769" s="635"/>
      <c r="M769" s="635"/>
      <c r="N769" s="635"/>
      <c r="O769" s="635"/>
      <c r="P769" s="635"/>
      <c r="Q769" s="635"/>
      <c r="R769" s="635"/>
      <c r="S769" s="635"/>
      <c r="T769" s="635"/>
    </row>
    <row r="770" spans="1:20" x14ac:dyDescent="0.3">
      <c r="A770" s="635"/>
      <c r="B770" s="635" t="s">
        <v>868</v>
      </c>
      <c r="C770" s="635" t="s">
        <v>869</v>
      </c>
      <c r="D770" s="635"/>
      <c r="E770" s="635"/>
      <c r="F770" s="635"/>
      <c r="G770" s="636">
        <v>1.2</v>
      </c>
      <c r="H770" s="637">
        <v>34</v>
      </c>
      <c r="I770" s="637">
        <v>40</v>
      </c>
      <c r="J770" s="638">
        <v>24</v>
      </c>
      <c r="K770" s="635"/>
      <c r="L770" s="635"/>
      <c r="M770" s="635"/>
      <c r="N770" s="635"/>
      <c r="O770" s="635"/>
      <c r="P770" s="635"/>
      <c r="Q770" s="635"/>
      <c r="R770" s="635"/>
      <c r="S770" s="635"/>
      <c r="T770" s="635"/>
    </row>
    <row r="771" spans="1:20" x14ac:dyDescent="0.3">
      <c r="A771" s="635"/>
      <c r="B771" s="635"/>
      <c r="C771" s="635"/>
      <c r="D771" s="635"/>
      <c r="E771" s="635"/>
      <c r="F771" s="635"/>
      <c r="G771" s="636"/>
      <c r="H771" s="637"/>
      <c r="I771" s="637"/>
      <c r="J771" s="638"/>
      <c r="K771" s="635"/>
      <c r="L771" s="635"/>
      <c r="M771" s="635"/>
      <c r="N771" s="635"/>
      <c r="O771" s="635"/>
      <c r="P771" s="635"/>
      <c r="Q771" s="635"/>
      <c r="R771" s="635"/>
      <c r="S771" s="635"/>
      <c r="T771" s="635"/>
    </row>
    <row r="772" spans="1:20" x14ac:dyDescent="0.3">
      <c r="A772" s="635">
        <v>13.2</v>
      </c>
      <c r="B772" s="635" t="s">
        <v>870</v>
      </c>
      <c r="C772" s="635"/>
      <c r="D772" s="635"/>
      <c r="E772" s="635"/>
      <c r="F772" s="635"/>
      <c r="G772" s="636">
        <v>3.5</v>
      </c>
      <c r="H772" s="637">
        <v>100</v>
      </c>
      <c r="I772" s="637">
        <v>4160</v>
      </c>
      <c r="J772" s="638">
        <v>2.8</v>
      </c>
      <c r="K772" s="635"/>
      <c r="L772" s="635"/>
      <c r="M772" s="635"/>
      <c r="N772" s="635"/>
      <c r="O772" s="635"/>
      <c r="P772" s="635"/>
      <c r="Q772" s="635"/>
      <c r="R772" s="635"/>
      <c r="S772" s="635"/>
      <c r="T772" s="635"/>
    </row>
    <row r="773" spans="1:20" x14ac:dyDescent="0.3">
      <c r="A773" s="635"/>
      <c r="B773" s="635" t="s">
        <v>871</v>
      </c>
      <c r="C773" s="635" t="s">
        <v>872</v>
      </c>
      <c r="D773" s="635"/>
      <c r="E773" s="635"/>
      <c r="F773" s="635"/>
      <c r="G773" s="636">
        <v>0.2</v>
      </c>
      <c r="H773" s="637">
        <v>6</v>
      </c>
      <c r="I773" s="637">
        <v>50</v>
      </c>
      <c r="J773" s="638">
        <v>43.4</v>
      </c>
      <c r="K773" s="635"/>
      <c r="L773" s="635"/>
      <c r="M773" s="635"/>
      <c r="N773" s="635"/>
      <c r="O773" s="635"/>
      <c r="P773" s="635"/>
      <c r="Q773" s="635"/>
      <c r="R773" s="635"/>
      <c r="S773" s="635"/>
      <c r="T773" s="635"/>
    </row>
    <row r="774" spans="1:20" x14ac:dyDescent="0.3">
      <c r="A774" s="635"/>
      <c r="B774" s="635" t="s">
        <v>873</v>
      </c>
      <c r="C774" s="635" t="s">
        <v>874</v>
      </c>
      <c r="D774" s="635"/>
      <c r="E774" s="635"/>
      <c r="F774" s="635"/>
      <c r="G774" s="655" t="s">
        <v>230</v>
      </c>
      <c r="H774" s="656" t="s">
        <v>230</v>
      </c>
      <c r="I774" s="656" t="s">
        <v>230</v>
      </c>
      <c r="J774" s="657" t="s">
        <v>230</v>
      </c>
      <c r="K774" s="635"/>
      <c r="L774" s="635"/>
      <c r="M774" s="635"/>
      <c r="N774" s="635"/>
      <c r="O774" s="635"/>
      <c r="P774" s="635"/>
      <c r="Q774" s="635"/>
      <c r="R774" s="635"/>
      <c r="S774" s="635"/>
      <c r="T774" s="635"/>
    </row>
    <row r="775" spans="1:20" x14ac:dyDescent="0.3">
      <c r="A775" s="635"/>
      <c r="B775" s="635" t="s">
        <v>875</v>
      </c>
      <c r="C775" s="635" t="s">
        <v>876</v>
      </c>
      <c r="D775" s="635"/>
      <c r="E775" s="635"/>
      <c r="F775" s="635"/>
      <c r="G775" s="636">
        <v>3.3</v>
      </c>
      <c r="H775" s="637">
        <v>92</v>
      </c>
      <c r="I775" s="637">
        <v>4150</v>
      </c>
      <c r="J775" s="638">
        <v>1.3</v>
      </c>
      <c r="K775" s="635"/>
      <c r="L775" s="635"/>
      <c r="M775" s="635"/>
      <c r="N775" s="635"/>
      <c r="O775" s="635"/>
      <c r="P775" s="635"/>
      <c r="Q775" s="635"/>
      <c r="R775" s="635"/>
      <c r="S775" s="635"/>
      <c r="T775" s="635"/>
    </row>
    <row r="776" spans="1:20" x14ac:dyDescent="0.3">
      <c r="A776" s="635"/>
      <c r="B776" s="635"/>
      <c r="C776" s="635"/>
      <c r="D776" s="635"/>
      <c r="E776" s="635"/>
      <c r="F776" s="635"/>
      <c r="G776" s="636"/>
      <c r="H776" s="637"/>
      <c r="I776" s="637"/>
      <c r="J776" s="638"/>
      <c r="K776" s="635"/>
      <c r="L776" s="635"/>
      <c r="M776" s="635"/>
      <c r="N776" s="635"/>
      <c r="O776" s="635"/>
      <c r="P776" s="635"/>
      <c r="Q776" s="635"/>
      <c r="R776" s="635"/>
      <c r="S776" s="635"/>
      <c r="T776" s="635"/>
    </row>
    <row r="777" spans="1:20" x14ac:dyDescent="0.3">
      <c r="A777" s="635">
        <v>13.3</v>
      </c>
      <c r="B777" s="635" t="s">
        <v>877</v>
      </c>
      <c r="C777" s="635"/>
      <c r="D777" s="635"/>
      <c r="E777" s="635"/>
      <c r="F777" s="635"/>
      <c r="G777" s="636">
        <v>1</v>
      </c>
      <c r="H777" s="637">
        <v>27</v>
      </c>
      <c r="I777" s="637">
        <v>30</v>
      </c>
      <c r="J777" s="638">
        <v>91.8</v>
      </c>
      <c r="K777" s="635"/>
      <c r="L777" s="635"/>
      <c r="M777" s="635"/>
      <c r="N777" s="635"/>
      <c r="O777" s="635"/>
      <c r="P777" s="635"/>
      <c r="Q777" s="635"/>
      <c r="R777" s="635"/>
      <c r="S777" s="635"/>
      <c r="T777" s="635"/>
    </row>
    <row r="778" spans="1:20" x14ac:dyDescent="0.3">
      <c r="A778" s="635"/>
      <c r="B778" s="635" t="s">
        <v>878</v>
      </c>
      <c r="C778" s="635" t="s">
        <v>879</v>
      </c>
      <c r="D778" s="635"/>
      <c r="E778" s="635"/>
      <c r="F778" s="635"/>
      <c r="G778" s="636">
        <v>1</v>
      </c>
      <c r="H778" s="637">
        <v>27</v>
      </c>
      <c r="I778" s="637">
        <v>30</v>
      </c>
      <c r="J778" s="638">
        <v>91.8</v>
      </c>
      <c r="K778" s="635"/>
      <c r="L778" s="635"/>
      <c r="M778" s="635"/>
      <c r="N778" s="635"/>
      <c r="O778" s="635"/>
      <c r="P778" s="635"/>
      <c r="Q778" s="635"/>
      <c r="R778" s="635"/>
      <c r="S778" s="635"/>
      <c r="T778" s="635"/>
    </row>
    <row r="779" spans="1:20" x14ac:dyDescent="0.3">
      <c r="A779" s="635"/>
      <c r="B779" s="635" t="s">
        <v>880</v>
      </c>
      <c r="C779" s="635" t="s">
        <v>881</v>
      </c>
      <c r="D779" s="635"/>
      <c r="E779" s="635"/>
      <c r="F779" s="635"/>
      <c r="G779" s="655" t="s">
        <v>367</v>
      </c>
      <c r="H779" s="656" t="s">
        <v>367</v>
      </c>
      <c r="I779" s="656" t="s">
        <v>367</v>
      </c>
      <c r="J779" s="657" t="s">
        <v>230</v>
      </c>
      <c r="K779" s="635"/>
      <c r="L779" s="635"/>
      <c r="M779" s="635"/>
      <c r="N779" s="635"/>
      <c r="O779" s="635"/>
      <c r="P779" s="635"/>
      <c r="Q779" s="635"/>
      <c r="R779" s="635"/>
      <c r="S779" s="635"/>
      <c r="T779" s="635"/>
    </row>
    <row r="780" spans="1:20" s="79" customFormat="1" ht="4.2" customHeight="1" x14ac:dyDescent="0.15">
      <c r="A780" s="316"/>
      <c r="B780" s="71"/>
      <c r="C780" s="72"/>
      <c r="D780" s="73"/>
      <c r="E780" s="73"/>
      <c r="F780" s="73"/>
      <c r="G780" s="73"/>
      <c r="H780" s="648"/>
      <c r="I780" s="648"/>
      <c r="J780" s="624"/>
      <c r="K780" s="208"/>
      <c r="L780" s="269"/>
    </row>
    <row r="781" spans="1:20" x14ac:dyDescent="0.3">
      <c r="A781" s="635"/>
      <c r="B781" s="635"/>
      <c r="C781" s="635"/>
      <c r="D781" s="635"/>
      <c r="E781" s="635"/>
      <c r="F781" s="635"/>
      <c r="G781" s="636"/>
      <c r="H781" s="637"/>
      <c r="I781" s="637"/>
      <c r="J781" s="638"/>
      <c r="K781" s="635"/>
      <c r="L781" s="635"/>
      <c r="M781" s="635"/>
      <c r="N781" s="635"/>
      <c r="O781" s="635"/>
      <c r="P781" s="635"/>
      <c r="Q781" s="635"/>
      <c r="R781" s="635"/>
      <c r="S781" s="635"/>
      <c r="T781" s="635"/>
    </row>
    <row r="782" spans="1:20" x14ac:dyDescent="0.3">
      <c r="A782" s="635" t="s">
        <v>111</v>
      </c>
      <c r="B782" s="635"/>
      <c r="C782" s="635"/>
      <c r="D782" s="635"/>
      <c r="E782" s="635"/>
      <c r="F782" s="635"/>
      <c r="G782" s="636"/>
      <c r="H782" s="637"/>
      <c r="I782" s="637"/>
      <c r="J782" s="638"/>
      <c r="K782" s="635"/>
      <c r="L782" s="635"/>
      <c r="M782" s="635"/>
      <c r="N782" s="635"/>
      <c r="O782" s="635"/>
      <c r="P782" s="635"/>
      <c r="Q782" s="635"/>
      <c r="R782" s="635"/>
      <c r="S782" s="635"/>
      <c r="T782" s="635"/>
    </row>
    <row r="783" spans="1:20" x14ac:dyDescent="0.3">
      <c r="A783" s="635" t="s">
        <v>182</v>
      </c>
      <c r="B783" s="635"/>
      <c r="C783" s="635"/>
      <c r="D783" s="635"/>
      <c r="E783" s="635"/>
      <c r="F783" s="635"/>
      <c r="G783" s="636"/>
      <c r="H783" s="637"/>
      <c r="I783" s="637"/>
      <c r="J783" s="638"/>
      <c r="K783" s="635"/>
      <c r="L783" s="635"/>
      <c r="M783" s="635"/>
      <c r="N783" s="635"/>
      <c r="O783" s="635"/>
      <c r="P783" s="635"/>
      <c r="Q783" s="635"/>
      <c r="R783" s="635"/>
      <c r="S783" s="635"/>
      <c r="T783" s="635"/>
    </row>
    <row r="784" spans="1:20" x14ac:dyDescent="0.3">
      <c r="A784" s="635" t="s">
        <v>112</v>
      </c>
      <c r="B784" s="635"/>
      <c r="C784" s="635"/>
      <c r="D784" s="635"/>
      <c r="E784" s="635"/>
      <c r="F784" s="635"/>
      <c r="G784" s="636"/>
      <c r="H784" s="637"/>
      <c r="I784" s="637"/>
      <c r="J784" s="638"/>
      <c r="K784" s="635"/>
      <c r="L784" s="635"/>
      <c r="M784" s="635"/>
      <c r="N784" s="635"/>
      <c r="O784" s="635"/>
      <c r="P784" s="635"/>
      <c r="Q784" s="635"/>
      <c r="R784" s="635"/>
      <c r="S784" s="635"/>
      <c r="T784" s="635"/>
    </row>
    <row r="785" spans="1:20" x14ac:dyDescent="0.3">
      <c r="A785" s="635" t="s">
        <v>882</v>
      </c>
      <c r="B785" s="635"/>
      <c r="C785" s="635"/>
      <c r="D785" s="635"/>
      <c r="E785" s="635"/>
      <c r="F785" s="635"/>
      <c r="G785" s="636"/>
      <c r="H785" s="637"/>
      <c r="I785" s="637"/>
      <c r="J785" s="638"/>
      <c r="K785" s="635"/>
      <c r="L785" s="635"/>
      <c r="M785" s="635"/>
      <c r="N785" s="635"/>
      <c r="O785" s="635"/>
      <c r="P785" s="635"/>
      <c r="Q785" s="635"/>
      <c r="R785" s="635"/>
      <c r="S785" s="635"/>
      <c r="T785" s="635"/>
    </row>
    <row r="786" spans="1:20" x14ac:dyDescent="0.3">
      <c r="A786" s="635" t="s">
        <v>883</v>
      </c>
      <c r="B786" s="635"/>
      <c r="C786" s="635"/>
      <c r="D786" s="635"/>
      <c r="E786" s="635"/>
      <c r="F786" s="635"/>
      <c r="G786" s="636"/>
      <c r="H786" s="637"/>
      <c r="I786" s="637"/>
      <c r="J786" s="638"/>
      <c r="K786" s="635"/>
      <c r="L786" s="635"/>
      <c r="M786" s="635"/>
      <c r="N786" s="635"/>
      <c r="O786" s="635"/>
      <c r="P786" s="635"/>
      <c r="Q786" s="635"/>
      <c r="R786" s="635"/>
      <c r="S786" s="635"/>
      <c r="T786" s="635"/>
    </row>
    <row r="787" spans="1:20" x14ac:dyDescent="0.3">
      <c r="A787" s="635" t="s">
        <v>884</v>
      </c>
      <c r="B787" s="635"/>
      <c r="C787" s="635"/>
      <c r="D787" s="635"/>
      <c r="E787" s="635"/>
      <c r="F787" s="635"/>
      <c r="G787" s="636"/>
      <c r="H787" s="637"/>
      <c r="I787" s="637"/>
      <c r="J787" s="638"/>
      <c r="K787" s="635"/>
      <c r="L787" s="635"/>
      <c r="M787" s="635"/>
      <c r="N787" s="635"/>
      <c r="O787" s="635"/>
      <c r="P787" s="635"/>
      <c r="Q787" s="635"/>
      <c r="R787" s="635"/>
      <c r="S787" s="635"/>
      <c r="T787" s="635"/>
    </row>
    <row r="788" spans="1:20" x14ac:dyDescent="0.3">
      <c r="A788" s="635" t="s">
        <v>885</v>
      </c>
      <c r="B788" s="635"/>
      <c r="C788" s="635"/>
      <c r="D788" s="635"/>
      <c r="E788" s="635"/>
      <c r="F788" s="635"/>
      <c r="G788" s="636"/>
      <c r="H788" s="637"/>
      <c r="I788" s="637"/>
      <c r="J788" s="638"/>
      <c r="K788" s="635"/>
      <c r="L788" s="635"/>
      <c r="M788" s="635"/>
      <c r="N788" s="635"/>
      <c r="O788" s="635"/>
      <c r="P788" s="635"/>
      <c r="Q788" s="635"/>
      <c r="R788" s="635"/>
      <c r="S788" s="635"/>
      <c r="T788" s="635"/>
    </row>
    <row r="789" spans="1:20" x14ac:dyDescent="0.3">
      <c r="A789" s="635" t="s">
        <v>886</v>
      </c>
      <c r="B789" s="635"/>
      <c r="C789" s="635"/>
      <c r="D789" s="635"/>
      <c r="E789" s="635"/>
      <c r="F789" s="635"/>
      <c r="G789" s="636"/>
      <c r="H789" s="637"/>
      <c r="I789" s="637"/>
      <c r="J789" s="638"/>
      <c r="K789" s="635"/>
      <c r="L789" s="635"/>
      <c r="M789" s="635"/>
      <c r="N789" s="635"/>
      <c r="O789" s="635"/>
      <c r="P789" s="635"/>
      <c r="Q789" s="635"/>
      <c r="R789" s="635"/>
      <c r="S789" s="635"/>
      <c r="T789" s="635"/>
    </row>
    <row r="790" spans="1:20" x14ac:dyDescent="0.3">
      <c r="A790" s="635" t="s">
        <v>887</v>
      </c>
      <c r="B790" s="635"/>
      <c r="C790" s="635"/>
      <c r="D790" s="635"/>
      <c r="E790" s="635"/>
      <c r="F790" s="635"/>
      <c r="G790" s="636"/>
      <c r="H790" s="637"/>
      <c r="I790" s="637"/>
      <c r="J790" s="638"/>
      <c r="K790" s="635"/>
      <c r="L790" s="635"/>
      <c r="M790" s="635"/>
      <c r="N790" s="635"/>
      <c r="O790" s="635"/>
      <c r="P790" s="635"/>
      <c r="Q790" s="635"/>
      <c r="R790" s="635"/>
      <c r="S790" s="635"/>
      <c r="T790" s="635"/>
    </row>
    <row r="791" spans="1:20" x14ac:dyDescent="0.3">
      <c r="A791" s="635"/>
      <c r="B791" s="635"/>
      <c r="C791" s="635"/>
      <c r="D791" s="635"/>
      <c r="E791" s="635"/>
      <c r="F791" s="635"/>
      <c r="G791" s="636"/>
      <c r="H791" s="637"/>
      <c r="I791" s="637"/>
      <c r="J791" s="638"/>
      <c r="K791" s="635"/>
      <c r="L791" s="635"/>
      <c r="M791" s="635"/>
      <c r="N791" s="635"/>
      <c r="O791" s="635"/>
      <c r="P791" s="635"/>
      <c r="Q791" s="635"/>
      <c r="R791" s="635"/>
      <c r="S791" s="635"/>
      <c r="T791" s="635"/>
    </row>
    <row r="792" spans="1:20" x14ac:dyDescent="0.3">
      <c r="A792" s="635"/>
      <c r="B792" s="635"/>
      <c r="C792" s="635"/>
      <c r="D792" s="635"/>
      <c r="E792" s="635"/>
      <c r="F792" s="635"/>
      <c r="G792" s="636"/>
      <c r="H792" s="637"/>
      <c r="I792" s="637"/>
      <c r="J792" s="638"/>
      <c r="K792" s="635"/>
      <c r="L792" s="635"/>
      <c r="M792" s="635"/>
      <c r="N792" s="635"/>
      <c r="O792" s="635"/>
      <c r="P792" s="635"/>
      <c r="Q792" s="635"/>
      <c r="R792" s="635"/>
      <c r="S792" s="635"/>
      <c r="T792" s="635"/>
    </row>
    <row r="793" spans="1:20" x14ac:dyDescent="0.3">
      <c r="G793" s="643"/>
    </row>
    <row r="794" spans="1:20" x14ac:dyDescent="0.3">
      <c r="G794" s="643"/>
    </row>
    <row r="795" spans="1:20" ht="15.6" x14ac:dyDescent="0.3">
      <c r="A795" s="159" t="s">
        <v>114</v>
      </c>
      <c r="B795" s="129"/>
      <c r="C795" s="157"/>
      <c r="D795" s="219"/>
      <c r="E795" s="219"/>
      <c r="F795" s="130"/>
      <c r="G795" s="219"/>
      <c r="H795" s="649"/>
      <c r="I795" s="649"/>
      <c r="J795" s="135"/>
      <c r="K795" s="218"/>
    </row>
    <row r="796" spans="1:20" ht="34.799999999999997" x14ac:dyDescent="0.3">
      <c r="A796" s="160" t="s">
        <v>183</v>
      </c>
      <c r="B796" s="161"/>
      <c r="C796" s="31"/>
      <c r="D796" s="32"/>
      <c r="E796" s="32"/>
      <c r="F796" s="33"/>
      <c r="G796" s="658"/>
      <c r="H796" s="659"/>
      <c r="I796" s="659"/>
      <c r="J796" s="646"/>
      <c r="K796" s="37"/>
    </row>
    <row r="797" spans="1:20" ht="17.399999999999999" x14ac:dyDescent="0.3">
      <c r="A797" s="41" t="s">
        <v>1360</v>
      </c>
      <c r="B797" s="168"/>
      <c r="C797" s="43"/>
      <c r="D797" s="44"/>
      <c r="E797" s="32"/>
      <c r="F797" s="33"/>
      <c r="G797" s="658"/>
      <c r="H797" s="659"/>
      <c r="I797" s="659"/>
      <c r="J797" s="660"/>
      <c r="K797" s="37"/>
    </row>
    <row r="798" spans="1:20" ht="4.2" customHeight="1" x14ac:dyDescent="0.3">
      <c r="A798" s="71"/>
      <c r="B798" s="71"/>
      <c r="C798" s="72"/>
      <c r="D798" s="73"/>
      <c r="E798" s="73"/>
      <c r="F798" s="73"/>
      <c r="G798" s="73"/>
      <c r="H798" s="648"/>
      <c r="I798" s="648"/>
      <c r="J798" s="624"/>
      <c r="K798" s="53"/>
    </row>
    <row r="799" spans="1:20" x14ac:dyDescent="0.3">
      <c r="A799" s="81"/>
      <c r="B799" s="81"/>
      <c r="C799" s="55"/>
      <c r="D799" s="84"/>
      <c r="E799" s="84"/>
      <c r="F799" s="84"/>
      <c r="G799" s="219"/>
      <c r="H799" s="649"/>
      <c r="I799" s="649"/>
      <c r="J799" s="217"/>
      <c r="K799" s="53"/>
    </row>
    <row r="800" spans="1:20" x14ac:dyDescent="0.3">
      <c r="A800" s="172"/>
      <c r="B800" s="172"/>
      <c r="C800" s="173"/>
      <c r="D800" s="174"/>
      <c r="E800" s="174"/>
      <c r="F800" s="59"/>
      <c r="G800" s="650" t="s">
        <v>116</v>
      </c>
      <c r="H800" s="622" t="s">
        <v>25</v>
      </c>
      <c r="I800" s="622" t="s">
        <v>26</v>
      </c>
      <c r="J800" s="63" t="s">
        <v>117</v>
      </c>
      <c r="K800" s="179"/>
    </row>
    <row r="801" spans="1:13" x14ac:dyDescent="0.3">
      <c r="A801" s="172"/>
      <c r="B801" s="172"/>
      <c r="C801" s="181"/>
      <c r="D801" s="174"/>
      <c r="E801" s="174"/>
      <c r="F801" s="59"/>
      <c r="G801" s="651" t="s">
        <v>29</v>
      </c>
      <c r="H801" s="622" t="s">
        <v>27</v>
      </c>
      <c r="I801" s="622" t="s">
        <v>28</v>
      </c>
      <c r="J801" s="63" t="s">
        <v>118</v>
      </c>
      <c r="K801" s="179"/>
    </row>
    <row r="802" spans="1:13" x14ac:dyDescent="0.3">
      <c r="A802" s="172"/>
      <c r="B802" s="172"/>
      <c r="C802" s="181"/>
      <c r="D802" s="174"/>
      <c r="E802" s="174"/>
      <c r="F802" s="59"/>
      <c r="G802" s="650" t="s">
        <v>31</v>
      </c>
      <c r="H802" s="622" t="s">
        <v>29</v>
      </c>
      <c r="I802" s="622" t="s">
        <v>30</v>
      </c>
      <c r="J802" s="63" t="s">
        <v>119</v>
      </c>
      <c r="K802" s="179"/>
    </row>
    <row r="803" spans="1:13" x14ac:dyDescent="0.3">
      <c r="A803" s="172"/>
      <c r="B803" s="172"/>
      <c r="C803" s="181"/>
      <c r="D803" s="174"/>
      <c r="E803" s="174"/>
      <c r="F803" s="59"/>
      <c r="G803" s="651" t="s">
        <v>32</v>
      </c>
      <c r="H803" s="622" t="s">
        <v>33</v>
      </c>
      <c r="I803" s="622" t="s">
        <v>120</v>
      </c>
      <c r="J803" s="63" t="s">
        <v>121</v>
      </c>
      <c r="K803" s="179"/>
    </row>
    <row r="804" spans="1:13" x14ac:dyDescent="0.3">
      <c r="A804" s="71"/>
      <c r="B804" s="71"/>
      <c r="C804" s="72"/>
      <c r="D804" s="73"/>
      <c r="E804" s="73"/>
      <c r="F804" s="73"/>
      <c r="G804" s="73"/>
      <c r="H804" s="648"/>
      <c r="I804" s="648"/>
      <c r="J804" s="624"/>
      <c r="K804" s="53"/>
    </row>
    <row r="805" spans="1:13" ht="2.5499999999999998" customHeight="1" x14ac:dyDescent="0.3">
      <c r="A805" s="80"/>
      <c r="B805" s="81"/>
      <c r="C805" s="82"/>
      <c r="D805" s="83"/>
      <c r="E805" s="83"/>
      <c r="F805" s="84"/>
      <c r="G805" s="83"/>
      <c r="H805" s="661"/>
      <c r="I805" s="661"/>
      <c r="J805" s="231"/>
      <c r="K805" s="53"/>
    </row>
    <row r="806" spans="1:13" s="93" customFormat="1" ht="10.95" customHeight="1" x14ac:dyDescent="0.15">
      <c r="A806" s="111" t="s">
        <v>123</v>
      </c>
      <c r="B806" s="112"/>
      <c r="C806" s="113"/>
      <c r="F806" s="114" t="s">
        <v>124</v>
      </c>
      <c r="G806" s="652"/>
      <c r="H806" s="653"/>
      <c r="I806" s="653"/>
      <c r="J806" s="654"/>
      <c r="K806" s="208"/>
      <c r="L806" s="270"/>
    </row>
    <row r="807" spans="1:13" x14ac:dyDescent="0.3">
      <c r="G807" s="643"/>
    </row>
    <row r="808" spans="1:13" s="662" customFormat="1" ht="12" x14ac:dyDescent="0.2">
      <c r="A808" s="631">
        <v>13</v>
      </c>
      <c r="B808" s="631" t="s">
        <v>888</v>
      </c>
      <c r="C808" s="631"/>
      <c r="D808" s="631"/>
      <c r="E808" s="631"/>
      <c r="F808" s="631"/>
      <c r="G808" s="632"/>
      <c r="H808" s="633"/>
      <c r="I808" s="633"/>
      <c r="J808" s="634"/>
      <c r="K808" s="631"/>
      <c r="L808" s="631"/>
      <c r="M808" s="631"/>
    </row>
    <row r="809" spans="1:13" x14ac:dyDescent="0.3">
      <c r="A809" s="635"/>
      <c r="B809" s="635"/>
      <c r="C809" s="635"/>
      <c r="D809" s="635"/>
      <c r="E809" s="635"/>
      <c r="F809" s="635"/>
      <c r="G809" s="636"/>
      <c r="H809" s="637"/>
      <c r="I809" s="637"/>
      <c r="J809" s="638"/>
      <c r="K809" s="635"/>
      <c r="L809" s="635"/>
      <c r="M809" s="635"/>
    </row>
    <row r="810" spans="1:13" x14ac:dyDescent="0.3">
      <c r="A810" s="635">
        <v>13.4</v>
      </c>
      <c r="B810" s="635" t="s">
        <v>889</v>
      </c>
      <c r="C810" s="635"/>
      <c r="D810" s="635"/>
      <c r="E810" s="635"/>
      <c r="F810" s="635"/>
      <c r="G810" s="636">
        <v>10.4</v>
      </c>
      <c r="H810" s="637">
        <v>293</v>
      </c>
      <c r="I810" s="637">
        <v>2150</v>
      </c>
      <c r="J810" s="638">
        <v>6.2</v>
      </c>
      <c r="K810" s="635"/>
      <c r="L810" s="635"/>
      <c r="M810" s="635"/>
    </row>
    <row r="811" spans="1:13" x14ac:dyDescent="0.3">
      <c r="A811" s="635"/>
      <c r="B811" s="635" t="s">
        <v>890</v>
      </c>
      <c r="C811" s="635" t="s">
        <v>891</v>
      </c>
      <c r="D811" s="635"/>
      <c r="E811" s="635"/>
      <c r="F811" s="635"/>
      <c r="G811" s="636">
        <v>0.3</v>
      </c>
      <c r="H811" s="637">
        <v>7</v>
      </c>
      <c r="I811" s="637">
        <v>30</v>
      </c>
      <c r="J811" s="638">
        <v>6.7</v>
      </c>
      <c r="K811" s="635"/>
      <c r="L811" s="635"/>
      <c r="M811" s="635"/>
    </row>
    <row r="812" spans="1:13" x14ac:dyDescent="0.3">
      <c r="A812" s="635"/>
      <c r="B812" s="635"/>
      <c r="C812" s="635" t="s">
        <v>892</v>
      </c>
      <c r="D812" s="635" t="s">
        <v>893</v>
      </c>
      <c r="E812" s="635"/>
      <c r="F812" s="635"/>
      <c r="G812" s="636">
        <v>0.1</v>
      </c>
      <c r="H812" s="637">
        <v>2</v>
      </c>
      <c r="I812" s="637">
        <v>20</v>
      </c>
      <c r="J812" s="638">
        <v>26.3</v>
      </c>
      <c r="K812" s="635"/>
      <c r="L812" s="635"/>
      <c r="M812" s="635"/>
    </row>
    <row r="813" spans="1:13" x14ac:dyDescent="0.3">
      <c r="A813" s="635"/>
      <c r="B813" s="635"/>
      <c r="C813" s="635" t="s">
        <v>894</v>
      </c>
      <c r="D813" s="635" t="s">
        <v>895</v>
      </c>
      <c r="E813" s="635"/>
      <c r="F813" s="635"/>
      <c r="G813" s="655" t="s">
        <v>230</v>
      </c>
      <c r="H813" s="656" t="s">
        <v>230</v>
      </c>
      <c r="I813" s="656" t="s">
        <v>230</v>
      </c>
      <c r="J813" s="657" t="s">
        <v>230</v>
      </c>
      <c r="K813" s="635"/>
      <c r="L813" s="635"/>
      <c r="M813" s="635"/>
    </row>
    <row r="814" spans="1:13" x14ac:dyDescent="0.3">
      <c r="A814" s="635"/>
      <c r="B814" s="635"/>
      <c r="C814" s="635"/>
      <c r="D814" s="635"/>
      <c r="E814" s="635"/>
      <c r="F814" s="635"/>
      <c r="G814" s="636"/>
      <c r="H814" s="637"/>
      <c r="I814" s="637"/>
      <c r="J814" s="638"/>
      <c r="K814" s="635"/>
      <c r="L814" s="635"/>
      <c r="M814" s="635"/>
    </row>
    <row r="815" spans="1:13" x14ac:dyDescent="0.3">
      <c r="A815" s="635"/>
      <c r="B815" s="635" t="s">
        <v>896</v>
      </c>
      <c r="C815" s="635" t="s">
        <v>897</v>
      </c>
      <c r="D815" s="635"/>
      <c r="E815" s="635"/>
      <c r="F815" s="635"/>
      <c r="G815" s="636">
        <v>9.1</v>
      </c>
      <c r="H815" s="637">
        <v>258</v>
      </c>
      <c r="I815" s="637">
        <v>1820</v>
      </c>
      <c r="J815" s="638">
        <v>6.9</v>
      </c>
      <c r="K815" s="635"/>
      <c r="L815" s="635"/>
      <c r="M815" s="635"/>
    </row>
    <row r="816" spans="1:13" x14ac:dyDescent="0.3">
      <c r="A816" s="635"/>
      <c r="B816" s="635"/>
      <c r="C816" s="635" t="s">
        <v>898</v>
      </c>
      <c r="D816" s="635" t="s">
        <v>899</v>
      </c>
      <c r="E816" s="635"/>
      <c r="F816" s="635"/>
      <c r="G816" s="636">
        <v>3</v>
      </c>
      <c r="H816" s="637">
        <v>83</v>
      </c>
      <c r="I816" s="637">
        <v>510</v>
      </c>
      <c r="J816" s="638">
        <v>12.6</v>
      </c>
      <c r="K816" s="635"/>
      <c r="L816" s="635"/>
      <c r="M816" s="635"/>
    </row>
    <row r="817" spans="1:14" x14ac:dyDescent="0.3">
      <c r="A817" s="635"/>
      <c r="B817" s="635"/>
      <c r="C817" s="635" t="s">
        <v>900</v>
      </c>
      <c r="D817" s="635" t="s">
        <v>901</v>
      </c>
      <c r="E817" s="635"/>
      <c r="F817" s="635"/>
      <c r="G817" s="636">
        <v>2.8</v>
      </c>
      <c r="H817" s="637">
        <v>79</v>
      </c>
      <c r="I817" s="637">
        <v>1280</v>
      </c>
      <c r="J817" s="638">
        <v>7.3</v>
      </c>
      <c r="K817" s="635"/>
      <c r="L817" s="635"/>
      <c r="M817" s="635"/>
    </row>
    <row r="818" spans="1:14" x14ac:dyDescent="0.3">
      <c r="A818" s="635"/>
      <c r="B818" s="635"/>
      <c r="C818" s="635" t="s">
        <v>902</v>
      </c>
      <c r="D818" s="635" t="s">
        <v>903</v>
      </c>
      <c r="E818" s="635"/>
      <c r="F818" s="635"/>
      <c r="G818" s="636">
        <v>1.3</v>
      </c>
      <c r="H818" s="637">
        <v>36</v>
      </c>
      <c r="I818" s="637">
        <v>210</v>
      </c>
      <c r="J818" s="638">
        <v>25.5</v>
      </c>
      <c r="K818" s="635"/>
      <c r="L818" s="635"/>
      <c r="M818" s="635"/>
    </row>
    <row r="819" spans="1:14" x14ac:dyDescent="0.3">
      <c r="A819" s="635"/>
      <c r="B819" s="635"/>
      <c r="C819" s="635" t="s">
        <v>904</v>
      </c>
      <c r="D819" s="635" t="s">
        <v>905</v>
      </c>
      <c r="E819" s="635"/>
      <c r="F819" s="635"/>
      <c r="G819" s="636">
        <v>2.1</v>
      </c>
      <c r="H819" s="637">
        <v>59</v>
      </c>
      <c r="I819" s="637">
        <v>130</v>
      </c>
      <c r="J819" s="638">
        <v>14.4</v>
      </c>
      <c r="K819" s="635"/>
      <c r="L819" s="635"/>
      <c r="M819" s="635"/>
    </row>
    <row r="820" spans="1:14" x14ac:dyDescent="0.3">
      <c r="A820" s="635"/>
      <c r="B820" s="635"/>
      <c r="C820" s="635"/>
      <c r="D820" s="635"/>
      <c r="E820" s="635"/>
      <c r="F820" s="635"/>
      <c r="G820" s="636"/>
      <c r="H820" s="637"/>
      <c r="I820" s="637"/>
      <c r="J820" s="638"/>
      <c r="K820" s="635"/>
      <c r="L820" s="635"/>
      <c r="M820" s="635"/>
    </row>
    <row r="821" spans="1:14" x14ac:dyDescent="0.3">
      <c r="A821" s="635"/>
      <c r="B821" s="635" t="s">
        <v>906</v>
      </c>
      <c r="C821" s="635" t="s">
        <v>907</v>
      </c>
      <c r="D821" s="635"/>
      <c r="E821" s="635"/>
      <c r="F821" s="635"/>
      <c r="G821" s="636">
        <v>1</v>
      </c>
      <c r="H821" s="637">
        <v>28</v>
      </c>
      <c r="I821" s="637">
        <v>480</v>
      </c>
      <c r="J821" s="638">
        <v>9.9</v>
      </c>
      <c r="K821" s="635"/>
      <c r="L821" s="635"/>
      <c r="M821" s="635"/>
    </row>
    <row r="822" spans="1:14" x14ac:dyDescent="0.3">
      <c r="A822" s="635"/>
      <c r="B822" s="635"/>
      <c r="C822" s="635" t="s">
        <v>908</v>
      </c>
      <c r="D822" s="635" t="s">
        <v>909</v>
      </c>
      <c r="E822" s="635"/>
      <c r="F822" s="635"/>
      <c r="G822" s="655" t="s">
        <v>367</v>
      </c>
      <c r="H822" s="656" t="s">
        <v>367</v>
      </c>
      <c r="I822" s="656" t="s">
        <v>367</v>
      </c>
      <c r="J822" s="657" t="s">
        <v>230</v>
      </c>
      <c r="K822" s="635"/>
      <c r="L822" s="635"/>
      <c r="M822" s="635"/>
    </row>
    <row r="823" spans="1:14" x14ac:dyDescent="0.3">
      <c r="A823" s="635"/>
      <c r="B823" s="635"/>
      <c r="C823" s="635" t="s">
        <v>910</v>
      </c>
      <c r="D823" s="635" t="s">
        <v>911</v>
      </c>
      <c r="E823" s="635"/>
      <c r="F823" s="635"/>
      <c r="G823" s="636">
        <v>1</v>
      </c>
      <c r="H823" s="637">
        <v>28</v>
      </c>
      <c r="I823" s="637">
        <v>480</v>
      </c>
      <c r="J823" s="638">
        <v>9.9</v>
      </c>
      <c r="K823" s="635"/>
      <c r="L823" s="635"/>
      <c r="M823" s="635"/>
    </row>
    <row r="824" spans="1:14" ht="12.6" customHeight="1" x14ac:dyDescent="0.3">
      <c r="A824" s="635"/>
      <c r="B824" s="635"/>
      <c r="C824" s="635"/>
      <c r="D824" s="635"/>
      <c r="E824" s="635"/>
      <c r="F824" s="635"/>
      <c r="G824" s="636"/>
      <c r="H824" s="637"/>
      <c r="I824" s="637"/>
      <c r="J824" s="638"/>
      <c r="K824" s="635"/>
      <c r="L824" s="635"/>
      <c r="M824" s="635"/>
    </row>
    <row r="825" spans="1:14" s="79" customFormat="1" ht="4.2" customHeight="1" x14ac:dyDescent="0.15">
      <c r="A825" s="316"/>
      <c r="B825" s="71"/>
      <c r="C825" s="72"/>
      <c r="D825" s="73"/>
      <c r="E825" s="73"/>
      <c r="F825" s="73"/>
      <c r="G825" s="73"/>
      <c r="H825" s="648"/>
      <c r="I825" s="648"/>
      <c r="J825" s="624"/>
      <c r="K825" s="128"/>
      <c r="L825" s="128"/>
      <c r="M825" s="318"/>
      <c r="N825" s="318"/>
    </row>
    <row r="826" spans="1:14" s="662" customFormat="1" ht="12" x14ac:dyDescent="0.2">
      <c r="A826" s="631" t="s">
        <v>21</v>
      </c>
      <c r="B826" s="631"/>
      <c r="C826" s="631"/>
      <c r="D826" s="631"/>
      <c r="E826" s="631"/>
      <c r="F826" s="631"/>
      <c r="G826" s="632">
        <v>481.5</v>
      </c>
      <c r="H826" s="633">
        <v>13578</v>
      </c>
      <c r="I826" s="633">
        <v>5400</v>
      </c>
      <c r="J826" s="634">
        <v>1.1000000000000001</v>
      </c>
      <c r="K826" s="631"/>
      <c r="L826" s="631"/>
      <c r="M826" s="631"/>
    </row>
    <row r="827" spans="1:14" s="79" customFormat="1" ht="4.2" customHeight="1" x14ac:dyDescent="0.15">
      <c r="A827" s="316"/>
      <c r="B827" s="71"/>
      <c r="C827" s="72"/>
      <c r="D827" s="73"/>
      <c r="E827" s="73"/>
      <c r="F827" s="73"/>
      <c r="G827" s="73"/>
      <c r="H827" s="648"/>
      <c r="I827" s="648"/>
      <c r="J827" s="624"/>
      <c r="K827" s="128"/>
      <c r="L827" s="128"/>
      <c r="M827" s="318"/>
      <c r="N827" s="318"/>
    </row>
    <row r="828" spans="1:14" x14ac:dyDescent="0.3">
      <c r="A828" s="635"/>
      <c r="B828" s="635"/>
      <c r="C828" s="635"/>
      <c r="D828" s="635"/>
      <c r="E828" s="635"/>
      <c r="F828" s="635"/>
      <c r="G828" s="636"/>
      <c r="H828" s="637"/>
      <c r="I828" s="637"/>
      <c r="J828" s="638"/>
      <c r="K828" s="635"/>
      <c r="L828" s="635"/>
      <c r="M828" s="635"/>
    </row>
    <row r="829" spans="1:14" s="662" customFormat="1" ht="12" x14ac:dyDescent="0.2">
      <c r="A829" s="631">
        <v>14</v>
      </c>
      <c r="B829" s="631" t="s">
        <v>912</v>
      </c>
      <c r="C829" s="631"/>
      <c r="D829" s="631"/>
      <c r="E829" s="631"/>
      <c r="F829" s="631"/>
      <c r="G829" s="632"/>
      <c r="H829" s="633"/>
      <c r="I829" s="633"/>
      <c r="J829" s="634"/>
      <c r="K829" s="631"/>
      <c r="L829" s="631"/>
      <c r="M829" s="631"/>
    </row>
    <row r="830" spans="1:14" x14ac:dyDescent="0.3">
      <c r="A830" s="635"/>
      <c r="B830" s="635"/>
      <c r="C830" s="635"/>
      <c r="D830" s="635"/>
      <c r="E830" s="635"/>
      <c r="F830" s="635"/>
      <c r="G830" s="636"/>
      <c r="H830" s="637"/>
      <c r="I830" s="637"/>
      <c r="J830" s="638"/>
      <c r="K830" s="635"/>
      <c r="L830" s="635"/>
      <c r="M830" s="635"/>
    </row>
    <row r="831" spans="1:14" x14ac:dyDescent="0.3">
      <c r="A831" s="635">
        <v>14.1</v>
      </c>
      <c r="B831" s="635" t="s">
        <v>913</v>
      </c>
      <c r="C831" s="635"/>
      <c r="D831" s="635"/>
      <c r="E831" s="635"/>
      <c r="F831" s="635"/>
      <c r="G831" s="636">
        <v>34</v>
      </c>
      <c r="H831" s="637">
        <v>958</v>
      </c>
      <c r="I831" s="637">
        <v>3380</v>
      </c>
      <c r="J831" s="638">
        <v>2</v>
      </c>
      <c r="K831" s="635"/>
      <c r="L831" s="635"/>
      <c r="M831" s="635"/>
    </row>
    <row r="832" spans="1:14" x14ac:dyDescent="0.3">
      <c r="A832" s="635"/>
      <c r="B832" s="635" t="s">
        <v>914</v>
      </c>
      <c r="C832" s="635" t="s">
        <v>915</v>
      </c>
      <c r="D832" s="635"/>
      <c r="E832" s="635"/>
      <c r="F832" s="635"/>
      <c r="G832" s="636">
        <v>2.9</v>
      </c>
      <c r="H832" s="637">
        <v>82</v>
      </c>
      <c r="I832" s="637">
        <v>1630</v>
      </c>
      <c r="J832" s="638">
        <v>5.6</v>
      </c>
      <c r="K832" s="635"/>
      <c r="L832" s="635"/>
      <c r="M832" s="635"/>
    </row>
    <row r="833" spans="1:13" x14ac:dyDescent="0.3">
      <c r="A833" s="635"/>
      <c r="B833" s="635" t="s">
        <v>916</v>
      </c>
      <c r="C833" s="635" t="s">
        <v>917</v>
      </c>
      <c r="D833" s="635"/>
      <c r="E833" s="635"/>
      <c r="F833" s="635"/>
      <c r="G833" s="636">
        <v>27.5</v>
      </c>
      <c r="H833" s="637">
        <v>774</v>
      </c>
      <c r="I833" s="637">
        <v>2680</v>
      </c>
      <c r="J833" s="638">
        <v>1.2</v>
      </c>
      <c r="K833" s="635"/>
      <c r="L833" s="635"/>
      <c r="M833" s="635"/>
    </row>
    <row r="834" spans="1:13" x14ac:dyDescent="0.3">
      <c r="A834" s="635"/>
      <c r="B834" s="635" t="s">
        <v>918</v>
      </c>
      <c r="C834" s="635" t="s">
        <v>919</v>
      </c>
      <c r="D834" s="635"/>
      <c r="E834" s="635"/>
      <c r="F834" s="635"/>
      <c r="G834" s="636">
        <v>3.6</v>
      </c>
      <c r="H834" s="637">
        <v>101</v>
      </c>
      <c r="I834" s="637">
        <v>370</v>
      </c>
      <c r="J834" s="638">
        <v>14.9</v>
      </c>
      <c r="K834" s="635"/>
      <c r="L834" s="635"/>
      <c r="M834" s="635"/>
    </row>
    <row r="835" spans="1:13" x14ac:dyDescent="0.3">
      <c r="A835" s="635"/>
      <c r="B835" s="635"/>
      <c r="C835" s="635"/>
      <c r="D835" s="635"/>
      <c r="E835" s="635"/>
      <c r="F835" s="635"/>
      <c r="G835" s="636"/>
      <c r="H835" s="637"/>
      <c r="I835" s="637"/>
      <c r="J835" s="638"/>
      <c r="K835" s="635"/>
      <c r="L835" s="635"/>
      <c r="M835" s="635"/>
    </row>
    <row r="836" spans="1:13" x14ac:dyDescent="0.3">
      <c r="A836" s="635">
        <v>14.2</v>
      </c>
      <c r="B836" s="635" t="s">
        <v>920</v>
      </c>
      <c r="C836" s="635"/>
      <c r="D836" s="635"/>
      <c r="E836" s="635"/>
      <c r="F836" s="635"/>
      <c r="G836" s="636">
        <v>2.1</v>
      </c>
      <c r="H836" s="637">
        <v>58</v>
      </c>
      <c r="I836" s="637">
        <v>1580</v>
      </c>
      <c r="J836" s="638">
        <v>2.8</v>
      </c>
      <c r="K836" s="635"/>
      <c r="L836" s="635"/>
      <c r="M836" s="635"/>
    </row>
    <row r="837" spans="1:13" x14ac:dyDescent="0.3">
      <c r="A837" s="635"/>
      <c r="B837" s="635"/>
      <c r="C837" s="635"/>
      <c r="D837" s="635"/>
      <c r="E837" s="635"/>
      <c r="F837" s="635"/>
      <c r="G837" s="636"/>
      <c r="H837" s="637"/>
      <c r="I837" s="637"/>
      <c r="J837" s="638"/>
      <c r="K837" s="635"/>
      <c r="L837" s="635"/>
      <c r="M837" s="635"/>
    </row>
    <row r="838" spans="1:13" x14ac:dyDescent="0.3">
      <c r="A838" s="635">
        <v>14.3</v>
      </c>
      <c r="B838" s="635" t="s">
        <v>921</v>
      </c>
      <c r="C838" s="635"/>
      <c r="D838" s="635"/>
      <c r="E838" s="635"/>
      <c r="F838" s="635"/>
      <c r="G838" s="636">
        <v>110.3</v>
      </c>
      <c r="H838" s="637">
        <v>3110</v>
      </c>
      <c r="I838" s="637">
        <v>4190</v>
      </c>
      <c r="J838" s="638">
        <v>2.6</v>
      </c>
      <c r="K838" s="635"/>
      <c r="L838" s="635"/>
      <c r="M838" s="635"/>
    </row>
    <row r="839" spans="1:13" x14ac:dyDescent="0.3">
      <c r="A839" s="635"/>
      <c r="B839" s="635" t="s">
        <v>922</v>
      </c>
      <c r="C839" s="635" t="s">
        <v>923</v>
      </c>
      <c r="D839" s="635"/>
      <c r="E839" s="635"/>
      <c r="F839" s="635"/>
      <c r="G839" s="636">
        <v>84.1</v>
      </c>
      <c r="H839" s="637">
        <v>2372</v>
      </c>
      <c r="I839" s="637">
        <v>2880</v>
      </c>
      <c r="J839" s="638">
        <v>2.5</v>
      </c>
      <c r="K839" s="635"/>
      <c r="L839" s="635"/>
      <c r="M839" s="635"/>
    </row>
    <row r="840" spans="1:13" x14ac:dyDescent="0.3">
      <c r="A840" s="635"/>
      <c r="B840" s="635" t="s">
        <v>924</v>
      </c>
      <c r="C840" s="635" t="s">
        <v>925</v>
      </c>
      <c r="D840" s="635"/>
      <c r="E840" s="635"/>
      <c r="F840" s="635"/>
      <c r="G840" s="636">
        <v>3.5</v>
      </c>
      <c r="H840" s="637">
        <v>100</v>
      </c>
      <c r="I840" s="637">
        <v>220</v>
      </c>
      <c r="J840" s="638">
        <v>8.4</v>
      </c>
      <c r="K840" s="635"/>
      <c r="L840" s="635"/>
      <c r="M840" s="635"/>
    </row>
    <row r="841" spans="1:13" x14ac:dyDescent="0.3">
      <c r="A841" s="635"/>
      <c r="B841" s="635" t="s">
        <v>926</v>
      </c>
      <c r="C841" s="635" t="s">
        <v>927</v>
      </c>
      <c r="D841" s="635"/>
      <c r="E841" s="635"/>
      <c r="F841" s="635"/>
      <c r="G841" s="636">
        <v>3.7</v>
      </c>
      <c r="H841" s="637">
        <v>105</v>
      </c>
      <c r="I841" s="637">
        <v>190</v>
      </c>
      <c r="J841" s="638">
        <v>42.5</v>
      </c>
      <c r="K841" s="635"/>
      <c r="L841" s="635"/>
      <c r="M841" s="635"/>
    </row>
    <row r="842" spans="1:13" x14ac:dyDescent="0.3">
      <c r="A842" s="635"/>
      <c r="B842" s="635" t="s">
        <v>928</v>
      </c>
      <c r="C842" s="635" t="s">
        <v>929</v>
      </c>
      <c r="D842" s="635"/>
      <c r="E842" s="635"/>
      <c r="F842" s="635"/>
      <c r="G842" s="636"/>
      <c r="H842" s="637"/>
      <c r="I842" s="637"/>
      <c r="J842" s="638"/>
      <c r="K842" s="635"/>
      <c r="L842" s="635"/>
      <c r="M842" s="635"/>
    </row>
    <row r="843" spans="1:13" x14ac:dyDescent="0.3">
      <c r="A843" s="635"/>
      <c r="B843" s="635"/>
      <c r="C843" s="635" t="s">
        <v>930</v>
      </c>
      <c r="D843" s="635"/>
      <c r="E843" s="635"/>
      <c r="F843" s="635"/>
      <c r="G843" s="636">
        <v>15.9</v>
      </c>
      <c r="H843" s="637">
        <v>449</v>
      </c>
      <c r="I843" s="637">
        <v>1440</v>
      </c>
      <c r="J843" s="638">
        <v>2.6</v>
      </c>
      <c r="K843" s="635"/>
      <c r="L843" s="635"/>
      <c r="M843" s="635"/>
    </row>
    <row r="844" spans="1:13" x14ac:dyDescent="0.3">
      <c r="A844" s="635"/>
      <c r="B844" s="635" t="s">
        <v>931</v>
      </c>
      <c r="C844" s="635" t="s">
        <v>932</v>
      </c>
      <c r="D844" s="635"/>
      <c r="E844" s="635"/>
      <c r="F844" s="635"/>
      <c r="G844" s="636">
        <v>4.2</v>
      </c>
      <c r="H844" s="637">
        <v>118</v>
      </c>
      <c r="I844" s="637">
        <v>620</v>
      </c>
      <c r="J844" s="638">
        <v>10.7</v>
      </c>
      <c r="K844" s="635"/>
      <c r="L844" s="635"/>
      <c r="M844" s="635"/>
    </row>
    <row r="845" spans="1:13" x14ac:dyDescent="0.3">
      <c r="A845" s="635"/>
      <c r="B845" s="635" t="s">
        <v>933</v>
      </c>
      <c r="C845" s="635" t="s">
        <v>934</v>
      </c>
      <c r="D845" s="635"/>
      <c r="E845" s="635"/>
      <c r="F845" s="635"/>
      <c r="G845" s="636">
        <v>0.1</v>
      </c>
      <c r="H845" s="637">
        <v>3</v>
      </c>
      <c r="I845" s="637">
        <v>30</v>
      </c>
      <c r="J845" s="638">
        <v>301.7</v>
      </c>
      <c r="K845" s="635"/>
      <c r="L845" s="635"/>
      <c r="M845" s="635"/>
    </row>
    <row r="846" spans="1:13" x14ac:dyDescent="0.3">
      <c r="A846" s="635"/>
      <c r="B846" s="635" t="s">
        <v>935</v>
      </c>
      <c r="C846" s="635" t="s">
        <v>936</v>
      </c>
      <c r="D846" s="635"/>
      <c r="E846" s="635"/>
      <c r="F846" s="635"/>
      <c r="G846" s="636">
        <v>1.1000000000000001</v>
      </c>
      <c r="H846" s="637">
        <v>31</v>
      </c>
      <c r="I846" s="637">
        <v>310</v>
      </c>
      <c r="J846" s="638">
        <v>10.6</v>
      </c>
      <c r="K846" s="635"/>
      <c r="L846" s="635"/>
      <c r="M846" s="635"/>
    </row>
    <row r="847" spans="1:13" x14ac:dyDescent="0.3">
      <c r="A847" s="635"/>
      <c r="B847" s="635"/>
      <c r="C847" s="635"/>
      <c r="D847" s="635"/>
      <c r="E847" s="635"/>
      <c r="F847" s="635"/>
      <c r="G847" s="636"/>
      <c r="H847" s="637"/>
      <c r="I847" s="637"/>
      <c r="J847" s="638"/>
      <c r="K847" s="635"/>
      <c r="L847" s="635"/>
      <c r="M847" s="635"/>
    </row>
    <row r="848" spans="1:13" x14ac:dyDescent="0.3">
      <c r="A848" s="635">
        <v>14.4</v>
      </c>
      <c r="B848" s="635" t="s">
        <v>937</v>
      </c>
      <c r="C848" s="635"/>
      <c r="D848" s="635"/>
      <c r="E848" s="635"/>
      <c r="F848" s="635"/>
      <c r="G848" s="636">
        <v>40.700000000000003</v>
      </c>
      <c r="H848" s="637">
        <v>1146</v>
      </c>
      <c r="I848" s="637">
        <v>2990</v>
      </c>
      <c r="J848" s="638">
        <v>1.2</v>
      </c>
      <c r="K848" s="635"/>
      <c r="L848" s="635"/>
      <c r="M848" s="635"/>
    </row>
    <row r="849" spans="1:13" x14ac:dyDescent="0.3">
      <c r="A849" s="635"/>
      <c r="B849" s="635" t="s">
        <v>938</v>
      </c>
      <c r="C849" s="635" t="s">
        <v>939</v>
      </c>
      <c r="D849" s="635"/>
      <c r="E849" s="635"/>
      <c r="F849" s="635"/>
      <c r="G849" s="636">
        <v>40.4</v>
      </c>
      <c r="H849" s="637">
        <v>1140</v>
      </c>
      <c r="I849" s="637">
        <v>2960</v>
      </c>
      <c r="J849" s="638">
        <v>1.2</v>
      </c>
      <c r="K849" s="635"/>
      <c r="L849" s="635"/>
      <c r="M849" s="635"/>
    </row>
    <row r="850" spans="1:13" x14ac:dyDescent="0.3">
      <c r="A850" s="635"/>
      <c r="B850" s="635" t="s">
        <v>940</v>
      </c>
      <c r="C850" s="635" t="s">
        <v>941</v>
      </c>
      <c r="D850" s="635"/>
      <c r="E850" s="635"/>
      <c r="F850" s="635"/>
      <c r="G850" s="636">
        <v>0.2</v>
      </c>
      <c r="H850" s="637">
        <v>6</v>
      </c>
      <c r="I850" s="637">
        <v>50</v>
      </c>
      <c r="J850" s="638">
        <v>8.1999999999999993</v>
      </c>
      <c r="K850" s="635"/>
      <c r="L850" s="635"/>
      <c r="M850" s="635"/>
    </row>
    <row r="851" spans="1:13" x14ac:dyDescent="0.3">
      <c r="A851" s="635"/>
      <c r="B851" s="635"/>
      <c r="C851" s="635"/>
      <c r="D851" s="635"/>
      <c r="E851" s="635"/>
      <c r="F851" s="635"/>
      <c r="G851" s="636"/>
      <c r="H851" s="637"/>
      <c r="I851" s="637"/>
      <c r="J851" s="638"/>
      <c r="K851" s="635"/>
      <c r="L851" s="635"/>
      <c r="M851" s="635"/>
    </row>
    <row r="852" spans="1:13" x14ac:dyDescent="0.3">
      <c r="A852" s="635">
        <v>14.5</v>
      </c>
      <c r="B852" s="635" t="s">
        <v>942</v>
      </c>
      <c r="C852" s="635"/>
      <c r="D852" s="635"/>
      <c r="E852" s="635"/>
      <c r="F852" s="635"/>
      <c r="G852" s="636">
        <v>64.900000000000006</v>
      </c>
      <c r="H852" s="637">
        <v>1831</v>
      </c>
      <c r="I852" s="637">
        <v>2330</v>
      </c>
      <c r="J852" s="638">
        <v>3</v>
      </c>
      <c r="K852" s="635"/>
      <c r="L852" s="635"/>
      <c r="M852" s="635"/>
    </row>
    <row r="853" spans="1:13" x14ac:dyDescent="0.3">
      <c r="A853" s="635"/>
      <c r="B853" s="635" t="s">
        <v>943</v>
      </c>
      <c r="C853" s="635" t="s">
        <v>944</v>
      </c>
      <c r="D853" s="635"/>
      <c r="E853" s="635"/>
      <c r="F853" s="635"/>
      <c r="G853" s="636">
        <v>2.2999999999999998</v>
      </c>
      <c r="H853" s="637">
        <v>65</v>
      </c>
      <c r="I853" s="637">
        <v>10</v>
      </c>
      <c r="J853" s="638">
        <v>4.9000000000000004</v>
      </c>
      <c r="K853" s="635"/>
      <c r="L853" s="635"/>
      <c r="M853" s="635"/>
    </row>
    <row r="854" spans="1:13" x14ac:dyDescent="0.3">
      <c r="A854" s="635"/>
      <c r="B854" s="635" t="s">
        <v>945</v>
      </c>
      <c r="C854" s="635" t="s">
        <v>946</v>
      </c>
      <c r="D854" s="635"/>
      <c r="E854" s="635"/>
      <c r="F854" s="635"/>
      <c r="G854" s="636">
        <v>29.8</v>
      </c>
      <c r="H854" s="637">
        <v>839</v>
      </c>
      <c r="I854" s="637">
        <v>1650</v>
      </c>
      <c r="J854" s="638">
        <v>2.2999999999999998</v>
      </c>
      <c r="K854" s="635"/>
      <c r="L854" s="635"/>
      <c r="M854" s="635"/>
    </row>
    <row r="855" spans="1:13" x14ac:dyDescent="0.3">
      <c r="A855" s="635"/>
      <c r="B855" s="635" t="s">
        <v>947</v>
      </c>
      <c r="C855" s="635" t="s">
        <v>948</v>
      </c>
      <c r="D855" s="635"/>
      <c r="E855" s="635"/>
      <c r="F855" s="635"/>
      <c r="G855" s="636">
        <v>1.1000000000000001</v>
      </c>
      <c r="H855" s="637">
        <v>32</v>
      </c>
      <c r="I855" s="637">
        <v>130</v>
      </c>
      <c r="J855" s="638">
        <v>9.9</v>
      </c>
      <c r="K855" s="635"/>
      <c r="L855" s="635"/>
      <c r="M855" s="635"/>
    </row>
    <row r="856" spans="1:13" x14ac:dyDescent="0.3">
      <c r="A856" s="635"/>
      <c r="B856" s="635" t="s">
        <v>949</v>
      </c>
      <c r="C856" s="635" t="s">
        <v>950</v>
      </c>
      <c r="D856" s="635"/>
      <c r="E856" s="635"/>
      <c r="F856" s="635"/>
      <c r="G856" s="636">
        <v>1.3</v>
      </c>
      <c r="H856" s="637">
        <v>38</v>
      </c>
      <c r="I856" s="637">
        <v>80</v>
      </c>
      <c r="J856" s="638">
        <v>22.8</v>
      </c>
      <c r="K856" s="635"/>
      <c r="L856" s="635"/>
      <c r="M856" s="635"/>
    </row>
    <row r="857" spans="1:13" x14ac:dyDescent="0.3">
      <c r="A857" s="635"/>
      <c r="B857" s="635" t="s">
        <v>951</v>
      </c>
      <c r="C857" s="635" t="s">
        <v>952</v>
      </c>
      <c r="D857" s="635"/>
      <c r="E857" s="635"/>
      <c r="F857" s="635"/>
      <c r="G857" s="636">
        <v>19.8</v>
      </c>
      <c r="H857" s="637">
        <v>558</v>
      </c>
      <c r="I857" s="637">
        <v>870</v>
      </c>
      <c r="J857" s="638">
        <v>5.0999999999999996</v>
      </c>
      <c r="K857" s="635"/>
      <c r="L857" s="635"/>
      <c r="M857" s="635"/>
    </row>
    <row r="858" spans="1:13" x14ac:dyDescent="0.3">
      <c r="A858" s="635"/>
      <c r="B858" s="635" t="s">
        <v>953</v>
      </c>
      <c r="C858" s="635" t="s">
        <v>954</v>
      </c>
      <c r="D858" s="635"/>
      <c r="E858" s="635"/>
      <c r="F858" s="635"/>
      <c r="G858" s="636">
        <v>1</v>
      </c>
      <c r="H858" s="637">
        <v>28</v>
      </c>
      <c r="I858" s="637">
        <v>100</v>
      </c>
      <c r="J858" s="638">
        <v>22.8</v>
      </c>
      <c r="K858" s="635"/>
      <c r="L858" s="635"/>
      <c r="M858" s="635"/>
    </row>
    <row r="859" spans="1:13" x14ac:dyDescent="0.3">
      <c r="A859" s="635"/>
      <c r="B859" s="635" t="s">
        <v>955</v>
      </c>
      <c r="C859" s="635" t="s">
        <v>956</v>
      </c>
      <c r="D859" s="635"/>
      <c r="E859" s="635"/>
      <c r="F859" s="635"/>
      <c r="G859" s="636">
        <v>0.8</v>
      </c>
      <c r="H859" s="637">
        <v>23</v>
      </c>
      <c r="I859" s="637">
        <v>60</v>
      </c>
      <c r="J859" s="638">
        <v>10.7</v>
      </c>
      <c r="K859" s="635"/>
      <c r="L859" s="635"/>
      <c r="M859" s="635"/>
    </row>
    <row r="860" spans="1:13" x14ac:dyDescent="0.3">
      <c r="A860" s="635"/>
      <c r="B860" s="635" t="s">
        <v>957</v>
      </c>
      <c r="C860" s="635" t="s">
        <v>958</v>
      </c>
      <c r="D860" s="635"/>
      <c r="E860" s="635"/>
      <c r="F860" s="635"/>
      <c r="G860" s="636">
        <v>8.8000000000000007</v>
      </c>
      <c r="H860" s="637">
        <v>248</v>
      </c>
      <c r="I860" s="637">
        <v>60</v>
      </c>
      <c r="J860" s="638">
        <v>15.3</v>
      </c>
      <c r="K860" s="635"/>
      <c r="L860" s="635"/>
      <c r="M860" s="635"/>
    </row>
    <row r="861" spans="1:13" x14ac:dyDescent="0.3">
      <c r="A861" s="635"/>
      <c r="B861" s="635"/>
      <c r="C861" s="635"/>
      <c r="D861" s="635"/>
      <c r="E861" s="635"/>
      <c r="F861" s="635"/>
      <c r="G861" s="636"/>
      <c r="H861" s="637"/>
      <c r="I861" s="637"/>
      <c r="J861" s="638"/>
      <c r="K861" s="635"/>
      <c r="L861" s="635"/>
      <c r="M861" s="635"/>
    </row>
    <row r="862" spans="1:13" x14ac:dyDescent="0.3">
      <c r="A862" s="635">
        <v>14.6</v>
      </c>
      <c r="B862" s="635" t="s">
        <v>959</v>
      </c>
      <c r="C862" s="635"/>
      <c r="D862" s="635"/>
      <c r="E862" s="635"/>
      <c r="F862" s="635"/>
      <c r="G862" s="636">
        <v>4.4000000000000004</v>
      </c>
      <c r="H862" s="637">
        <v>123</v>
      </c>
      <c r="I862" s="637">
        <v>460</v>
      </c>
      <c r="J862" s="638">
        <v>12.1</v>
      </c>
      <c r="K862" s="635"/>
      <c r="L862" s="635"/>
      <c r="M862" s="635"/>
    </row>
    <row r="863" spans="1:13" x14ac:dyDescent="0.3">
      <c r="A863" s="635"/>
      <c r="B863" s="635" t="s">
        <v>960</v>
      </c>
      <c r="C863" s="635" t="s">
        <v>961</v>
      </c>
      <c r="D863" s="635"/>
      <c r="E863" s="635"/>
      <c r="F863" s="635"/>
      <c r="G863" s="636">
        <v>3.9</v>
      </c>
      <c r="H863" s="637">
        <v>109</v>
      </c>
      <c r="I863" s="637">
        <v>370</v>
      </c>
      <c r="J863" s="638">
        <v>12.8</v>
      </c>
      <c r="K863" s="635"/>
      <c r="L863" s="635"/>
      <c r="M863" s="635"/>
    </row>
    <row r="864" spans="1:13" x14ac:dyDescent="0.3">
      <c r="A864" s="635"/>
      <c r="B864" s="635" t="s">
        <v>962</v>
      </c>
      <c r="C864" s="635" t="s">
        <v>963</v>
      </c>
      <c r="D864" s="635"/>
      <c r="E864" s="635"/>
      <c r="F864" s="635"/>
      <c r="G864" s="636">
        <v>0.5</v>
      </c>
      <c r="H864" s="637">
        <v>13</v>
      </c>
      <c r="I864" s="637">
        <v>60</v>
      </c>
      <c r="J864" s="638">
        <v>28.4</v>
      </c>
      <c r="K864" s="635"/>
      <c r="L864" s="635"/>
      <c r="M864" s="635"/>
    </row>
    <row r="865" spans="1:13" x14ac:dyDescent="0.3">
      <c r="A865" s="635"/>
      <c r="B865" s="635" t="s">
        <v>964</v>
      </c>
      <c r="C865" s="635" t="s">
        <v>965</v>
      </c>
      <c r="D865" s="635"/>
      <c r="E865" s="635"/>
      <c r="F865" s="635"/>
      <c r="G865" s="636">
        <v>0.1</v>
      </c>
      <c r="H865" s="637">
        <v>2</v>
      </c>
      <c r="I865" s="637">
        <v>50</v>
      </c>
      <c r="J865" s="638">
        <v>72</v>
      </c>
      <c r="K865" s="635"/>
      <c r="L865" s="635"/>
      <c r="M865" s="635"/>
    </row>
    <row r="866" spans="1:13" x14ac:dyDescent="0.3">
      <c r="A866" s="635"/>
      <c r="B866" s="635"/>
      <c r="C866" s="635"/>
      <c r="D866" s="635"/>
      <c r="E866" s="635"/>
      <c r="F866" s="635"/>
      <c r="G866" s="636"/>
      <c r="H866" s="637"/>
      <c r="I866" s="637"/>
      <c r="J866" s="638"/>
      <c r="K866" s="635"/>
      <c r="L866" s="635"/>
      <c r="M866" s="635"/>
    </row>
    <row r="867" spans="1:13" x14ac:dyDescent="0.3">
      <c r="A867" s="635">
        <v>14.7</v>
      </c>
      <c r="B867" s="635" t="s">
        <v>966</v>
      </c>
      <c r="C867" s="635"/>
      <c r="D867" s="635"/>
      <c r="E867" s="635"/>
      <c r="F867" s="635"/>
      <c r="G867" s="636">
        <v>2</v>
      </c>
      <c r="H867" s="637">
        <v>55</v>
      </c>
      <c r="I867" s="637">
        <v>180</v>
      </c>
      <c r="J867" s="638">
        <v>10.7</v>
      </c>
      <c r="K867" s="635"/>
      <c r="L867" s="635"/>
      <c r="M867" s="635"/>
    </row>
    <row r="868" spans="1:13" x14ac:dyDescent="0.3">
      <c r="A868" s="635">
        <v>14.8</v>
      </c>
      <c r="B868" s="635" t="s">
        <v>967</v>
      </c>
      <c r="C868" s="635"/>
      <c r="D868" s="635"/>
      <c r="E868" s="635"/>
      <c r="F868" s="635"/>
      <c r="G868" s="636">
        <v>0.2</v>
      </c>
      <c r="H868" s="637">
        <v>6</v>
      </c>
      <c r="I868" s="637">
        <v>70</v>
      </c>
      <c r="J868" s="638">
        <v>73.900000000000006</v>
      </c>
      <c r="K868" s="635"/>
      <c r="L868" s="635"/>
      <c r="M868" s="635"/>
    </row>
    <row r="869" spans="1:13" s="79" customFormat="1" ht="4.2" customHeight="1" x14ac:dyDescent="0.2">
      <c r="A869" s="71"/>
      <c r="B869" s="71"/>
      <c r="C869" s="72"/>
      <c r="D869" s="73"/>
      <c r="E869" s="73"/>
      <c r="F869" s="73"/>
      <c r="G869" s="101"/>
      <c r="H869" s="648"/>
      <c r="I869" s="648"/>
      <c r="J869" s="624"/>
      <c r="K869" s="53"/>
      <c r="L869" s="269"/>
    </row>
    <row r="870" spans="1:13" x14ac:dyDescent="0.3">
      <c r="A870" s="635"/>
      <c r="B870" s="635"/>
      <c r="C870" s="635"/>
      <c r="D870" s="635"/>
      <c r="E870" s="635"/>
      <c r="F870" s="635"/>
      <c r="G870" s="635"/>
      <c r="H870" s="637"/>
      <c r="I870" s="637"/>
      <c r="J870" s="638"/>
      <c r="K870" s="635"/>
      <c r="L870" s="635"/>
      <c r="M870" s="635"/>
    </row>
    <row r="871" spans="1:13" x14ac:dyDescent="0.3">
      <c r="A871" s="635" t="s">
        <v>111</v>
      </c>
      <c r="B871" s="635"/>
      <c r="C871" s="635"/>
      <c r="D871" s="635"/>
      <c r="E871" s="635"/>
      <c r="F871" s="635"/>
      <c r="G871" s="635"/>
      <c r="H871" s="637"/>
      <c r="I871" s="637"/>
      <c r="J871" s="638"/>
      <c r="K871" s="635"/>
      <c r="L871" s="635"/>
      <c r="M871" s="635"/>
    </row>
    <row r="872" spans="1:13" x14ac:dyDescent="0.3">
      <c r="A872" s="635" t="s">
        <v>182</v>
      </c>
      <c r="B872" s="635"/>
      <c r="C872" s="635"/>
      <c r="D872" s="635"/>
      <c r="E872" s="635"/>
      <c r="F872" s="635"/>
      <c r="G872" s="635"/>
      <c r="H872" s="637"/>
      <c r="I872" s="637"/>
      <c r="J872" s="638"/>
      <c r="K872" s="635"/>
      <c r="L872" s="635"/>
      <c r="M872" s="635"/>
    </row>
    <row r="873" spans="1:13" x14ac:dyDescent="0.3">
      <c r="A873" s="635" t="s">
        <v>112</v>
      </c>
      <c r="B873" s="635"/>
      <c r="C873" s="635"/>
      <c r="D873" s="635"/>
      <c r="E873" s="635"/>
      <c r="F873" s="635"/>
      <c r="G873" s="635"/>
      <c r="H873" s="637"/>
      <c r="I873" s="637"/>
      <c r="J873" s="638"/>
      <c r="K873" s="635"/>
      <c r="L873" s="635"/>
      <c r="M873" s="635"/>
    </row>
    <row r="874" spans="1:13" x14ac:dyDescent="0.3">
      <c r="A874" s="635" t="s">
        <v>968</v>
      </c>
      <c r="B874" s="635"/>
      <c r="C874" s="635"/>
      <c r="D874" s="635"/>
      <c r="E874" s="635"/>
      <c r="F874" s="635"/>
      <c r="G874" s="635"/>
      <c r="H874" s="637"/>
      <c r="I874" s="637"/>
      <c r="J874" s="638"/>
      <c r="K874" s="635"/>
      <c r="L874" s="635"/>
      <c r="M874" s="635"/>
    </row>
    <row r="875" spans="1:13" x14ac:dyDescent="0.3">
      <c r="A875" s="635"/>
      <c r="B875" s="635"/>
      <c r="C875" s="635"/>
      <c r="D875" s="635"/>
      <c r="E875" s="635"/>
      <c r="F875" s="635"/>
      <c r="G875" s="635"/>
      <c r="H875" s="637"/>
      <c r="I875" s="637"/>
      <c r="J875" s="638"/>
      <c r="K875" s="635"/>
      <c r="L875" s="635"/>
      <c r="M875" s="635"/>
    </row>
    <row r="876" spans="1:13" x14ac:dyDescent="0.3">
      <c r="A876" s="635" t="s">
        <v>113</v>
      </c>
      <c r="B876" s="635"/>
      <c r="C876" s="635"/>
      <c r="D876" s="635"/>
      <c r="E876" s="635"/>
      <c r="F876" s="635"/>
      <c r="G876" s="635"/>
      <c r="H876" s="637"/>
      <c r="I876" s="637"/>
      <c r="J876" s="638"/>
      <c r="K876" s="635"/>
      <c r="L876" s="635"/>
      <c r="M876" s="635"/>
    </row>
    <row r="877" spans="1:13" x14ac:dyDescent="0.3">
      <c r="A877" s="635"/>
      <c r="B877" s="635"/>
      <c r="C877" s="635"/>
      <c r="D877" s="635"/>
      <c r="E877" s="635"/>
      <c r="F877" s="635"/>
      <c r="G877" s="635"/>
      <c r="H877" s="637"/>
      <c r="I877" s="637"/>
      <c r="J877" s="638"/>
      <c r="K877" s="635"/>
      <c r="L877" s="635"/>
      <c r="M877" s="635"/>
    </row>
    <row r="878" spans="1:13" x14ac:dyDescent="0.3">
      <c r="A878" s="635"/>
      <c r="B878" s="635"/>
      <c r="C878" s="635"/>
      <c r="D878" s="635"/>
      <c r="E878" s="635"/>
      <c r="F878" s="635"/>
      <c r="G878" s="635"/>
      <c r="H878" s="637"/>
      <c r="I878" s="637"/>
      <c r="J878" s="638"/>
      <c r="K878" s="635"/>
      <c r="L878" s="635"/>
      <c r="M878" s="635"/>
    </row>
    <row r="879" spans="1:13" x14ac:dyDescent="0.3">
      <c r="A879" s="635"/>
      <c r="B879" s="635"/>
      <c r="C879" s="635"/>
      <c r="D879" s="635"/>
      <c r="E879" s="635"/>
      <c r="F879" s="635"/>
      <c r="G879" s="635"/>
      <c r="H879" s="637"/>
      <c r="I879" s="637"/>
      <c r="J879" s="638"/>
      <c r="K879" s="635"/>
      <c r="L879" s="635"/>
      <c r="M879" s="635"/>
    </row>
    <row r="880" spans="1:13" x14ac:dyDescent="0.3">
      <c r="A880" s="635"/>
      <c r="B880" s="635"/>
      <c r="C880" s="635"/>
      <c r="D880" s="635"/>
      <c r="E880" s="635"/>
      <c r="F880" s="635"/>
      <c r="G880" s="635"/>
      <c r="H880" s="637"/>
      <c r="I880" s="637"/>
      <c r="J880" s="638"/>
      <c r="K880" s="635"/>
      <c r="L880" s="635"/>
      <c r="M880" s="635"/>
    </row>
    <row r="881" spans="1:13" x14ac:dyDescent="0.3">
      <c r="A881" s="635"/>
      <c r="B881" s="635"/>
      <c r="C881" s="635"/>
      <c r="D881" s="635"/>
      <c r="E881" s="635"/>
      <c r="F881" s="635"/>
      <c r="G881" s="635"/>
      <c r="H881" s="637"/>
      <c r="I881" s="637"/>
      <c r="J881" s="638"/>
      <c r="K881" s="635"/>
      <c r="L881" s="635"/>
      <c r="M881" s="6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B3FC-BB9F-431C-B536-C5CB4B4A2DC5}">
  <dimension ref="A1:Q874"/>
  <sheetViews>
    <sheetView workbookViewId="0">
      <selection sqref="A1:XFD1048576"/>
    </sheetView>
  </sheetViews>
  <sheetFormatPr defaultColWidth="8.88671875" defaultRowHeight="14.4" x14ac:dyDescent="0.3"/>
  <cols>
    <col min="1" max="1" width="6.6640625" style="450" customWidth="1"/>
    <col min="2" max="2" width="7" style="450" customWidth="1"/>
    <col min="3" max="3" width="6.33203125" style="450" customWidth="1"/>
    <col min="4" max="4" width="4.44140625" style="450" customWidth="1"/>
    <col min="5" max="5" width="28.33203125" style="450" customWidth="1"/>
    <col min="6" max="6" width="22" style="450" customWidth="1"/>
    <col min="7" max="7" width="10.77734375" style="480" customWidth="1"/>
    <col min="8" max="9" width="9.77734375" style="481" customWidth="1"/>
    <col min="10" max="10" width="9.77734375" style="483" customWidth="1"/>
    <col min="11" max="16" width="8.88671875" style="450"/>
    <col min="17" max="17" width="8.88671875" style="330"/>
    <col min="18" max="16384" width="8.88671875" style="450"/>
  </cols>
  <sheetData>
    <row r="1" spans="1:13" ht="18" customHeight="1" x14ac:dyDescent="0.3">
      <c r="A1" s="442" t="s">
        <v>114</v>
      </c>
      <c r="B1" s="443"/>
      <c r="C1" s="444"/>
      <c r="D1" s="445"/>
      <c r="E1" s="445"/>
      <c r="F1" s="446"/>
      <c r="G1" s="447"/>
      <c r="H1" s="448"/>
      <c r="I1" s="448"/>
      <c r="J1" s="449"/>
      <c r="M1" s="331" t="s">
        <v>23</v>
      </c>
    </row>
    <row r="2" spans="1:13" ht="16.2" customHeight="1" x14ac:dyDescent="0.3">
      <c r="A2" s="451" t="s">
        <v>970</v>
      </c>
      <c r="B2" s="443"/>
      <c r="C2" s="444"/>
      <c r="D2" s="445"/>
      <c r="E2" s="445"/>
      <c r="F2" s="446"/>
      <c r="G2" s="447"/>
      <c r="H2" s="448"/>
      <c r="I2" s="448"/>
      <c r="J2" s="452"/>
    </row>
    <row r="3" spans="1:13" ht="16.95" customHeight="1" x14ac:dyDescent="0.3">
      <c r="A3" s="453" t="s">
        <v>1351</v>
      </c>
      <c r="B3" s="454"/>
      <c r="C3" s="455"/>
      <c r="D3" s="456"/>
      <c r="E3" s="445"/>
      <c r="F3" s="446"/>
      <c r="G3" s="447"/>
      <c r="H3" s="448"/>
      <c r="I3" s="448"/>
      <c r="J3" s="452"/>
    </row>
    <row r="4" spans="1:13" ht="11.1" customHeight="1" x14ac:dyDescent="0.3">
      <c r="A4" s="457"/>
      <c r="B4" s="458"/>
      <c r="C4" s="459"/>
      <c r="D4" s="459"/>
      <c r="E4" s="459"/>
      <c r="F4" s="459"/>
      <c r="G4" s="460"/>
      <c r="H4" s="461"/>
      <c r="I4" s="461"/>
      <c r="J4" s="462"/>
    </row>
    <row r="5" spans="1:13" ht="11.1" customHeight="1" x14ac:dyDescent="0.3">
      <c r="A5" s="463"/>
      <c r="B5" s="464"/>
      <c r="C5" s="465"/>
      <c r="D5" s="465"/>
      <c r="E5" s="465"/>
      <c r="F5" s="465"/>
      <c r="G5" s="466"/>
      <c r="H5" s="467"/>
      <c r="I5" s="467"/>
      <c r="J5" s="468"/>
    </row>
    <row r="6" spans="1:13" ht="11.1" customHeight="1" x14ac:dyDescent="0.3">
      <c r="A6" s="463"/>
      <c r="B6" s="463"/>
      <c r="C6" s="466"/>
      <c r="D6" s="466"/>
      <c r="E6" s="466"/>
      <c r="F6" s="469"/>
      <c r="G6" s="470" t="s">
        <v>116</v>
      </c>
      <c r="H6" s="471" t="s">
        <v>25</v>
      </c>
      <c r="I6" s="471" t="s">
        <v>26</v>
      </c>
      <c r="J6" s="472" t="s">
        <v>117</v>
      </c>
    </row>
    <row r="7" spans="1:13" ht="11.1" customHeight="1" x14ac:dyDescent="0.3">
      <c r="A7" s="463"/>
      <c r="B7" s="463"/>
      <c r="C7" s="466"/>
      <c r="D7" s="466"/>
      <c r="E7" s="466"/>
      <c r="F7" s="469"/>
      <c r="G7" s="473" t="s">
        <v>29</v>
      </c>
      <c r="H7" s="471" t="s">
        <v>27</v>
      </c>
      <c r="I7" s="471" t="s">
        <v>28</v>
      </c>
      <c r="J7" s="472" t="s">
        <v>118</v>
      </c>
    </row>
    <row r="8" spans="1:13" ht="11.1" customHeight="1" x14ac:dyDescent="0.3">
      <c r="A8" s="463"/>
      <c r="B8" s="463"/>
      <c r="C8" s="466"/>
      <c r="D8" s="466"/>
      <c r="E8" s="466"/>
      <c r="F8" s="469"/>
      <c r="G8" s="470" t="s">
        <v>31</v>
      </c>
      <c r="H8" s="471" t="s">
        <v>29</v>
      </c>
      <c r="I8" s="471" t="s">
        <v>30</v>
      </c>
      <c r="J8" s="472" t="s">
        <v>119</v>
      </c>
    </row>
    <row r="9" spans="1:13" ht="11.1" customHeight="1" x14ac:dyDescent="0.3">
      <c r="A9" s="463"/>
      <c r="B9" s="463"/>
      <c r="C9" s="466"/>
      <c r="D9" s="466"/>
      <c r="E9" s="466"/>
      <c r="F9" s="469"/>
      <c r="G9" s="473" t="s">
        <v>32</v>
      </c>
      <c r="H9" s="471" t="s">
        <v>33</v>
      </c>
      <c r="I9" s="471" t="s">
        <v>120</v>
      </c>
      <c r="J9" s="472" t="s">
        <v>121</v>
      </c>
    </row>
    <row r="10" spans="1:13" ht="11.1" customHeight="1" x14ac:dyDescent="0.3">
      <c r="A10" s="474"/>
      <c r="B10" s="474"/>
      <c r="C10" s="475"/>
      <c r="D10" s="475"/>
      <c r="E10" s="475"/>
      <c r="F10" s="475"/>
      <c r="G10" s="476"/>
      <c r="H10" s="477"/>
      <c r="I10" s="477"/>
      <c r="J10" s="478"/>
    </row>
    <row r="12" spans="1:13" ht="11.1" customHeight="1" x14ac:dyDescent="0.3">
      <c r="A12" s="479" t="s">
        <v>122</v>
      </c>
      <c r="I12" s="482">
        <v>4460</v>
      </c>
    </row>
    <row r="13" spans="1:13" ht="11.1" customHeight="1" x14ac:dyDescent="0.3">
      <c r="A13" s="484"/>
      <c r="B13" s="484"/>
      <c r="C13" s="484"/>
      <c r="D13" s="484"/>
      <c r="E13" s="484"/>
      <c r="F13" s="484"/>
      <c r="G13" s="485"/>
      <c r="H13" s="486"/>
      <c r="I13" s="486"/>
      <c r="J13" s="487"/>
    </row>
    <row r="15" spans="1:13" ht="11.1" customHeight="1" x14ac:dyDescent="0.3">
      <c r="A15" s="488" t="s">
        <v>123</v>
      </c>
      <c r="F15" s="450" t="s">
        <v>124</v>
      </c>
    </row>
    <row r="17" spans="1:11" ht="11.1" customHeight="1" x14ac:dyDescent="0.3">
      <c r="A17" s="489" t="s">
        <v>34</v>
      </c>
      <c r="B17" s="489" t="s">
        <v>7</v>
      </c>
      <c r="C17" s="489"/>
      <c r="D17" s="489"/>
      <c r="E17" s="489"/>
      <c r="F17" s="489"/>
      <c r="G17" s="490">
        <v>63.5</v>
      </c>
      <c r="H17" s="491">
        <v>1860</v>
      </c>
      <c r="I17" s="491">
        <v>4430</v>
      </c>
      <c r="J17" s="492">
        <v>0.9</v>
      </c>
      <c r="K17" s="493"/>
    </row>
    <row r="18" spans="1:11" ht="11.1" customHeight="1" x14ac:dyDescent="0.3">
      <c r="A18" s="493"/>
      <c r="B18" s="493"/>
      <c r="C18" s="493"/>
      <c r="D18" s="493"/>
      <c r="E18" s="493"/>
      <c r="F18" s="493"/>
      <c r="G18" s="494"/>
      <c r="H18" s="495"/>
      <c r="I18" s="495"/>
      <c r="J18" s="496"/>
      <c r="K18" s="493"/>
    </row>
    <row r="19" spans="1:11" ht="11.1" customHeight="1" x14ac:dyDescent="0.3">
      <c r="A19" s="497">
        <v>1.1000000000000001</v>
      </c>
      <c r="B19" s="493" t="s">
        <v>35</v>
      </c>
      <c r="C19" s="493"/>
      <c r="D19" s="493"/>
      <c r="E19" s="493"/>
      <c r="F19" s="493"/>
      <c r="G19" s="494">
        <v>58</v>
      </c>
      <c r="H19" s="495">
        <v>1700</v>
      </c>
      <c r="I19" s="495">
        <v>4430</v>
      </c>
      <c r="J19" s="496">
        <v>0.9</v>
      </c>
      <c r="K19" s="493"/>
    </row>
    <row r="20" spans="1:11" ht="11.1" customHeight="1" x14ac:dyDescent="0.3">
      <c r="A20" s="493"/>
      <c r="B20" s="493" t="s">
        <v>36</v>
      </c>
      <c r="C20" s="493" t="s">
        <v>37</v>
      </c>
      <c r="D20" s="493"/>
      <c r="E20" s="493"/>
      <c r="F20" s="493"/>
      <c r="G20" s="494">
        <v>5.6</v>
      </c>
      <c r="H20" s="495">
        <v>165</v>
      </c>
      <c r="I20" s="495">
        <v>4290</v>
      </c>
      <c r="J20" s="496">
        <v>1.1000000000000001</v>
      </c>
      <c r="K20" s="493"/>
    </row>
    <row r="21" spans="1:11" ht="11.1" customHeight="1" x14ac:dyDescent="0.3">
      <c r="A21" s="493"/>
      <c r="B21" s="493"/>
      <c r="C21" s="493" t="s">
        <v>125</v>
      </c>
      <c r="D21" s="493" t="s">
        <v>126</v>
      </c>
      <c r="E21" s="493"/>
      <c r="F21" s="493"/>
      <c r="G21" s="494">
        <v>0.5</v>
      </c>
      <c r="H21" s="495">
        <v>13</v>
      </c>
      <c r="I21" s="495">
        <v>1280</v>
      </c>
      <c r="J21" s="496">
        <v>3.8</v>
      </c>
      <c r="K21" s="493"/>
    </row>
    <row r="22" spans="1:11" ht="11.1" customHeight="1" x14ac:dyDescent="0.3">
      <c r="A22" s="493"/>
      <c r="B22" s="493"/>
      <c r="C22" s="493" t="s">
        <v>127</v>
      </c>
      <c r="D22" s="493" t="s">
        <v>128</v>
      </c>
      <c r="E22" s="493"/>
      <c r="F22" s="493"/>
      <c r="G22" s="494">
        <v>2.7</v>
      </c>
      <c r="H22" s="495">
        <v>78</v>
      </c>
      <c r="I22" s="495">
        <v>4060</v>
      </c>
      <c r="J22" s="496">
        <v>1.2</v>
      </c>
      <c r="K22" s="493"/>
    </row>
    <row r="23" spans="1:11" ht="11.1" customHeight="1" x14ac:dyDescent="0.3">
      <c r="A23" s="493"/>
      <c r="B23" s="493"/>
      <c r="C23" s="493" t="s">
        <v>129</v>
      </c>
      <c r="D23" s="493" t="s">
        <v>130</v>
      </c>
      <c r="E23" s="493"/>
      <c r="F23" s="493"/>
      <c r="G23" s="494">
        <v>2.5</v>
      </c>
      <c r="H23" s="495">
        <v>73</v>
      </c>
      <c r="I23" s="495">
        <v>3580</v>
      </c>
      <c r="J23" s="496">
        <v>1.6</v>
      </c>
      <c r="K23" s="493"/>
    </row>
    <row r="24" spans="1:11" ht="11.1" customHeight="1" x14ac:dyDescent="0.3">
      <c r="A24" s="493"/>
      <c r="B24" s="493"/>
      <c r="C24" s="493"/>
      <c r="D24" s="493"/>
      <c r="E24" s="493"/>
      <c r="F24" s="493"/>
      <c r="G24" s="494"/>
      <c r="H24" s="495"/>
      <c r="I24" s="495"/>
      <c r="J24" s="496"/>
      <c r="K24" s="493"/>
    </row>
    <row r="25" spans="1:11" ht="11.1" customHeight="1" x14ac:dyDescent="0.3">
      <c r="A25" s="493"/>
      <c r="B25" s="493" t="s">
        <v>38</v>
      </c>
      <c r="C25" s="493" t="s">
        <v>39</v>
      </c>
      <c r="D25" s="493"/>
      <c r="E25" s="493"/>
      <c r="F25" s="493"/>
      <c r="G25" s="494">
        <v>0.6</v>
      </c>
      <c r="H25" s="495">
        <v>16</v>
      </c>
      <c r="I25" s="495">
        <v>1820</v>
      </c>
      <c r="J25" s="496">
        <v>2.2000000000000002</v>
      </c>
      <c r="K25" s="493"/>
    </row>
    <row r="26" spans="1:11" ht="11.1" customHeight="1" x14ac:dyDescent="0.3">
      <c r="A26" s="493"/>
      <c r="B26" s="493"/>
      <c r="C26" s="493"/>
      <c r="D26" s="493"/>
      <c r="E26" s="493"/>
      <c r="F26" s="493"/>
      <c r="G26" s="494"/>
      <c r="H26" s="495"/>
      <c r="I26" s="495"/>
      <c r="J26" s="496"/>
      <c r="K26" s="493"/>
    </row>
    <row r="27" spans="1:11" ht="11.1" customHeight="1" x14ac:dyDescent="0.3">
      <c r="A27" s="493"/>
      <c r="B27" s="493" t="s">
        <v>40</v>
      </c>
      <c r="C27" s="493" t="s">
        <v>41</v>
      </c>
      <c r="D27" s="493"/>
      <c r="E27" s="493"/>
      <c r="F27" s="493"/>
      <c r="G27" s="494">
        <v>4.2</v>
      </c>
      <c r="H27" s="495">
        <v>124</v>
      </c>
      <c r="I27" s="495">
        <v>3990</v>
      </c>
      <c r="J27" s="496">
        <v>1.6</v>
      </c>
      <c r="K27" s="493"/>
    </row>
    <row r="28" spans="1:11" ht="11.1" customHeight="1" x14ac:dyDescent="0.3">
      <c r="A28" s="493"/>
      <c r="B28" s="493"/>
      <c r="C28" s="493" t="s">
        <v>131</v>
      </c>
      <c r="D28" s="493" t="s">
        <v>132</v>
      </c>
      <c r="E28" s="493"/>
      <c r="F28" s="493"/>
      <c r="G28" s="494">
        <v>2.6</v>
      </c>
      <c r="H28" s="495">
        <v>75</v>
      </c>
      <c r="I28" s="495">
        <v>3700</v>
      </c>
      <c r="J28" s="496">
        <v>1.4</v>
      </c>
      <c r="K28" s="493"/>
    </row>
    <row r="29" spans="1:11" ht="11.1" customHeight="1" x14ac:dyDescent="0.3">
      <c r="A29" s="493"/>
      <c r="B29" s="493"/>
      <c r="C29" s="493" t="s">
        <v>133</v>
      </c>
      <c r="D29" s="493" t="s">
        <v>134</v>
      </c>
      <c r="E29" s="493"/>
      <c r="F29" s="493"/>
      <c r="G29" s="494">
        <v>1.7</v>
      </c>
      <c r="H29" s="495">
        <v>49</v>
      </c>
      <c r="I29" s="495">
        <v>2780</v>
      </c>
      <c r="J29" s="496">
        <v>3.1</v>
      </c>
      <c r="K29" s="493"/>
    </row>
    <row r="30" spans="1:11" ht="11.1" customHeight="1" x14ac:dyDescent="0.3">
      <c r="A30" s="493"/>
      <c r="B30" s="493"/>
      <c r="C30" s="493"/>
      <c r="D30" s="493"/>
      <c r="E30" s="493"/>
      <c r="F30" s="493"/>
      <c r="G30" s="494"/>
      <c r="H30" s="495"/>
      <c r="I30" s="495"/>
      <c r="J30" s="496"/>
      <c r="K30" s="493"/>
    </row>
    <row r="31" spans="1:11" ht="11.1" customHeight="1" x14ac:dyDescent="0.3">
      <c r="A31" s="493"/>
      <c r="B31" s="493" t="s">
        <v>42</v>
      </c>
      <c r="C31" s="493" t="s">
        <v>43</v>
      </c>
      <c r="D31" s="493"/>
      <c r="E31" s="493"/>
      <c r="F31" s="493"/>
      <c r="G31" s="494">
        <v>1.1000000000000001</v>
      </c>
      <c r="H31" s="495">
        <v>31</v>
      </c>
      <c r="I31" s="495">
        <v>1800</v>
      </c>
      <c r="J31" s="496">
        <v>2.2000000000000002</v>
      </c>
      <c r="K31" s="493"/>
    </row>
    <row r="32" spans="1:11" ht="11.1" customHeight="1" x14ac:dyDescent="0.3">
      <c r="A32" s="493"/>
      <c r="B32" s="493" t="s">
        <v>44</v>
      </c>
      <c r="C32" s="493" t="s">
        <v>45</v>
      </c>
      <c r="D32" s="493"/>
      <c r="E32" s="493"/>
      <c r="F32" s="493"/>
      <c r="G32" s="494">
        <v>1.7</v>
      </c>
      <c r="H32" s="495">
        <v>49</v>
      </c>
      <c r="I32" s="495">
        <v>1730</v>
      </c>
      <c r="J32" s="496">
        <v>3.1</v>
      </c>
      <c r="K32" s="493"/>
    </row>
    <row r="33" spans="1:11" ht="11.1" customHeight="1" x14ac:dyDescent="0.3">
      <c r="A33" s="493"/>
      <c r="B33" s="493" t="s">
        <v>46</v>
      </c>
      <c r="C33" s="493" t="s">
        <v>47</v>
      </c>
      <c r="D33" s="493"/>
      <c r="E33" s="493"/>
      <c r="F33" s="493"/>
      <c r="G33" s="494">
        <v>0.5</v>
      </c>
      <c r="H33" s="495">
        <v>15</v>
      </c>
      <c r="I33" s="495">
        <v>810</v>
      </c>
      <c r="J33" s="496">
        <v>3.9</v>
      </c>
      <c r="K33" s="493"/>
    </row>
    <row r="34" spans="1:11" ht="11.1" customHeight="1" x14ac:dyDescent="0.3">
      <c r="A34" s="493"/>
      <c r="B34" s="493" t="s">
        <v>48</v>
      </c>
      <c r="C34" s="493" t="s">
        <v>49</v>
      </c>
      <c r="D34" s="493"/>
      <c r="E34" s="493"/>
      <c r="F34" s="493"/>
      <c r="G34" s="494">
        <v>0.5</v>
      </c>
      <c r="H34" s="495">
        <v>15</v>
      </c>
      <c r="I34" s="495">
        <v>410</v>
      </c>
      <c r="J34" s="496">
        <v>5.9</v>
      </c>
      <c r="K34" s="493"/>
    </row>
    <row r="35" spans="1:11" ht="11.1" customHeight="1" x14ac:dyDescent="0.3">
      <c r="A35" s="493"/>
      <c r="B35" s="493" t="s">
        <v>50</v>
      </c>
      <c r="C35" s="493" t="s">
        <v>51</v>
      </c>
      <c r="D35" s="493"/>
      <c r="E35" s="493"/>
      <c r="F35" s="493"/>
      <c r="G35" s="494">
        <v>2.4</v>
      </c>
      <c r="H35" s="495">
        <v>69</v>
      </c>
      <c r="I35" s="495">
        <v>2310</v>
      </c>
      <c r="J35" s="496">
        <v>1.9</v>
      </c>
      <c r="K35" s="493"/>
    </row>
    <row r="36" spans="1:11" ht="11.1" customHeight="1" x14ac:dyDescent="0.3">
      <c r="A36" s="493"/>
      <c r="B36" s="493" t="s">
        <v>52</v>
      </c>
      <c r="C36" s="493" t="s">
        <v>53</v>
      </c>
      <c r="D36" s="493"/>
      <c r="E36" s="493"/>
      <c r="F36" s="493"/>
      <c r="G36" s="494">
        <v>0.7</v>
      </c>
      <c r="H36" s="495">
        <v>22</v>
      </c>
      <c r="I36" s="495">
        <v>1700</v>
      </c>
      <c r="J36" s="496">
        <v>2.4</v>
      </c>
      <c r="K36" s="493"/>
    </row>
    <row r="37" spans="1:11" ht="11.1" customHeight="1" x14ac:dyDescent="0.3">
      <c r="A37" s="493"/>
      <c r="B37" s="493"/>
      <c r="C37" s="493"/>
      <c r="D37" s="493"/>
      <c r="E37" s="493"/>
      <c r="F37" s="493"/>
      <c r="G37" s="494"/>
      <c r="H37" s="495"/>
      <c r="I37" s="495"/>
      <c r="J37" s="496"/>
      <c r="K37" s="493"/>
    </row>
    <row r="38" spans="1:11" ht="11.1" customHeight="1" x14ac:dyDescent="0.3">
      <c r="A38" s="493"/>
      <c r="B38" s="493" t="s">
        <v>54</v>
      </c>
      <c r="C38" s="493" t="s">
        <v>55</v>
      </c>
      <c r="D38" s="493"/>
      <c r="E38" s="493"/>
      <c r="F38" s="493"/>
      <c r="G38" s="494">
        <v>6.6</v>
      </c>
      <c r="H38" s="495">
        <v>192</v>
      </c>
      <c r="I38" s="495">
        <v>3840</v>
      </c>
      <c r="J38" s="496">
        <v>2.2999999999999998</v>
      </c>
      <c r="K38" s="493"/>
    </row>
    <row r="39" spans="1:11" ht="11.1" customHeight="1" x14ac:dyDescent="0.3">
      <c r="A39" s="493"/>
      <c r="B39" s="493"/>
      <c r="C39" s="493" t="s">
        <v>135</v>
      </c>
      <c r="D39" s="493" t="s">
        <v>136</v>
      </c>
      <c r="E39" s="493"/>
      <c r="F39" s="493"/>
      <c r="G39" s="494">
        <v>0.9</v>
      </c>
      <c r="H39" s="495">
        <v>27</v>
      </c>
      <c r="I39" s="495">
        <v>1930</v>
      </c>
      <c r="J39" s="496">
        <v>2.2000000000000002</v>
      </c>
      <c r="K39" s="493"/>
    </row>
    <row r="40" spans="1:11" ht="11.1" customHeight="1" x14ac:dyDescent="0.3">
      <c r="A40" s="493"/>
      <c r="B40" s="493"/>
      <c r="C40" s="493" t="s">
        <v>137</v>
      </c>
      <c r="D40" s="493" t="s">
        <v>138</v>
      </c>
      <c r="E40" s="493"/>
      <c r="F40" s="493"/>
      <c r="G40" s="494">
        <v>0.1</v>
      </c>
      <c r="H40" s="495">
        <v>3</v>
      </c>
      <c r="I40" s="495">
        <v>430</v>
      </c>
      <c r="J40" s="496">
        <v>5.9</v>
      </c>
      <c r="K40" s="493"/>
    </row>
    <row r="41" spans="1:11" ht="11.1" customHeight="1" x14ac:dyDescent="0.3">
      <c r="A41" s="493"/>
      <c r="B41" s="493"/>
      <c r="C41" s="493" t="s">
        <v>139</v>
      </c>
      <c r="D41" s="493" t="s">
        <v>140</v>
      </c>
      <c r="E41" s="493"/>
      <c r="F41" s="493"/>
      <c r="G41" s="494">
        <v>5.5</v>
      </c>
      <c r="H41" s="495">
        <v>161</v>
      </c>
      <c r="I41" s="495">
        <v>3700</v>
      </c>
      <c r="J41" s="496">
        <v>2.6</v>
      </c>
      <c r="K41" s="493"/>
    </row>
    <row r="42" spans="1:11" ht="11.1" customHeight="1" x14ac:dyDescent="0.3">
      <c r="A42" s="493"/>
      <c r="B42" s="493"/>
      <c r="C42" s="493" t="s">
        <v>141</v>
      </c>
      <c r="D42" s="493" t="s">
        <v>142</v>
      </c>
      <c r="E42" s="493"/>
      <c r="F42" s="493"/>
      <c r="G42" s="494" t="s">
        <v>1009</v>
      </c>
      <c r="H42" s="495">
        <v>1</v>
      </c>
      <c r="I42" s="495">
        <v>30</v>
      </c>
      <c r="J42" s="496">
        <v>65.900000000000006</v>
      </c>
      <c r="K42" s="493"/>
    </row>
    <row r="43" spans="1:11" ht="11.1" customHeight="1" x14ac:dyDescent="0.3">
      <c r="A43" s="493"/>
      <c r="B43" s="493"/>
      <c r="C43" s="493"/>
      <c r="D43" s="493"/>
      <c r="E43" s="493"/>
      <c r="F43" s="493"/>
      <c r="G43" s="494"/>
      <c r="H43" s="495"/>
      <c r="I43" s="495"/>
      <c r="J43" s="496"/>
      <c r="K43" s="493"/>
    </row>
    <row r="44" spans="1:11" ht="11.1" customHeight="1" x14ac:dyDescent="0.3">
      <c r="A44" s="493"/>
      <c r="B44" s="493" t="s">
        <v>56</v>
      </c>
      <c r="C44" s="493" t="s">
        <v>57</v>
      </c>
      <c r="D44" s="493"/>
      <c r="E44" s="493"/>
      <c r="F44" s="493"/>
      <c r="G44" s="494">
        <v>2.8</v>
      </c>
      <c r="H44" s="495">
        <v>83</v>
      </c>
      <c r="I44" s="495">
        <v>2780</v>
      </c>
      <c r="J44" s="496">
        <v>2.2999999999999998</v>
      </c>
      <c r="K44" s="493"/>
    </row>
    <row r="45" spans="1:11" ht="11.1" customHeight="1" x14ac:dyDescent="0.3">
      <c r="A45" s="493"/>
      <c r="B45" s="493"/>
      <c r="C45" s="493" t="s">
        <v>143</v>
      </c>
      <c r="D45" s="493" t="s">
        <v>144</v>
      </c>
      <c r="E45" s="493"/>
      <c r="F45" s="493"/>
      <c r="G45" s="494">
        <v>1</v>
      </c>
      <c r="H45" s="495">
        <v>29</v>
      </c>
      <c r="I45" s="495">
        <v>1140</v>
      </c>
      <c r="J45" s="496">
        <v>3.8</v>
      </c>
      <c r="K45" s="493"/>
    </row>
    <row r="46" spans="1:11" ht="11.1" customHeight="1" x14ac:dyDescent="0.3">
      <c r="A46" s="493"/>
      <c r="B46" s="493"/>
      <c r="C46" s="493" t="s">
        <v>145</v>
      </c>
      <c r="D46" s="493" t="s">
        <v>146</v>
      </c>
      <c r="E46" s="493"/>
      <c r="F46" s="493"/>
      <c r="G46" s="494">
        <v>0.6</v>
      </c>
      <c r="H46" s="495">
        <v>17</v>
      </c>
      <c r="I46" s="495">
        <v>930</v>
      </c>
      <c r="J46" s="496">
        <v>4.4000000000000004</v>
      </c>
      <c r="K46" s="493"/>
    </row>
    <row r="47" spans="1:11" ht="11.1" customHeight="1" x14ac:dyDescent="0.3">
      <c r="A47" s="493"/>
      <c r="B47" s="493"/>
      <c r="C47" s="493" t="s">
        <v>147</v>
      </c>
      <c r="D47" s="493" t="s">
        <v>148</v>
      </c>
      <c r="E47" s="493"/>
      <c r="F47" s="493"/>
      <c r="G47" s="494">
        <v>1.3</v>
      </c>
      <c r="H47" s="495">
        <v>37</v>
      </c>
      <c r="I47" s="495">
        <v>2090</v>
      </c>
      <c r="J47" s="496">
        <v>2.5</v>
      </c>
      <c r="K47" s="493"/>
    </row>
    <row r="48" spans="1:11" ht="11.1" customHeight="1" x14ac:dyDescent="0.3">
      <c r="A48" s="493"/>
      <c r="B48" s="493"/>
      <c r="C48" s="493"/>
      <c r="D48" s="493"/>
      <c r="E48" s="493"/>
      <c r="F48" s="493"/>
      <c r="G48" s="494"/>
      <c r="H48" s="495"/>
      <c r="I48" s="495"/>
      <c r="J48" s="496"/>
      <c r="K48" s="493"/>
    </row>
    <row r="49" spans="1:11" ht="11.1" customHeight="1" x14ac:dyDescent="0.3">
      <c r="A49" s="493"/>
      <c r="B49" s="493" t="s">
        <v>58</v>
      </c>
      <c r="C49" s="493" t="s">
        <v>59</v>
      </c>
      <c r="D49" s="493"/>
      <c r="E49" s="493"/>
      <c r="F49" s="493"/>
      <c r="G49" s="494">
        <v>2.2999999999999998</v>
      </c>
      <c r="H49" s="495">
        <v>67</v>
      </c>
      <c r="I49" s="495">
        <v>3760</v>
      </c>
      <c r="J49" s="496">
        <v>1.3</v>
      </c>
      <c r="K49" s="493"/>
    </row>
    <row r="50" spans="1:11" ht="11.1" customHeight="1" x14ac:dyDescent="0.3">
      <c r="A50" s="493"/>
      <c r="B50" s="493"/>
      <c r="C50" s="493" t="s">
        <v>149</v>
      </c>
      <c r="D50" s="493" t="s">
        <v>150</v>
      </c>
      <c r="E50" s="493"/>
      <c r="F50" s="493"/>
      <c r="G50" s="494">
        <v>0.5</v>
      </c>
      <c r="H50" s="495">
        <v>14</v>
      </c>
      <c r="I50" s="495">
        <v>1060</v>
      </c>
      <c r="J50" s="496">
        <v>2.9</v>
      </c>
      <c r="K50" s="493"/>
    </row>
    <row r="51" spans="1:11" ht="11.1" customHeight="1" x14ac:dyDescent="0.3">
      <c r="A51" s="493"/>
      <c r="B51" s="493"/>
      <c r="C51" s="493" t="s">
        <v>151</v>
      </c>
      <c r="D51" s="493" t="s">
        <v>152</v>
      </c>
      <c r="E51" s="493"/>
      <c r="F51" s="493"/>
      <c r="G51" s="494">
        <v>1.6</v>
      </c>
      <c r="H51" s="495">
        <v>46</v>
      </c>
      <c r="I51" s="495">
        <v>3150</v>
      </c>
      <c r="J51" s="496">
        <v>1.6</v>
      </c>
      <c r="K51" s="493"/>
    </row>
    <row r="52" spans="1:11" ht="11.1" customHeight="1" x14ac:dyDescent="0.3">
      <c r="A52" s="493"/>
      <c r="B52" s="493"/>
      <c r="C52" s="493" t="s">
        <v>153</v>
      </c>
      <c r="D52" s="493" t="s">
        <v>154</v>
      </c>
      <c r="E52" s="493"/>
      <c r="F52" s="493"/>
      <c r="G52" s="494">
        <v>0.2</v>
      </c>
      <c r="H52" s="495">
        <v>6</v>
      </c>
      <c r="I52" s="495">
        <v>230</v>
      </c>
      <c r="J52" s="496">
        <v>6.2</v>
      </c>
      <c r="K52" s="493"/>
    </row>
    <row r="53" spans="1:11" ht="11.1" customHeight="1" x14ac:dyDescent="0.3">
      <c r="A53" s="493"/>
      <c r="B53" s="493"/>
      <c r="C53" s="493"/>
      <c r="D53" s="493"/>
      <c r="E53" s="493"/>
      <c r="F53" s="493"/>
      <c r="G53" s="494"/>
      <c r="H53" s="495"/>
      <c r="I53" s="495"/>
      <c r="J53" s="496"/>
      <c r="K53" s="493"/>
    </row>
    <row r="54" spans="1:11" ht="11.1" customHeight="1" x14ac:dyDescent="0.3">
      <c r="A54" s="493"/>
      <c r="B54" s="493" t="s">
        <v>60</v>
      </c>
      <c r="C54" s="493" t="s">
        <v>61</v>
      </c>
      <c r="D54" s="493"/>
      <c r="E54" s="493"/>
      <c r="F54" s="493"/>
      <c r="G54" s="494">
        <v>2.4</v>
      </c>
      <c r="H54" s="495">
        <v>71</v>
      </c>
      <c r="I54" s="495">
        <v>3240</v>
      </c>
      <c r="J54" s="496">
        <v>1.5</v>
      </c>
      <c r="K54" s="493"/>
    </row>
    <row r="55" spans="1:11" ht="11.1" customHeight="1" x14ac:dyDescent="0.3">
      <c r="A55" s="493"/>
      <c r="B55" s="493" t="s">
        <v>62</v>
      </c>
      <c r="C55" s="493" t="s">
        <v>63</v>
      </c>
      <c r="D55" s="493"/>
      <c r="E55" s="493"/>
      <c r="F55" s="493"/>
      <c r="G55" s="494">
        <v>0.9</v>
      </c>
      <c r="H55" s="495">
        <v>26</v>
      </c>
      <c r="I55" s="495">
        <v>2470</v>
      </c>
      <c r="J55" s="496">
        <v>1.6</v>
      </c>
      <c r="K55" s="493"/>
    </row>
    <row r="56" spans="1:11" ht="11.1" customHeight="1" x14ac:dyDescent="0.3">
      <c r="A56" s="493"/>
      <c r="B56" s="493"/>
      <c r="C56" s="493"/>
      <c r="D56" s="493"/>
      <c r="E56" s="493"/>
      <c r="F56" s="493"/>
      <c r="G56" s="494"/>
      <c r="H56" s="495"/>
      <c r="I56" s="495"/>
      <c r="J56" s="496"/>
      <c r="K56" s="493"/>
    </row>
    <row r="57" spans="1:11" ht="11.1" customHeight="1" x14ac:dyDescent="0.3">
      <c r="A57" s="493"/>
      <c r="B57" s="493" t="s">
        <v>64</v>
      </c>
      <c r="C57" s="493" t="s">
        <v>65</v>
      </c>
      <c r="D57" s="493"/>
      <c r="E57" s="493"/>
      <c r="F57" s="493"/>
      <c r="G57" s="494">
        <v>2.5</v>
      </c>
      <c r="H57" s="495">
        <v>74</v>
      </c>
      <c r="I57" s="495">
        <v>3470</v>
      </c>
      <c r="J57" s="496">
        <v>1.5</v>
      </c>
      <c r="K57" s="493"/>
    </row>
    <row r="58" spans="1:11" ht="11.1" customHeight="1" x14ac:dyDescent="0.3">
      <c r="A58" s="493"/>
      <c r="B58" s="493"/>
      <c r="C58" s="493" t="s">
        <v>155</v>
      </c>
      <c r="D58" s="493" t="s">
        <v>65</v>
      </c>
      <c r="E58" s="493"/>
      <c r="F58" s="493"/>
      <c r="G58" s="494">
        <v>1.3</v>
      </c>
      <c r="H58" s="495">
        <v>39</v>
      </c>
      <c r="I58" s="495">
        <v>2680</v>
      </c>
      <c r="J58" s="496">
        <v>2</v>
      </c>
      <c r="K58" s="493"/>
    </row>
    <row r="59" spans="1:11" ht="11.1" customHeight="1" x14ac:dyDescent="0.3">
      <c r="A59" s="493"/>
      <c r="B59" s="493"/>
      <c r="C59" s="493" t="s">
        <v>156</v>
      </c>
      <c r="D59" s="493" t="s">
        <v>157</v>
      </c>
      <c r="E59" s="493"/>
      <c r="F59" s="493"/>
      <c r="G59" s="494">
        <v>1.2</v>
      </c>
      <c r="H59" s="495">
        <v>35</v>
      </c>
      <c r="I59" s="495">
        <v>2590</v>
      </c>
      <c r="J59" s="496">
        <v>2</v>
      </c>
      <c r="K59" s="493"/>
    </row>
    <row r="60" spans="1:11" ht="11.1" customHeight="1" x14ac:dyDescent="0.3">
      <c r="A60" s="493"/>
      <c r="B60" s="493"/>
      <c r="C60" s="493"/>
      <c r="D60" s="493"/>
      <c r="E60" s="493"/>
      <c r="F60" s="493"/>
      <c r="G60" s="494"/>
      <c r="H60" s="495"/>
      <c r="I60" s="495"/>
      <c r="J60" s="496"/>
      <c r="K60" s="493"/>
    </row>
    <row r="61" spans="1:11" ht="11.1" customHeight="1" x14ac:dyDescent="0.3">
      <c r="A61" s="493"/>
      <c r="B61" s="493" t="s">
        <v>66</v>
      </c>
      <c r="C61" s="493" t="s">
        <v>67</v>
      </c>
      <c r="D61" s="493"/>
      <c r="E61" s="493"/>
      <c r="F61" s="493"/>
      <c r="G61" s="494">
        <v>0.6</v>
      </c>
      <c r="H61" s="495">
        <v>16</v>
      </c>
      <c r="I61" s="495">
        <v>1330</v>
      </c>
      <c r="J61" s="496">
        <v>2.8</v>
      </c>
      <c r="K61" s="493"/>
    </row>
    <row r="62" spans="1:11" ht="11.1" customHeight="1" x14ac:dyDescent="0.3">
      <c r="A62" s="493"/>
      <c r="B62" s="493" t="s">
        <v>68</v>
      </c>
      <c r="C62" s="493" t="s">
        <v>69</v>
      </c>
      <c r="D62" s="493"/>
      <c r="E62" s="493"/>
      <c r="F62" s="493"/>
      <c r="G62" s="494">
        <v>0.7</v>
      </c>
      <c r="H62" s="495">
        <v>20</v>
      </c>
      <c r="I62" s="495">
        <v>1770</v>
      </c>
      <c r="J62" s="496">
        <v>2</v>
      </c>
      <c r="K62" s="493"/>
    </row>
    <row r="63" spans="1:11" ht="11.1" customHeight="1" x14ac:dyDescent="0.3">
      <c r="A63" s="493"/>
      <c r="B63" s="493"/>
      <c r="C63" s="493"/>
      <c r="D63" s="493"/>
      <c r="E63" s="493"/>
      <c r="F63" s="493"/>
      <c r="G63" s="494"/>
      <c r="H63" s="495"/>
      <c r="I63" s="495"/>
      <c r="J63" s="496"/>
      <c r="K63" s="493"/>
    </row>
    <row r="64" spans="1:11" ht="11.1" customHeight="1" x14ac:dyDescent="0.3">
      <c r="A64" s="493"/>
      <c r="B64" s="493" t="s">
        <v>70</v>
      </c>
      <c r="C64" s="493" t="s">
        <v>71</v>
      </c>
      <c r="D64" s="493"/>
      <c r="E64" s="493"/>
      <c r="F64" s="493"/>
      <c r="G64" s="494">
        <v>0.4</v>
      </c>
      <c r="H64" s="495">
        <v>13</v>
      </c>
      <c r="I64" s="495">
        <v>950</v>
      </c>
      <c r="J64" s="496">
        <v>3.1</v>
      </c>
      <c r="K64" s="493"/>
    </row>
    <row r="65" spans="1:11" ht="11.1" customHeight="1" x14ac:dyDescent="0.3">
      <c r="A65" s="493"/>
      <c r="B65" s="493"/>
      <c r="C65" s="493" t="s">
        <v>158</v>
      </c>
      <c r="D65" s="493" t="s">
        <v>159</v>
      </c>
      <c r="E65" s="493"/>
      <c r="F65" s="493"/>
      <c r="G65" s="494">
        <v>0.2</v>
      </c>
      <c r="H65" s="495">
        <v>6</v>
      </c>
      <c r="I65" s="495">
        <v>370</v>
      </c>
      <c r="J65" s="496">
        <v>4.3</v>
      </c>
      <c r="K65" s="493"/>
    </row>
    <row r="66" spans="1:11" ht="11.1" customHeight="1" x14ac:dyDescent="0.3">
      <c r="A66" s="493"/>
      <c r="B66" s="493"/>
      <c r="C66" s="493" t="s">
        <v>160</v>
      </c>
      <c r="D66" s="493" t="s">
        <v>161</v>
      </c>
      <c r="E66" s="493"/>
      <c r="F66" s="493"/>
      <c r="G66" s="494">
        <v>0.3</v>
      </c>
      <c r="H66" s="495">
        <v>7</v>
      </c>
      <c r="I66" s="495">
        <v>650</v>
      </c>
      <c r="J66" s="496">
        <v>4</v>
      </c>
      <c r="K66" s="493"/>
    </row>
    <row r="67" spans="1:11" ht="11.1" customHeight="1" x14ac:dyDescent="0.3">
      <c r="A67" s="493"/>
      <c r="B67" s="493"/>
      <c r="C67" s="493"/>
      <c r="D67" s="493"/>
      <c r="E67" s="493"/>
      <c r="F67" s="493"/>
      <c r="G67" s="494"/>
      <c r="H67" s="495"/>
      <c r="I67" s="495"/>
      <c r="J67" s="496"/>
      <c r="K67" s="493"/>
    </row>
    <row r="68" spans="1:11" ht="11.1" customHeight="1" x14ac:dyDescent="0.3">
      <c r="A68" s="493"/>
      <c r="B68" s="493" t="s">
        <v>72</v>
      </c>
      <c r="C68" s="493" t="s">
        <v>73</v>
      </c>
      <c r="D68" s="493"/>
      <c r="E68" s="493"/>
      <c r="F68" s="493"/>
      <c r="G68" s="494">
        <v>3.6</v>
      </c>
      <c r="H68" s="495">
        <v>105</v>
      </c>
      <c r="I68" s="495">
        <v>3730</v>
      </c>
      <c r="J68" s="496">
        <v>1.6</v>
      </c>
      <c r="K68" s="493"/>
    </row>
    <row r="69" spans="1:11" ht="11.1" customHeight="1" x14ac:dyDescent="0.3">
      <c r="A69" s="493"/>
      <c r="B69" s="493"/>
      <c r="C69" s="493" t="s">
        <v>162</v>
      </c>
      <c r="D69" s="493" t="s">
        <v>163</v>
      </c>
      <c r="E69" s="493"/>
      <c r="F69" s="493"/>
      <c r="G69" s="494">
        <v>0.6</v>
      </c>
      <c r="H69" s="495">
        <v>16</v>
      </c>
      <c r="I69" s="495">
        <v>2070</v>
      </c>
      <c r="J69" s="496">
        <v>2.5</v>
      </c>
      <c r="K69" s="493"/>
    </row>
    <row r="70" spans="1:11" ht="11.1" customHeight="1" x14ac:dyDescent="0.3">
      <c r="A70" s="493"/>
      <c r="B70" s="493"/>
      <c r="C70" s="493" t="s">
        <v>164</v>
      </c>
      <c r="D70" s="493" t="s">
        <v>165</v>
      </c>
      <c r="E70" s="493"/>
      <c r="F70" s="493"/>
      <c r="G70" s="494">
        <v>0.4</v>
      </c>
      <c r="H70" s="495">
        <v>12</v>
      </c>
      <c r="I70" s="495">
        <v>2630</v>
      </c>
      <c r="J70" s="496">
        <v>2</v>
      </c>
      <c r="K70" s="493"/>
    </row>
    <row r="71" spans="1:11" ht="11.1" customHeight="1" x14ac:dyDescent="0.3">
      <c r="A71" s="493"/>
      <c r="B71" s="493"/>
      <c r="C71" s="493" t="s">
        <v>166</v>
      </c>
      <c r="D71" s="493" t="s">
        <v>167</v>
      </c>
      <c r="E71" s="493"/>
      <c r="F71" s="493"/>
      <c r="G71" s="494">
        <v>0.5</v>
      </c>
      <c r="H71" s="495">
        <v>14</v>
      </c>
      <c r="I71" s="495">
        <v>1670</v>
      </c>
      <c r="J71" s="496">
        <v>2.9</v>
      </c>
      <c r="K71" s="493"/>
    </row>
    <row r="72" spans="1:11" ht="11.1" customHeight="1" x14ac:dyDescent="0.3">
      <c r="A72" s="493"/>
      <c r="B72" s="493"/>
      <c r="C72" s="493" t="s">
        <v>168</v>
      </c>
      <c r="D72" s="493" t="s">
        <v>169</v>
      </c>
      <c r="E72" s="493"/>
      <c r="F72" s="493"/>
      <c r="G72" s="494">
        <v>0.1</v>
      </c>
      <c r="H72" s="495">
        <v>4</v>
      </c>
      <c r="I72" s="495">
        <v>630</v>
      </c>
      <c r="J72" s="496">
        <v>4.7</v>
      </c>
      <c r="K72" s="493"/>
    </row>
    <row r="73" spans="1:11" ht="11.1" customHeight="1" x14ac:dyDescent="0.3">
      <c r="A73" s="493"/>
      <c r="B73" s="493"/>
      <c r="C73" s="493" t="s">
        <v>170</v>
      </c>
      <c r="D73" s="493" t="s">
        <v>171</v>
      </c>
      <c r="E73" s="493"/>
      <c r="F73" s="493" t="s">
        <v>124</v>
      </c>
      <c r="G73" s="494">
        <v>0.5</v>
      </c>
      <c r="H73" s="495">
        <v>16</v>
      </c>
      <c r="I73" s="495">
        <v>1550</v>
      </c>
      <c r="J73" s="496">
        <v>3.1</v>
      </c>
      <c r="K73" s="493"/>
    </row>
    <row r="74" spans="1:11" ht="11.1" customHeight="1" x14ac:dyDescent="0.3">
      <c r="A74" s="493"/>
      <c r="B74" s="493"/>
      <c r="C74" s="493" t="s">
        <v>172</v>
      </c>
      <c r="D74" s="493" t="s">
        <v>173</v>
      </c>
      <c r="E74" s="493"/>
      <c r="F74" s="493" t="s">
        <v>124</v>
      </c>
      <c r="G74" s="494">
        <v>1.5</v>
      </c>
      <c r="H74" s="495">
        <v>43</v>
      </c>
      <c r="I74" s="495">
        <v>2450</v>
      </c>
      <c r="J74" s="496">
        <v>2.1</v>
      </c>
      <c r="K74" s="493"/>
    </row>
    <row r="75" spans="1:11" ht="11.1" customHeight="1" x14ac:dyDescent="0.3">
      <c r="A75" s="493"/>
      <c r="B75" s="493"/>
      <c r="C75" s="493"/>
      <c r="D75" s="493"/>
      <c r="E75" s="493"/>
      <c r="F75" s="493"/>
      <c r="G75" s="494"/>
      <c r="H75" s="495"/>
      <c r="I75" s="495"/>
      <c r="J75" s="496"/>
      <c r="K75" s="493"/>
    </row>
    <row r="76" spans="1:11" ht="11.1" customHeight="1" x14ac:dyDescent="0.3">
      <c r="A76" s="493"/>
      <c r="B76" s="493" t="s">
        <v>74</v>
      </c>
      <c r="C76" s="493" t="s">
        <v>75</v>
      </c>
      <c r="D76" s="493"/>
      <c r="E76" s="493"/>
      <c r="F76" s="493"/>
      <c r="G76" s="494">
        <v>0.5</v>
      </c>
      <c r="H76" s="495">
        <v>14</v>
      </c>
      <c r="I76" s="495">
        <v>1320</v>
      </c>
      <c r="J76" s="496">
        <v>2.9</v>
      </c>
      <c r="K76" s="493"/>
    </row>
    <row r="77" spans="1:11" ht="11.1" customHeight="1" x14ac:dyDescent="0.3">
      <c r="A77" s="493"/>
      <c r="B77" s="493" t="s">
        <v>76</v>
      </c>
      <c r="C77" s="493" t="s">
        <v>77</v>
      </c>
      <c r="D77" s="493"/>
      <c r="E77" s="493"/>
      <c r="F77" s="493"/>
      <c r="G77" s="494">
        <v>0.9</v>
      </c>
      <c r="H77" s="495">
        <v>26</v>
      </c>
      <c r="I77" s="495">
        <v>1640</v>
      </c>
      <c r="J77" s="496">
        <v>2.9</v>
      </c>
      <c r="K77" s="493"/>
    </row>
    <row r="78" spans="1:11" ht="11.1" customHeight="1" x14ac:dyDescent="0.3">
      <c r="A78" s="493"/>
      <c r="B78" s="493" t="s">
        <v>78</v>
      </c>
      <c r="C78" s="493" t="s">
        <v>79</v>
      </c>
      <c r="D78" s="493"/>
      <c r="E78" s="493"/>
      <c r="F78" s="493"/>
      <c r="G78" s="494">
        <v>0.1</v>
      </c>
      <c r="H78" s="495">
        <v>4</v>
      </c>
      <c r="I78" s="495">
        <v>630</v>
      </c>
      <c r="J78" s="496">
        <v>5.0999999999999996</v>
      </c>
      <c r="K78" s="493"/>
    </row>
    <row r="79" spans="1:11" ht="11.1" customHeight="1" x14ac:dyDescent="0.3">
      <c r="A79" s="493"/>
      <c r="B79" s="493"/>
      <c r="C79" s="493"/>
      <c r="D79" s="493"/>
      <c r="E79" s="493"/>
      <c r="F79" s="493"/>
      <c r="G79" s="494"/>
      <c r="H79" s="495"/>
      <c r="I79" s="495"/>
      <c r="J79" s="496"/>
      <c r="K79" s="493"/>
    </row>
    <row r="80" spans="1:11" ht="11.1" customHeight="1" x14ac:dyDescent="0.3">
      <c r="A80" s="493"/>
      <c r="B80" s="493" t="s">
        <v>80</v>
      </c>
      <c r="C80" s="493" t="s">
        <v>81</v>
      </c>
      <c r="D80" s="493"/>
      <c r="E80" s="493"/>
      <c r="F80" s="493"/>
      <c r="G80" s="494">
        <v>4.3</v>
      </c>
      <c r="H80" s="495">
        <v>126</v>
      </c>
      <c r="I80" s="495">
        <v>3990</v>
      </c>
      <c r="J80" s="496">
        <v>1.6</v>
      </c>
      <c r="K80" s="493"/>
    </row>
    <row r="81" spans="1:11" ht="11.1" customHeight="1" x14ac:dyDescent="0.3">
      <c r="A81" s="493"/>
      <c r="B81" s="493"/>
      <c r="C81" s="493" t="s">
        <v>174</v>
      </c>
      <c r="D81" s="493" t="s">
        <v>175</v>
      </c>
      <c r="E81" s="493"/>
      <c r="F81" s="493"/>
      <c r="G81" s="494">
        <v>1</v>
      </c>
      <c r="H81" s="495">
        <v>29</v>
      </c>
      <c r="I81" s="495">
        <v>2880</v>
      </c>
      <c r="J81" s="496">
        <v>2</v>
      </c>
      <c r="K81" s="493"/>
    </row>
    <row r="82" spans="1:11" ht="11.1" customHeight="1" x14ac:dyDescent="0.3">
      <c r="A82" s="493"/>
      <c r="B82" s="493"/>
      <c r="C82" s="493" t="s">
        <v>176</v>
      </c>
      <c r="D82" s="493" t="s">
        <v>177</v>
      </c>
      <c r="E82" s="493"/>
      <c r="F82" s="493"/>
      <c r="G82" s="494">
        <v>0.4</v>
      </c>
      <c r="H82" s="495">
        <v>12</v>
      </c>
      <c r="I82" s="495">
        <v>1910</v>
      </c>
      <c r="J82" s="496">
        <v>2.6</v>
      </c>
      <c r="K82" s="493"/>
    </row>
    <row r="83" spans="1:11" ht="11.1" customHeight="1" x14ac:dyDescent="0.3">
      <c r="A83" s="493"/>
      <c r="B83" s="493"/>
      <c r="C83" s="493" t="s">
        <v>178</v>
      </c>
      <c r="D83" s="493" t="s">
        <v>179</v>
      </c>
      <c r="E83" s="493"/>
      <c r="F83" s="493"/>
      <c r="G83" s="494">
        <v>1.5</v>
      </c>
      <c r="H83" s="495">
        <v>45</v>
      </c>
      <c r="I83" s="495">
        <v>3260</v>
      </c>
      <c r="J83" s="496">
        <v>1.8</v>
      </c>
      <c r="K83" s="493"/>
    </row>
    <row r="84" spans="1:11" ht="11.1" customHeight="1" x14ac:dyDescent="0.3">
      <c r="A84" s="493"/>
      <c r="B84" s="493"/>
      <c r="C84" s="493" t="s">
        <v>180</v>
      </c>
      <c r="D84" s="493" t="s">
        <v>181</v>
      </c>
      <c r="E84" s="493"/>
      <c r="F84" s="493"/>
      <c r="G84" s="494">
        <v>1.4</v>
      </c>
      <c r="H84" s="495">
        <v>41</v>
      </c>
      <c r="I84" s="495">
        <v>3470</v>
      </c>
      <c r="J84" s="496">
        <v>2.2000000000000002</v>
      </c>
      <c r="K84" s="493"/>
    </row>
    <row r="85" spans="1:11" ht="11.1" customHeight="1" x14ac:dyDescent="0.3">
      <c r="A85" s="498"/>
      <c r="B85" s="498"/>
      <c r="C85" s="498"/>
      <c r="D85" s="498"/>
      <c r="E85" s="498"/>
      <c r="F85" s="498"/>
      <c r="G85" s="499"/>
      <c r="H85" s="500"/>
      <c r="I85" s="500"/>
      <c r="J85" s="501"/>
      <c r="K85" s="493"/>
    </row>
    <row r="86" spans="1:11" ht="11.1" customHeight="1" x14ac:dyDescent="0.3">
      <c r="A86" s="493"/>
      <c r="B86" s="493"/>
      <c r="C86" s="493"/>
      <c r="D86" s="493"/>
      <c r="E86" s="493"/>
      <c r="F86" s="493"/>
      <c r="G86" s="494"/>
      <c r="H86" s="502"/>
      <c r="I86" s="502"/>
      <c r="J86" s="503"/>
      <c r="K86" s="493"/>
    </row>
    <row r="87" spans="1:11" ht="11.1" customHeight="1" x14ac:dyDescent="0.3">
      <c r="A87" s="493" t="s">
        <v>111</v>
      </c>
      <c r="B87" s="493"/>
      <c r="C87" s="493"/>
      <c r="D87" s="493"/>
      <c r="E87" s="493"/>
      <c r="F87" s="493"/>
      <c r="G87" s="494"/>
      <c r="H87" s="502"/>
      <c r="I87" s="502"/>
      <c r="J87" s="503"/>
      <c r="K87" s="493"/>
    </row>
    <row r="88" spans="1:11" ht="11.1" customHeight="1" x14ac:dyDescent="0.3">
      <c r="A88" s="493" t="s">
        <v>182</v>
      </c>
      <c r="B88" s="493"/>
      <c r="C88" s="493"/>
      <c r="D88" s="493"/>
      <c r="E88" s="493"/>
      <c r="F88" s="493"/>
      <c r="G88" s="494"/>
      <c r="H88" s="502"/>
      <c r="I88" s="502"/>
      <c r="J88" s="503"/>
      <c r="K88" s="493"/>
    </row>
    <row r="89" spans="1:11" ht="11.1" customHeight="1" x14ac:dyDescent="0.3">
      <c r="A89" s="493" t="s">
        <v>112</v>
      </c>
      <c r="B89" s="493"/>
      <c r="C89" s="493"/>
      <c r="D89" s="493"/>
      <c r="E89" s="493"/>
      <c r="F89" s="493"/>
      <c r="G89" s="494"/>
      <c r="H89" s="502"/>
      <c r="I89" s="502"/>
      <c r="J89" s="503"/>
      <c r="K89" s="493"/>
    </row>
    <row r="90" spans="1:11" ht="11.1" customHeight="1" x14ac:dyDescent="0.3">
      <c r="A90" s="493"/>
      <c r="B90" s="493"/>
      <c r="C90" s="493"/>
      <c r="D90" s="493"/>
      <c r="E90" s="493"/>
      <c r="F90" s="493"/>
      <c r="G90" s="494"/>
      <c r="H90" s="502"/>
      <c r="I90" s="502"/>
      <c r="J90" s="503"/>
      <c r="K90" s="493"/>
    </row>
    <row r="94" spans="1:11" ht="17.399999999999999" customHeight="1" x14ac:dyDescent="0.3">
      <c r="A94" s="446" t="s">
        <v>114</v>
      </c>
      <c r="B94" s="464"/>
      <c r="C94" s="504"/>
      <c r="D94" s="504"/>
      <c r="E94" s="504"/>
      <c r="F94" s="504"/>
      <c r="G94" s="505"/>
      <c r="H94" s="502"/>
      <c r="I94" s="502"/>
      <c r="J94" s="506"/>
    </row>
    <row r="95" spans="1:11" ht="14.4" customHeight="1" x14ac:dyDescent="0.3">
      <c r="A95" s="507" t="s">
        <v>183</v>
      </c>
      <c r="B95" s="508"/>
      <c r="C95" s="444"/>
      <c r="D95" s="509"/>
      <c r="E95" s="509"/>
      <c r="F95" s="444"/>
      <c r="G95" s="510"/>
      <c r="H95" s="511"/>
      <c r="I95" s="511"/>
      <c r="J95" s="512"/>
    </row>
    <row r="96" spans="1:11" ht="14.4" customHeight="1" x14ac:dyDescent="0.3">
      <c r="A96" s="513" t="s">
        <v>1351</v>
      </c>
      <c r="B96" s="514"/>
      <c r="C96" s="455"/>
      <c r="D96" s="515"/>
      <c r="E96" s="509"/>
      <c r="F96" s="444"/>
      <c r="G96" s="510"/>
      <c r="H96" s="511"/>
      <c r="I96" s="511"/>
      <c r="J96" s="516"/>
    </row>
    <row r="97" spans="1:11" ht="11.1" customHeight="1" x14ac:dyDescent="0.3">
      <c r="A97" s="474"/>
      <c r="B97" s="474"/>
      <c r="C97" s="475"/>
      <c r="D97" s="475"/>
      <c r="E97" s="475"/>
      <c r="F97" s="475"/>
      <c r="G97" s="476"/>
      <c r="H97" s="477"/>
      <c r="I97" s="477"/>
      <c r="J97" s="478"/>
    </row>
    <row r="98" spans="1:11" ht="11.1" customHeight="1" x14ac:dyDescent="0.3">
      <c r="A98" s="464"/>
      <c r="B98" s="464"/>
      <c r="C98" s="465"/>
      <c r="D98" s="465"/>
      <c r="E98" s="465"/>
      <c r="F98" s="465"/>
      <c r="G98" s="517"/>
      <c r="H98" s="518"/>
      <c r="I98" s="518"/>
      <c r="J98" s="519"/>
    </row>
    <row r="99" spans="1:11" ht="11.1" customHeight="1" x14ac:dyDescent="0.3">
      <c r="A99" s="520"/>
      <c r="B99" s="520"/>
      <c r="C99" s="521"/>
      <c r="D99" s="521"/>
      <c r="E99" s="521"/>
      <c r="F99" s="469"/>
      <c r="G99" s="470" t="s">
        <v>116</v>
      </c>
      <c r="H99" s="471" t="s">
        <v>25</v>
      </c>
      <c r="I99" s="471" t="s">
        <v>26</v>
      </c>
      <c r="J99" s="472" t="s">
        <v>117</v>
      </c>
    </row>
    <row r="100" spans="1:11" ht="11.1" customHeight="1" x14ac:dyDescent="0.3">
      <c r="A100" s="520"/>
      <c r="B100" s="520"/>
      <c r="C100" s="521"/>
      <c r="D100" s="521"/>
      <c r="E100" s="521"/>
      <c r="F100" s="469"/>
      <c r="G100" s="473" t="s">
        <v>29</v>
      </c>
      <c r="H100" s="471" t="s">
        <v>27</v>
      </c>
      <c r="I100" s="471" t="s">
        <v>28</v>
      </c>
      <c r="J100" s="472" t="s">
        <v>118</v>
      </c>
    </row>
    <row r="101" spans="1:11" ht="11.1" customHeight="1" x14ac:dyDescent="0.3">
      <c r="A101" s="520"/>
      <c r="B101" s="520"/>
      <c r="C101" s="521"/>
      <c r="D101" s="521"/>
      <c r="E101" s="521"/>
      <c r="F101" s="469"/>
      <c r="G101" s="470" t="s">
        <v>31</v>
      </c>
      <c r="H101" s="471" t="s">
        <v>29</v>
      </c>
      <c r="I101" s="471" t="s">
        <v>30</v>
      </c>
      <c r="J101" s="472" t="s">
        <v>119</v>
      </c>
    </row>
    <row r="102" spans="1:11" ht="11.1" customHeight="1" x14ac:dyDescent="0.3">
      <c r="A102" s="520"/>
      <c r="B102" s="520"/>
      <c r="C102" s="521"/>
      <c r="D102" s="521"/>
      <c r="E102" s="521"/>
      <c r="F102" s="469"/>
      <c r="G102" s="473" t="s">
        <v>32</v>
      </c>
      <c r="H102" s="471" t="s">
        <v>33</v>
      </c>
      <c r="I102" s="471" t="s">
        <v>120</v>
      </c>
      <c r="J102" s="472" t="s">
        <v>121</v>
      </c>
    </row>
    <row r="103" spans="1:11" ht="11.1" customHeight="1" x14ac:dyDescent="0.3">
      <c r="A103" s="474"/>
      <c r="B103" s="474"/>
      <c r="C103" s="475"/>
      <c r="D103" s="475"/>
      <c r="E103" s="475"/>
      <c r="F103" s="475"/>
      <c r="G103" s="476"/>
      <c r="H103" s="477"/>
      <c r="I103" s="477"/>
      <c r="J103" s="478"/>
    </row>
    <row r="105" spans="1:11" ht="11.1" customHeight="1" x14ac:dyDescent="0.3">
      <c r="A105" s="488" t="s">
        <v>123</v>
      </c>
      <c r="B105" s="522"/>
      <c r="C105" s="523"/>
      <c r="D105" s="524"/>
      <c r="E105" s="524"/>
      <c r="F105" s="525" t="s">
        <v>124</v>
      </c>
      <c r="G105" s="526"/>
      <c r="H105" s="527"/>
      <c r="I105" s="527"/>
      <c r="J105" s="528"/>
      <c r="K105" s="529"/>
    </row>
    <row r="107" spans="1:11" ht="11.1" customHeight="1" x14ac:dyDescent="0.3">
      <c r="A107" s="530">
        <v>1</v>
      </c>
      <c r="B107" s="489" t="s">
        <v>184</v>
      </c>
      <c r="C107" s="489"/>
      <c r="D107" s="489"/>
      <c r="E107" s="489"/>
      <c r="F107" s="489"/>
      <c r="G107" s="490"/>
      <c r="H107" s="531"/>
      <c r="I107" s="531"/>
      <c r="J107" s="532"/>
      <c r="K107" s="493"/>
    </row>
    <row r="108" spans="1:11" ht="11.1" customHeight="1" x14ac:dyDescent="0.3">
      <c r="A108" s="493"/>
      <c r="B108" s="493"/>
      <c r="C108" s="493"/>
      <c r="D108" s="493"/>
      <c r="E108" s="493"/>
      <c r="F108" s="493"/>
      <c r="G108" s="494"/>
      <c r="H108" s="502"/>
      <c r="I108" s="502"/>
      <c r="J108" s="503"/>
      <c r="K108" s="493"/>
    </row>
    <row r="109" spans="1:11" ht="11.1" customHeight="1" x14ac:dyDescent="0.3">
      <c r="A109" s="493"/>
      <c r="B109" s="493" t="s">
        <v>82</v>
      </c>
      <c r="C109" s="493" t="s">
        <v>185</v>
      </c>
      <c r="D109" s="493"/>
      <c r="E109" s="493"/>
      <c r="F109" s="493"/>
      <c r="G109" s="494">
        <v>0.1</v>
      </c>
      <c r="H109" s="495">
        <v>2</v>
      </c>
      <c r="I109" s="495">
        <v>230</v>
      </c>
      <c r="J109" s="496">
        <v>17.899999999999999</v>
      </c>
      <c r="K109" s="493"/>
    </row>
    <row r="110" spans="1:11" ht="11.1" customHeight="1" x14ac:dyDescent="0.3">
      <c r="A110" s="493"/>
      <c r="B110" s="493" t="s">
        <v>83</v>
      </c>
      <c r="C110" s="493" t="s">
        <v>186</v>
      </c>
      <c r="D110" s="493"/>
      <c r="E110" s="493"/>
      <c r="F110" s="493"/>
      <c r="G110" s="494">
        <v>2</v>
      </c>
      <c r="H110" s="495">
        <v>60</v>
      </c>
      <c r="I110" s="495">
        <v>3310</v>
      </c>
      <c r="J110" s="496">
        <v>2.2000000000000002</v>
      </c>
      <c r="K110" s="493"/>
    </row>
    <row r="111" spans="1:11" ht="11.1" customHeight="1" x14ac:dyDescent="0.3">
      <c r="A111" s="493"/>
      <c r="B111" s="493" t="s">
        <v>85</v>
      </c>
      <c r="C111" s="493" t="s">
        <v>84</v>
      </c>
      <c r="D111" s="493"/>
      <c r="E111" s="493"/>
      <c r="F111" s="493"/>
      <c r="G111" s="494">
        <v>0.6</v>
      </c>
      <c r="H111" s="495">
        <v>17</v>
      </c>
      <c r="I111" s="495">
        <v>2510</v>
      </c>
      <c r="J111" s="496">
        <v>1.9</v>
      </c>
      <c r="K111" s="493"/>
    </row>
    <row r="112" spans="1:11" ht="11.1" customHeight="1" x14ac:dyDescent="0.3">
      <c r="A112" s="493"/>
      <c r="B112" s="493" t="s">
        <v>87</v>
      </c>
      <c r="C112" s="493" t="s">
        <v>86</v>
      </c>
      <c r="D112" s="493"/>
      <c r="E112" s="493"/>
      <c r="F112" s="493"/>
      <c r="G112" s="494">
        <v>2</v>
      </c>
      <c r="H112" s="495">
        <v>59</v>
      </c>
      <c r="I112" s="495">
        <v>3330</v>
      </c>
      <c r="J112" s="496">
        <v>1.5</v>
      </c>
      <c r="K112" s="493"/>
    </row>
    <row r="113" spans="1:11" ht="11.1" customHeight="1" x14ac:dyDescent="0.3">
      <c r="A113" s="493"/>
      <c r="B113" s="493"/>
      <c r="C113" s="493"/>
      <c r="D113" s="493"/>
      <c r="E113" s="493"/>
      <c r="F113" s="493"/>
      <c r="G113" s="494"/>
      <c r="H113" s="495"/>
      <c r="I113" s="495"/>
      <c r="J113" s="496"/>
      <c r="K113" s="493"/>
    </row>
    <row r="114" spans="1:11" ht="11.1" customHeight="1" x14ac:dyDescent="0.3">
      <c r="A114" s="493"/>
      <c r="B114" s="493" t="s">
        <v>89</v>
      </c>
      <c r="C114" s="493" t="s">
        <v>88</v>
      </c>
      <c r="D114" s="493"/>
      <c r="E114" s="493"/>
      <c r="F114" s="493"/>
      <c r="G114" s="494">
        <v>0.4</v>
      </c>
      <c r="H114" s="495">
        <v>11</v>
      </c>
      <c r="I114" s="495">
        <v>1280</v>
      </c>
      <c r="J114" s="496">
        <v>3.4</v>
      </c>
      <c r="K114" s="493"/>
    </row>
    <row r="115" spans="1:11" ht="11.1" customHeight="1" x14ac:dyDescent="0.3">
      <c r="A115" s="493"/>
      <c r="B115" s="493"/>
      <c r="C115" s="493" t="s">
        <v>187</v>
      </c>
      <c r="D115" s="493" t="s">
        <v>188</v>
      </c>
      <c r="E115" s="493"/>
      <c r="F115" s="493"/>
      <c r="G115" s="494">
        <v>0.2</v>
      </c>
      <c r="H115" s="495">
        <v>6</v>
      </c>
      <c r="I115" s="495">
        <v>950</v>
      </c>
      <c r="J115" s="496">
        <v>3.8</v>
      </c>
      <c r="K115" s="493"/>
    </row>
    <row r="116" spans="1:11" ht="11.1" customHeight="1" x14ac:dyDescent="0.3">
      <c r="A116" s="493"/>
      <c r="B116" s="493"/>
      <c r="C116" s="493" t="s">
        <v>189</v>
      </c>
      <c r="D116" s="493" t="s">
        <v>190</v>
      </c>
      <c r="E116" s="493"/>
      <c r="F116" s="493"/>
      <c r="G116" s="494">
        <v>0.2</v>
      </c>
      <c r="H116" s="495">
        <v>5</v>
      </c>
      <c r="I116" s="495">
        <v>500</v>
      </c>
      <c r="J116" s="496">
        <v>5.7</v>
      </c>
      <c r="K116" s="493"/>
    </row>
    <row r="117" spans="1:11" ht="11.1" customHeight="1" x14ac:dyDescent="0.3">
      <c r="A117" s="493"/>
      <c r="B117" s="493"/>
      <c r="C117" s="493"/>
      <c r="D117" s="493"/>
      <c r="E117" s="493"/>
      <c r="F117" s="493"/>
      <c r="G117" s="494"/>
      <c r="H117" s="495"/>
      <c r="I117" s="495"/>
      <c r="J117" s="496"/>
      <c r="K117" s="493"/>
    </row>
    <row r="118" spans="1:11" ht="11.1" customHeight="1" x14ac:dyDescent="0.3">
      <c r="A118" s="493"/>
      <c r="B118" s="493" t="s">
        <v>91</v>
      </c>
      <c r="C118" s="493" t="s">
        <v>90</v>
      </c>
      <c r="D118" s="493"/>
      <c r="E118" s="493"/>
      <c r="F118" s="493"/>
      <c r="G118" s="494">
        <v>0.3</v>
      </c>
      <c r="H118" s="495">
        <v>8</v>
      </c>
      <c r="I118" s="495">
        <v>1110</v>
      </c>
      <c r="J118" s="496">
        <v>4.9000000000000004</v>
      </c>
      <c r="K118" s="493"/>
    </row>
    <row r="119" spans="1:11" ht="11.1" customHeight="1" x14ac:dyDescent="0.3">
      <c r="A119" s="493"/>
      <c r="B119" s="493" t="s">
        <v>93</v>
      </c>
      <c r="C119" s="493" t="s">
        <v>92</v>
      </c>
      <c r="D119" s="493"/>
      <c r="E119" s="493"/>
      <c r="F119" s="493"/>
      <c r="G119" s="494">
        <v>2.4</v>
      </c>
      <c r="H119" s="495">
        <v>69</v>
      </c>
      <c r="I119" s="495">
        <v>2950</v>
      </c>
      <c r="J119" s="496">
        <v>2.1</v>
      </c>
      <c r="K119" s="493"/>
    </row>
    <row r="120" spans="1:11" ht="11.1" customHeight="1" x14ac:dyDescent="0.3">
      <c r="A120" s="493"/>
      <c r="B120" s="493" t="s">
        <v>95</v>
      </c>
      <c r="C120" s="493" t="s">
        <v>94</v>
      </c>
      <c r="D120" s="493"/>
      <c r="E120" s="493"/>
      <c r="F120" s="493"/>
      <c r="G120" s="494">
        <v>0.8</v>
      </c>
      <c r="H120" s="495">
        <v>24</v>
      </c>
      <c r="I120" s="495">
        <v>2040</v>
      </c>
      <c r="J120" s="496">
        <v>3.2</v>
      </c>
      <c r="K120" s="493"/>
    </row>
    <row r="121" spans="1:11" ht="11.1" customHeight="1" x14ac:dyDescent="0.3">
      <c r="A121" s="493"/>
      <c r="B121" s="493" t="s">
        <v>97</v>
      </c>
      <c r="C121" s="493" t="s">
        <v>96</v>
      </c>
      <c r="D121" s="493"/>
      <c r="E121" s="493"/>
      <c r="F121" s="493"/>
      <c r="G121" s="494">
        <v>0.8</v>
      </c>
      <c r="H121" s="495">
        <v>23</v>
      </c>
      <c r="I121" s="495">
        <v>1580</v>
      </c>
      <c r="J121" s="496">
        <v>3.1</v>
      </c>
      <c r="K121" s="493"/>
    </row>
    <row r="122" spans="1:11" ht="11.1" customHeight="1" x14ac:dyDescent="0.3">
      <c r="A122" s="493"/>
      <c r="B122" s="493"/>
      <c r="C122" s="493"/>
      <c r="D122" s="493"/>
      <c r="E122" s="493"/>
      <c r="F122" s="493"/>
      <c r="G122" s="494"/>
      <c r="H122" s="495"/>
      <c r="I122" s="495"/>
      <c r="J122" s="496"/>
      <c r="K122" s="493"/>
    </row>
    <row r="123" spans="1:11" ht="11.1" customHeight="1" x14ac:dyDescent="0.3">
      <c r="A123" s="493"/>
      <c r="B123" s="493" t="s">
        <v>191</v>
      </c>
      <c r="C123" s="493" t="s">
        <v>98</v>
      </c>
      <c r="D123" s="493"/>
      <c r="E123" s="493"/>
      <c r="F123" s="493"/>
      <c r="G123" s="494">
        <v>2.8</v>
      </c>
      <c r="H123" s="495">
        <v>83</v>
      </c>
      <c r="I123" s="495">
        <v>3570</v>
      </c>
      <c r="J123" s="496">
        <v>2</v>
      </c>
      <c r="K123" s="493"/>
    </row>
    <row r="124" spans="1:11" ht="11.1" customHeight="1" x14ac:dyDescent="0.3">
      <c r="A124" s="493"/>
      <c r="B124" s="493"/>
      <c r="C124" s="493" t="s">
        <v>192</v>
      </c>
      <c r="D124" s="493" t="s">
        <v>193</v>
      </c>
      <c r="E124" s="493"/>
      <c r="F124" s="493"/>
      <c r="G124" s="494">
        <v>1.4</v>
      </c>
      <c r="H124" s="495">
        <v>40</v>
      </c>
      <c r="I124" s="495">
        <v>2910</v>
      </c>
      <c r="J124" s="496">
        <v>1.8</v>
      </c>
      <c r="K124" s="493"/>
    </row>
    <row r="125" spans="1:11" ht="11.1" customHeight="1" x14ac:dyDescent="0.3">
      <c r="A125" s="493"/>
      <c r="B125" s="493"/>
      <c r="C125" s="493" t="s">
        <v>194</v>
      </c>
      <c r="D125" s="493" t="s">
        <v>195</v>
      </c>
      <c r="E125" s="493"/>
      <c r="F125" s="493"/>
      <c r="G125" s="494">
        <v>1</v>
      </c>
      <c r="H125" s="495">
        <v>30</v>
      </c>
      <c r="I125" s="495">
        <v>2150</v>
      </c>
      <c r="J125" s="496">
        <v>4</v>
      </c>
      <c r="K125" s="493"/>
    </row>
    <row r="126" spans="1:11" ht="11.1" customHeight="1" x14ac:dyDescent="0.3">
      <c r="A126" s="493"/>
      <c r="B126" s="493"/>
      <c r="C126" s="493" t="s">
        <v>196</v>
      </c>
      <c r="D126" s="493" t="s">
        <v>197</v>
      </c>
      <c r="E126" s="493"/>
      <c r="F126" s="493"/>
      <c r="G126" s="494">
        <v>0.5</v>
      </c>
      <c r="H126" s="495">
        <v>13</v>
      </c>
      <c r="I126" s="495">
        <v>1250</v>
      </c>
      <c r="J126" s="496">
        <v>5.3</v>
      </c>
      <c r="K126" s="493"/>
    </row>
    <row r="127" spans="1:11" ht="11.1" customHeight="1" x14ac:dyDescent="0.3">
      <c r="A127" s="493"/>
      <c r="B127" s="493"/>
      <c r="C127" s="493"/>
      <c r="D127" s="493"/>
      <c r="E127" s="493"/>
      <c r="F127" s="493"/>
      <c r="G127" s="494"/>
      <c r="H127" s="495"/>
      <c r="I127" s="495"/>
      <c r="J127" s="496"/>
      <c r="K127" s="493"/>
    </row>
    <row r="128" spans="1:11" ht="11.1" customHeight="1" x14ac:dyDescent="0.3">
      <c r="A128" s="497">
        <v>1.2</v>
      </c>
      <c r="B128" s="493" t="s">
        <v>99</v>
      </c>
      <c r="C128" s="493"/>
      <c r="D128" s="493"/>
      <c r="E128" s="493"/>
      <c r="F128" s="493"/>
      <c r="G128" s="494">
        <v>5.5</v>
      </c>
      <c r="H128" s="495">
        <v>160</v>
      </c>
      <c r="I128" s="495">
        <v>3960</v>
      </c>
      <c r="J128" s="496">
        <v>1.6</v>
      </c>
      <c r="K128" s="493"/>
    </row>
    <row r="129" spans="1:11" ht="11.1" customHeight="1" x14ac:dyDescent="0.3">
      <c r="A129" s="493"/>
      <c r="B129" s="493" t="s">
        <v>100</v>
      </c>
      <c r="C129" s="493" t="s">
        <v>101</v>
      </c>
      <c r="D129" s="493"/>
      <c r="E129" s="493"/>
      <c r="F129" s="493"/>
      <c r="G129" s="494">
        <v>1</v>
      </c>
      <c r="H129" s="495">
        <v>29</v>
      </c>
      <c r="I129" s="495">
        <v>1440</v>
      </c>
      <c r="J129" s="496">
        <v>4</v>
      </c>
      <c r="K129" s="493"/>
    </row>
    <row r="130" spans="1:11" ht="11.1" customHeight="1" x14ac:dyDescent="0.3">
      <c r="A130" s="493"/>
      <c r="B130" s="493" t="s">
        <v>102</v>
      </c>
      <c r="C130" s="493" t="s">
        <v>103</v>
      </c>
      <c r="D130" s="493"/>
      <c r="E130" s="493"/>
      <c r="F130" s="493"/>
      <c r="G130" s="494">
        <v>0.5</v>
      </c>
      <c r="H130" s="495">
        <v>14</v>
      </c>
      <c r="I130" s="495">
        <v>1130</v>
      </c>
      <c r="J130" s="496">
        <v>3.2</v>
      </c>
      <c r="K130" s="493"/>
    </row>
    <row r="131" spans="1:11" ht="11.1" customHeight="1" x14ac:dyDescent="0.3">
      <c r="A131" s="493"/>
      <c r="B131" s="493" t="s">
        <v>104</v>
      </c>
      <c r="C131" s="493" t="s">
        <v>105</v>
      </c>
      <c r="D131" s="493"/>
      <c r="E131" s="493"/>
      <c r="F131" s="493"/>
      <c r="G131" s="494">
        <v>0.1</v>
      </c>
      <c r="H131" s="495">
        <v>3</v>
      </c>
      <c r="I131" s="495">
        <v>280</v>
      </c>
      <c r="J131" s="496">
        <v>9.9</v>
      </c>
      <c r="K131" s="493"/>
    </row>
    <row r="132" spans="1:11" ht="11.1" customHeight="1" x14ac:dyDescent="0.3">
      <c r="A132" s="493"/>
      <c r="B132" s="493" t="s">
        <v>106</v>
      </c>
      <c r="C132" s="493" t="s">
        <v>198</v>
      </c>
      <c r="D132" s="493"/>
      <c r="E132" s="493"/>
      <c r="F132" s="493"/>
      <c r="G132" s="494">
        <v>1.1000000000000001</v>
      </c>
      <c r="H132" s="495">
        <v>32</v>
      </c>
      <c r="I132" s="495">
        <v>2430</v>
      </c>
      <c r="J132" s="496">
        <v>2.2999999999999998</v>
      </c>
      <c r="K132" s="493"/>
    </row>
    <row r="133" spans="1:11" ht="11.1" customHeight="1" x14ac:dyDescent="0.3">
      <c r="A133" s="493"/>
      <c r="B133" s="493" t="s">
        <v>107</v>
      </c>
      <c r="C133" s="493" t="s">
        <v>108</v>
      </c>
      <c r="D133" s="493"/>
      <c r="E133" s="493"/>
      <c r="F133" s="493"/>
      <c r="G133" s="494">
        <v>0.4</v>
      </c>
      <c r="H133" s="495">
        <v>11</v>
      </c>
      <c r="I133" s="495">
        <v>1060</v>
      </c>
      <c r="J133" s="496">
        <v>4.3</v>
      </c>
      <c r="K133" s="493"/>
    </row>
    <row r="134" spans="1:11" ht="11.1" customHeight="1" x14ac:dyDescent="0.3">
      <c r="A134" s="493"/>
      <c r="B134" s="493" t="s">
        <v>109</v>
      </c>
      <c r="C134" s="493" t="s">
        <v>199</v>
      </c>
      <c r="D134" s="493"/>
      <c r="E134" s="493"/>
      <c r="F134" s="493"/>
      <c r="G134" s="494">
        <v>2.4</v>
      </c>
      <c r="H134" s="495">
        <v>70</v>
      </c>
      <c r="I134" s="495">
        <v>2740</v>
      </c>
      <c r="J134" s="496">
        <v>2.2999999999999998</v>
      </c>
      <c r="K134" s="493"/>
    </row>
    <row r="135" spans="1:11" ht="11.1" customHeight="1" x14ac:dyDescent="0.3">
      <c r="A135" s="493"/>
      <c r="B135" s="493"/>
      <c r="C135" s="493"/>
      <c r="D135" s="493"/>
      <c r="E135" s="493"/>
      <c r="F135" s="493"/>
      <c r="G135" s="494"/>
      <c r="H135" s="502"/>
      <c r="I135" s="502"/>
      <c r="J135" s="503"/>
      <c r="K135" s="493"/>
    </row>
    <row r="136" spans="1:11" ht="11.1" customHeight="1" x14ac:dyDescent="0.3">
      <c r="A136" s="498"/>
      <c r="B136" s="498"/>
      <c r="C136" s="498"/>
      <c r="D136" s="498"/>
      <c r="E136" s="498"/>
      <c r="F136" s="498"/>
      <c r="G136" s="499"/>
      <c r="H136" s="500"/>
      <c r="I136" s="500"/>
      <c r="J136" s="501"/>
      <c r="K136" s="493"/>
    </row>
    <row r="137" spans="1:11" ht="11.1" customHeight="1" x14ac:dyDescent="0.3">
      <c r="A137" s="530">
        <v>2</v>
      </c>
      <c r="B137" s="489" t="s">
        <v>8</v>
      </c>
      <c r="C137" s="489"/>
      <c r="D137" s="489"/>
      <c r="E137" s="489"/>
      <c r="F137" s="489"/>
      <c r="G137" s="490">
        <v>10.8</v>
      </c>
      <c r="H137" s="491">
        <v>316</v>
      </c>
      <c r="I137" s="491">
        <v>2590</v>
      </c>
      <c r="J137" s="492">
        <v>2.9</v>
      </c>
      <c r="K137" s="493"/>
    </row>
    <row r="138" spans="1:11" ht="11.1" customHeight="1" x14ac:dyDescent="0.3">
      <c r="A138" s="493"/>
      <c r="B138" s="493"/>
      <c r="C138" s="493"/>
      <c r="D138" s="493"/>
      <c r="E138" s="493"/>
      <c r="F138" s="493"/>
      <c r="G138" s="494"/>
      <c r="H138" s="495"/>
      <c r="I138" s="495"/>
      <c r="J138" s="496"/>
      <c r="K138" s="493"/>
    </row>
    <row r="139" spans="1:11" ht="11.1" customHeight="1" x14ac:dyDescent="0.3">
      <c r="A139" s="497">
        <v>2.1</v>
      </c>
      <c r="B139" s="493" t="s">
        <v>200</v>
      </c>
      <c r="C139" s="493"/>
      <c r="D139" s="493"/>
      <c r="E139" s="493"/>
      <c r="F139" s="493"/>
      <c r="G139" s="494">
        <v>8.1999999999999993</v>
      </c>
      <c r="H139" s="495">
        <v>241</v>
      </c>
      <c r="I139" s="495">
        <v>2350</v>
      </c>
      <c r="J139" s="496">
        <v>2.9</v>
      </c>
      <c r="K139" s="493"/>
    </row>
    <row r="140" spans="1:11" ht="11.1" customHeight="1" x14ac:dyDescent="0.3">
      <c r="A140" s="493"/>
      <c r="B140" s="493" t="s">
        <v>201</v>
      </c>
      <c r="C140" s="493" t="s">
        <v>202</v>
      </c>
      <c r="D140" s="493"/>
      <c r="E140" s="493"/>
      <c r="F140" s="493"/>
      <c r="G140" s="494">
        <v>1.9</v>
      </c>
      <c r="H140" s="495">
        <v>55</v>
      </c>
      <c r="I140" s="495">
        <v>740</v>
      </c>
      <c r="J140" s="496">
        <v>4.3</v>
      </c>
      <c r="K140" s="493"/>
    </row>
    <row r="141" spans="1:11" ht="11.1" customHeight="1" x14ac:dyDescent="0.3">
      <c r="A141" s="493"/>
      <c r="B141" s="493"/>
      <c r="C141" s="493"/>
      <c r="D141" s="493"/>
      <c r="E141" s="493"/>
      <c r="F141" s="493"/>
      <c r="G141" s="494"/>
      <c r="H141" s="495"/>
      <c r="I141" s="495"/>
      <c r="J141" s="496"/>
      <c r="K141" s="493"/>
    </row>
    <row r="142" spans="1:11" ht="11.1" customHeight="1" x14ac:dyDescent="0.3">
      <c r="A142" s="493"/>
      <c r="B142" s="493" t="s">
        <v>203</v>
      </c>
      <c r="C142" s="493" t="s">
        <v>204</v>
      </c>
      <c r="D142" s="493"/>
      <c r="E142" s="493"/>
      <c r="F142" s="493"/>
      <c r="G142" s="494">
        <v>4.2</v>
      </c>
      <c r="H142" s="495">
        <v>122</v>
      </c>
      <c r="I142" s="495">
        <v>1530</v>
      </c>
      <c r="J142" s="496">
        <v>4.0999999999999996</v>
      </c>
      <c r="K142" s="493"/>
    </row>
    <row r="143" spans="1:11" ht="11.1" customHeight="1" x14ac:dyDescent="0.3">
      <c r="A143" s="493"/>
      <c r="B143" s="493"/>
      <c r="C143" s="493" t="s">
        <v>205</v>
      </c>
      <c r="D143" s="493" t="s">
        <v>206</v>
      </c>
      <c r="E143" s="493"/>
      <c r="F143" s="493"/>
      <c r="G143" s="494">
        <v>3.6</v>
      </c>
      <c r="H143" s="495">
        <v>106</v>
      </c>
      <c r="I143" s="495">
        <v>1380</v>
      </c>
      <c r="J143" s="496">
        <v>4.2</v>
      </c>
      <c r="K143" s="493"/>
    </row>
    <row r="144" spans="1:11" ht="11.1" customHeight="1" x14ac:dyDescent="0.3">
      <c r="A144" s="493"/>
      <c r="B144" s="493"/>
      <c r="C144" s="493" t="s">
        <v>207</v>
      </c>
      <c r="D144" s="493" t="s">
        <v>208</v>
      </c>
      <c r="E144" s="493"/>
      <c r="F144" s="493"/>
      <c r="G144" s="494">
        <v>0.1</v>
      </c>
      <c r="H144" s="495">
        <v>4</v>
      </c>
      <c r="I144" s="495">
        <v>110</v>
      </c>
      <c r="J144" s="496">
        <v>10.9</v>
      </c>
      <c r="K144" s="493"/>
    </row>
    <row r="145" spans="1:11" ht="11.1" customHeight="1" x14ac:dyDescent="0.3">
      <c r="A145" s="493"/>
      <c r="B145" s="493"/>
      <c r="C145" s="493" t="s">
        <v>209</v>
      </c>
      <c r="D145" s="493" t="s">
        <v>210</v>
      </c>
      <c r="E145" s="493"/>
      <c r="F145" s="493"/>
      <c r="G145" s="494">
        <v>0.4</v>
      </c>
      <c r="H145" s="495">
        <v>13</v>
      </c>
      <c r="I145" s="495">
        <v>280</v>
      </c>
      <c r="J145" s="496">
        <v>13.9</v>
      </c>
      <c r="K145" s="493"/>
    </row>
    <row r="146" spans="1:11" ht="11.1" customHeight="1" x14ac:dyDescent="0.3">
      <c r="A146" s="493"/>
      <c r="B146" s="493"/>
      <c r="C146" s="493"/>
      <c r="D146" s="493"/>
      <c r="E146" s="493"/>
      <c r="F146" s="493"/>
      <c r="G146" s="494"/>
      <c r="H146" s="495"/>
      <c r="I146" s="495"/>
      <c r="J146" s="496"/>
      <c r="K146" s="493"/>
    </row>
    <row r="147" spans="1:11" ht="11.1" customHeight="1" x14ac:dyDescent="0.3">
      <c r="A147" s="493"/>
      <c r="B147" s="493" t="s">
        <v>211</v>
      </c>
      <c r="C147" s="493" t="s">
        <v>212</v>
      </c>
      <c r="D147" s="493"/>
      <c r="E147" s="493"/>
      <c r="F147" s="493"/>
      <c r="G147" s="494">
        <v>2.1</v>
      </c>
      <c r="H147" s="495">
        <v>63</v>
      </c>
      <c r="I147" s="495">
        <v>1330</v>
      </c>
      <c r="J147" s="496">
        <v>5.4</v>
      </c>
      <c r="K147" s="493"/>
    </row>
    <row r="148" spans="1:11" ht="11.1" customHeight="1" x14ac:dyDescent="0.3">
      <c r="A148" s="493"/>
      <c r="B148" s="493"/>
      <c r="C148" s="493" t="s">
        <v>213</v>
      </c>
      <c r="D148" s="493" t="s">
        <v>214</v>
      </c>
      <c r="E148" s="493"/>
      <c r="F148" s="493"/>
      <c r="G148" s="494">
        <v>1.8</v>
      </c>
      <c r="H148" s="495">
        <v>52</v>
      </c>
      <c r="I148" s="495">
        <v>1130</v>
      </c>
      <c r="J148" s="496">
        <v>5.5</v>
      </c>
      <c r="K148" s="493"/>
    </row>
    <row r="149" spans="1:11" ht="11.1" customHeight="1" x14ac:dyDescent="0.3">
      <c r="A149" s="493"/>
      <c r="B149" s="493"/>
      <c r="C149" s="493" t="s">
        <v>215</v>
      </c>
      <c r="D149" s="493" t="s">
        <v>216</v>
      </c>
      <c r="E149" s="493"/>
      <c r="F149" s="493"/>
      <c r="G149" s="494">
        <v>0.4</v>
      </c>
      <c r="H149" s="495">
        <v>10</v>
      </c>
      <c r="I149" s="495">
        <v>360</v>
      </c>
      <c r="J149" s="496">
        <v>17.399999999999999</v>
      </c>
      <c r="K149" s="493"/>
    </row>
    <row r="150" spans="1:11" ht="11.1" customHeight="1" x14ac:dyDescent="0.3">
      <c r="A150" s="493"/>
      <c r="B150" s="493"/>
      <c r="C150" s="493"/>
      <c r="D150" s="493"/>
      <c r="E150" s="493"/>
      <c r="F150" s="493"/>
      <c r="G150" s="494"/>
      <c r="H150" s="495"/>
      <c r="I150" s="495"/>
      <c r="J150" s="496"/>
      <c r="K150" s="493"/>
    </row>
    <row r="151" spans="1:11" ht="11.1" customHeight="1" x14ac:dyDescent="0.3">
      <c r="A151" s="493"/>
      <c r="B151" s="493" t="s">
        <v>217</v>
      </c>
      <c r="C151" s="493" t="s">
        <v>218</v>
      </c>
      <c r="D151" s="493"/>
      <c r="E151" s="493"/>
      <c r="F151" s="493"/>
      <c r="G151" s="494" t="s">
        <v>1009</v>
      </c>
      <c r="H151" s="495">
        <v>1</v>
      </c>
      <c r="I151" s="495">
        <v>50</v>
      </c>
      <c r="J151" s="496">
        <v>18</v>
      </c>
      <c r="K151" s="493"/>
    </row>
    <row r="152" spans="1:11" ht="11.1" customHeight="1" x14ac:dyDescent="0.3">
      <c r="A152" s="493"/>
      <c r="B152" s="493"/>
      <c r="C152" s="493"/>
      <c r="D152" s="493"/>
      <c r="E152" s="493"/>
      <c r="F152" s="493"/>
      <c r="G152" s="494"/>
      <c r="H152" s="495"/>
      <c r="I152" s="495"/>
      <c r="J152" s="496"/>
      <c r="K152" s="493"/>
    </row>
    <row r="153" spans="1:11" ht="11.1" customHeight="1" x14ac:dyDescent="0.3">
      <c r="A153" s="497">
        <v>2.2000000000000002</v>
      </c>
      <c r="B153" s="493" t="s">
        <v>219</v>
      </c>
      <c r="C153" s="493"/>
      <c r="D153" s="493"/>
      <c r="E153" s="493"/>
      <c r="F153" s="493"/>
      <c r="G153" s="494">
        <v>2.5</v>
      </c>
      <c r="H153" s="495">
        <v>74</v>
      </c>
      <c r="I153" s="495">
        <v>540</v>
      </c>
      <c r="J153" s="496">
        <v>6.7</v>
      </c>
      <c r="K153" s="493"/>
    </row>
    <row r="154" spans="1:11" ht="11.1" customHeight="1" x14ac:dyDescent="0.3">
      <c r="A154" s="493"/>
      <c r="B154" s="493" t="s">
        <v>220</v>
      </c>
      <c r="C154" s="493" t="s">
        <v>221</v>
      </c>
      <c r="D154" s="493"/>
      <c r="E154" s="493"/>
      <c r="F154" s="493"/>
      <c r="G154" s="494">
        <v>1.5</v>
      </c>
      <c r="H154" s="495">
        <v>45</v>
      </c>
      <c r="I154" s="495">
        <v>350</v>
      </c>
      <c r="J154" s="496">
        <v>9.8000000000000007</v>
      </c>
      <c r="K154" s="493"/>
    </row>
    <row r="155" spans="1:11" ht="11.1" customHeight="1" x14ac:dyDescent="0.3">
      <c r="A155" s="493"/>
      <c r="B155" s="493"/>
      <c r="C155" s="493"/>
      <c r="D155" s="493"/>
      <c r="E155" s="493"/>
      <c r="F155" s="493"/>
      <c r="G155" s="494"/>
      <c r="H155" s="495"/>
      <c r="I155" s="495"/>
      <c r="J155" s="496"/>
      <c r="K155" s="493"/>
    </row>
    <row r="156" spans="1:11" ht="11.1" customHeight="1" x14ac:dyDescent="0.3">
      <c r="A156" s="493"/>
      <c r="B156" s="493" t="s">
        <v>222</v>
      </c>
      <c r="C156" s="493" t="s">
        <v>223</v>
      </c>
      <c r="D156" s="493"/>
      <c r="E156" s="493"/>
      <c r="F156" s="493"/>
      <c r="G156" s="494">
        <v>1</v>
      </c>
      <c r="H156" s="495">
        <v>29</v>
      </c>
      <c r="I156" s="495">
        <v>300</v>
      </c>
      <c r="J156" s="496">
        <v>7.1</v>
      </c>
      <c r="K156" s="493"/>
    </row>
    <row r="157" spans="1:11" ht="11.1" customHeight="1" x14ac:dyDescent="0.3">
      <c r="A157" s="493"/>
      <c r="B157" s="493"/>
      <c r="C157" s="493" t="s">
        <v>224</v>
      </c>
      <c r="D157" s="493" t="s">
        <v>225</v>
      </c>
      <c r="E157" s="493"/>
      <c r="F157" s="493"/>
      <c r="G157" s="494" t="s">
        <v>1190</v>
      </c>
      <c r="H157" s="495" t="s">
        <v>1230</v>
      </c>
      <c r="I157" s="495">
        <v>10</v>
      </c>
      <c r="J157" s="496">
        <v>24.9</v>
      </c>
      <c r="K157" s="493"/>
    </row>
    <row r="158" spans="1:11" ht="11.1" customHeight="1" x14ac:dyDescent="0.3">
      <c r="A158" s="493"/>
      <c r="B158" s="493"/>
      <c r="C158" s="493" t="s">
        <v>226</v>
      </c>
      <c r="D158" s="493" t="s">
        <v>227</v>
      </c>
      <c r="E158" s="493"/>
      <c r="F158" s="493"/>
      <c r="G158" s="494">
        <v>0.9</v>
      </c>
      <c r="H158" s="495">
        <v>27</v>
      </c>
      <c r="I158" s="495">
        <v>280</v>
      </c>
      <c r="J158" s="496">
        <v>7.2</v>
      </c>
      <c r="K158" s="493"/>
    </row>
    <row r="159" spans="1:11" ht="11.1" customHeight="1" x14ac:dyDescent="0.3">
      <c r="A159" s="493"/>
      <c r="B159" s="493"/>
      <c r="C159" s="493" t="s">
        <v>228</v>
      </c>
      <c r="D159" s="493" t="s">
        <v>229</v>
      </c>
      <c r="E159" s="493"/>
      <c r="F159" s="493"/>
      <c r="G159" s="494" t="s">
        <v>367</v>
      </c>
      <c r="H159" s="495" t="s">
        <v>367</v>
      </c>
      <c r="I159" s="495" t="s">
        <v>367</v>
      </c>
      <c r="J159" s="496" t="s">
        <v>367</v>
      </c>
      <c r="K159" s="493"/>
    </row>
    <row r="160" spans="1:11" ht="11.1" customHeight="1" x14ac:dyDescent="0.3">
      <c r="A160" s="493"/>
      <c r="B160" s="493"/>
      <c r="C160" s="493"/>
      <c r="D160" s="493"/>
      <c r="E160" s="493"/>
      <c r="F160" s="493"/>
      <c r="G160" s="494"/>
      <c r="H160" s="502"/>
      <c r="I160" s="502"/>
      <c r="J160" s="503"/>
      <c r="K160" s="493"/>
    </row>
    <row r="161" spans="1:11" ht="11.1" customHeight="1" x14ac:dyDescent="0.3">
      <c r="A161" s="498"/>
      <c r="B161" s="498"/>
      <c r="C161" s="498"/>
      <c r="D161" s="498"/>
      <c r="E161" s="498"/>
      <c r="F161" s="498"/>
      <c r="G161" s="499"/>
      <c r="H161" s="500"/>
      <c r="I161" s="500"/>
      <c r="J161" s="501"/>
      <c r="K161" s="493"/>
    </row>
    <row r="162" spans="1:11" ht="11.1" customHeight="1" x14ac:dyDescent="0.3">
      <c r="A162" s="489" t="s">
        <v>231</v>
      </c>
      <c r="B162" s="489" t="s">
        <v>9</v>
      </c>
      <c r="C162" s="489"/>
      <c r="D162" s="489"/>
      <c r="E162" s="489"/>
      <c r="F162" s="489"/>
      <c r="G162" s="490">
        <v>16.8</v>
      </c>
      <c r="H162" s="491">
        <v>491</v>
      </c>
      <c r="I162" s="491">
        <v>2420</v>
      </c>
      <c r="J162" s="492">
        <v>4.2</v>
      </c>
      <c r="K162" s="493"/>
    </row>
    <row r="163" spans="1:11" ht="11.1" customHeight="1" x14ac:dyDescent="0.3">
      <c r="A163" s="493"/>
      <c r="B163" s="493"/>
      <c r="C163" s="493"/>
      <c r="D163" s="493"/>
      <c r="E163" s="493"/>
      <c r="F163" s="493"/>
      <c r="G163" s="494"/>
      <c r="H163" s="495"/>
      <c r="I163" s="495"/>
      <c r="J163" s="496"/>
      <c r="K163" s="493"/>
    </row>
    <row r="164" spans="1:11" ht="11.1" customHeight="1" x14ac:dyDescent="0.3">
      <c r="A164" s="497">
        <v>3.1</v>
      </c>
      <c r="B164" s="493" t="s">
        <v>232</v>
      </c>
      <c r="C164" s="493"/>
      <c r="D164" s="493"/>
      <c r="E164" s="493"/>
      <c r="F164" s="493"/>
      <c r="G164" s="494">
        <v>13.9</v>
      </c>
      <c r="H164" s="495">
        <v>406</v>
      </c>
      <c r="I164" s="495">
        <v>2270</v>
      </c>
      <c r="J164" s="496">
        <v>4.5</v>
      </c>
      <c r="K164" s="493"/>
    </row>
    <row r="165" spans="1:11" ht="11.1" customHeight="1" x14ac:dyDescent="0.3">
      <c r="A165" s="493"/>
      <c r="B165" s="493" t="s">
        <v>233</v>
      </c>
      <c r="C165" s="493" t="s">
        <v>234</v>
      </c>
      <c r="D165" s="493"/>
      <c r="E165" s="493"/>
      <c r="F165" s="493"/>
      <c r="G165" s="494">
        <v>3.5</v>
      </c>
      <c r="H165" s="495">
        <v>103</v>
      </c>
      <c r="I165" s="495">
        <v>630</v>
      </c>
      <c r="J165" s="496">
        <v>11.6</v>
      </c>
      <c r="K165" s="493"/>
    </row>
    <row r="166" spans="1:11" ht="11.1" customHeight="1" x14ac:dyDescent="0.3">
      <c r="A166" s="493"/>
      <c r="B166" s="493" t="s">
        <v>235</v>
      </c>
      <c r="C166" s="493" t="s">
        <v>236</v>
      </c>
      <c r="D166" s="493"/>
      <c r="E166" s="493"/>
      <c r="F166" s="493"/>
      <c r="G166" s="494">
        <v>0.4</v>
      </c>
      <c r="H166" s="495">
        <v>11</v>
      </c>
      <c r="I166" s="495">
        <v>270</v>
      </c>
      <c r="J166" s="496">
        <v>11</v>
      </c>
      <c r="K166" s="493"/>
    </row>
    <row r="167" spans="1:11" ht="11.1" customHeight="1" x14ac:dyDescent="0.3">
      <c r="A167" s="493"/>
      <c r="B167" s="493" t="s">
        <v>237</v>
      </c>
      <c r="C167" s="493" t="s">
        <v>238</v>
      </c>
      <c r="D167" s="493"/>
      <c r="E167" s="493"/>
      <c r="F167" s="493"/>
      <c r="G167" s="494">
        <v>6.1</v>
      </c>
      <c r="H167" s="495">
        <v>179</v>
      </c>
      <c r="I167" s="495">
        <v>1220</v>
      </c>
      <c r="J167" s="496">
        <v>5.0999999999999996</v>
      </c>
      <c r="K167" s="493"/>
    </row>
    <row r="168" spans="1:11" ht="11.1" customHeight="1" x14ac:dyDescent="0.3">
      <c r="A168" s="493"/>
      <c r="B168" s="493" t="s">
        <v>239</v>
      </c>
      <c r="C168" s="493" t="s">
        <v>240</v>
      </c>
      <c r="D168" s="493"/>
      <c r="E168" s="493"/>
      <c r="F168" s="493"/>
      <c r="G168" s="494">
        <v>1</v>
      </c>
      <c r="H168" s="495">
        <v>29</v>
      </c>
      <c r="I168" s="495">
        <v>600</v>
      </c>
      <c r="J168" s="496">
        <v>5.4</v>
      </c>
      <c r="K168" s="493"/>
    </row>
    <row r="169" spans="1:11" ht="11.1" customHeight="1" x14ac:dyDescent="0.3">
      <c r="A169" s="493"/>
      <c r="B169" s="493" t="s">
        <v>241</v>
      </c>
      <c r="C169" s="493" t="s">
        <v>242</v>
      </c>
      <c r="D169" s="493"/>
      <c r="E169" s="493"/>
      <c r="F169" s="493"/>
      <c r="G169" s="494">
        <v>0.7</v>
      </c>
      <c r="H169" s="495">
        <v>20</v>
      </c>
      <c r="I169" s="495">
        <v>220</v>
      </c>
      <c r="J169" s="496">
        <v>6.2</v>
      </c>
      <c r="K169" s="493"/>
    </row>
    <row r="170" spans="1:11" ht="11.1" customHeight="1" x14ac:dyDescent="0.3">
      <c r="A170" s="493"/>
      <c r="B170" s="493" t="s">
        <v>243</v>
      </c>
      <c r="C170" s="493" t="s">
        <v>244</v>
      </c>
      <c r="D170" s="493"/>
      <c r="E170" s="493"/>
      <c r="F170" s="493"/>
      <c r="G170" s="494">
        <v>0.7</v>
      </c>
      <c r="H170" s="495">
        <v>21</v>
      </c>
      <c r="I170" s="495">
        <v>250</v>
      </c>
      <c r="J170" s="496">
        <v>11.8</v>
      </c>
      <c r="K170" s="493"/>
    </row>
    <row r="171" spans="1:11" ht="11.1" customHeight="1" x14ac:dyDescent="0.3">
      <c r="A171" s="493"/>
      <c r="B171" s="493" t="s">
        <v>245</v>
      </c>
      <c r="C171" s="493" t="s">
        <v>246</v>
      </c>
      <c r="D171" s="493"/>
      <c r="E171" s="493"/>
      <c r="F171" s="493"/>
      <c r="G171" s="494">
        <v>0.3</v>
      </c>
      <c r="H171" s="495">
        <v>10</v>
      </c>
      <c r="I171" s="495">
        <v>150</v>
      </c>
      <c r="J171" s="496">
        <v>14.5</v>
      </c>
      <c r="K171" s="493"/>
    </row>
    <row r="172" spans="1:11" ht="11.1" customHeight="1" x14ac:dyDescent="0.3">
      <c r="A172" s="498"/>
      <c r="B172" s="498" t="s">
        <v>247</v>
      </c>
      <c r="C172" s="498" t="s">
        <v>248</v>
      </c>
      <c r="D172" s="498"/>
      <c r="E172" s="498"/>
      <c r="F172" s="498"/>
      <c r="G172" s="499">
        <v>0.3</v>
      </c>
      <c r="H172" s="533">
        <v>9</v>
      </c>
      <c r="I172" s="533">
        <v>250</v>
      </c>
      <c r="J172" s="534">
        <v>8.6</v>
      </c>
      <c r="K172" s="493"/>
    </row>
    <row r="173" spans="1:11" ht="11.1" customHeight="1" x14ac:dyDescent="0.3">
      <c r="A173" s="493"/>
      <c r="B173" s="493"/>
      <c r="C173" s="493"/>
      <c r="D173" s="493"/>
      <c r="E173" s="493"/>
      <c r="F173" s="493"/>
      <c r="G173" s="494"/>
      <c r="H173" s="502"/>
      <c r="I173" s="502"/>
      <c r="J173" s="503"/>
      <c r="K173" s="493"/>
    </row>
    <row r="174" spans="1:11" ht="11.1" customHeight="1" x14ac:dyDescent="0.3">
      <c r="A174" s="493" t="s">
        <v>111</v>
      </c>
      <c r="B174" s="493"/>
      <c r="C174" s="493"/>
      <c r="D174" s="493"/>
      <c r="E174" s="493"/>
      <c r="F174" s="493"/>
      <c r="G174" s="494"/>
      <c r="H174" s="502"/>
      <c r="I174" s="502"/>
      <c r="J174" s="503"/>
      <c r="K174" s="493"/>
    </row>
    <row r="175" spans="1:11" ht="11.1" customHeight="1" x14ac:dyDescent="0.3">
      <c r="A175" s="493" t="s">
        <v>182</v>
      </c>
      <c r="B175" s="493"/>
      <c r="C175" s="493"/>
      <c r="D175" s="493"/>
      <c r="E175" s="493"/>
      <c r="F175" s="493"/>
      <c r="G175" s="494"/>
      <c r="H175" s="502"/>
      <c r="I175" s="502"/>
      <c r="J175" s="503"/>
      <c r="K175" s="493"/>
    </row>
    <row r="176" spans="1:11" ht="11.1" customHeight="1" x14ac:dyDescent="0.3">
      <c r="A176" s="493" t="s">
        <v>112</v>
      </c>
      <c r="B176" s="493"/>
      <c r="C176" s="493"/>
      <c r="D176" s="493"/>
      <c r="E176" s="493"/>
      <c r="F176" s="493"/>
      <c r="G176" s="494"/>
      <c r="H176" s="502"/>
      <c r="I176" s="502"/>
      <c r="J176" s="503"/>
      <c r="K176" s="493"/>
    </row>
    <row r="181" spans="1:11" ht="11.1" customHeight="1" x14ac:dyDescent="0.3">
      <c r="K181" s="535"/>
    </row>
    <row r="182" spans="1:11" ht="13.95" customHeight="1" x14ac:dyDescent="0.3">
      <c r="A182" s="446" t="s">
        <v>114</v>
      </c>
      <c r="B182" s="536"/>
      <c r="C182" s="537"/>
      <c r="D182" s="538"/>
      <c r="E182" s="538"/>
      <c r="F182" s="537"/>
      <c r="G182" s="517"/>
      <c r="H182" s="518"/>
      <c r="I182" s="518"/>
      <c r="J182" s="506"/>
      <c r="K182" s="539"/>
    </row>
    <row r="183" spans="1:11" ht="19.95" customHeight="1" x14ac:dyDescent="0.3">
      <c r="A183" s="507" t="s">
        <v>183</v>
      </c>
      <c r="B183" s="508"/>
      <c r="C183" s="444"/>
      <c r="D183" s="445"/>
      <c r="E183" s="445"/>
      <c r="F183" s="446"/>
      <c r="G183" s="540"/>
      <c r="H183" s="541"/>
      <c r="I183" s="541"/>
      <c r="J183" s="512"/>
      <c r="K183" s="539"/>
    </row>
    <row r="184" spans="1:11" ht="15.6" customHeight="1" x14ac:dyDescent="0.3">
      <c r="A184" s="513" t="s">
        <v>1351</v>
      </c>
      <c r="B184" s="514"/>
      <c r="C184" s="455"/>
      <c r="D184" s="456"/>
      <c r="E184" s="445"/>
      <c r="F184" s="446"/>
      <c r="G184" s="540"/>
      <c r="H184" s="541"/>
      <c r="I184" s="541"/>
      <c r="J184" s="512"/>
      <c r="K184" s="529"/>
    </row>
    <row r="185" spans="1:11" ht="11.1" customHeight="1" x14ac:dyDescent="0.3">
      <c r="A185" s="474"/>
      <c r="B185" s="474"/>
      <c r="C185" s="475"/>
      <c r="D185" s="475"/>
      <c r="E185" s="475"/>
      <c r="F185" s="475"/>
      <c r="G185" s="476"/>
      <c r="H185" s="477"/>
      <c r="I185" s="477"/>
      <c r="J185" s="478"/>
      <c r="K185" s="529"/>
    </row>
    <row r="186" spans="1:11" ht="11.1" customHeight="1" x14ac:dyDescent="0.3">
      <c r="A186" s="464"/>
      <c r="B186" s="464"/>
      <c r="C186" s="465"/>
      <c r="D186" s="465"/>
      <c r="E186" s="465"/>
      <c r="F186" s="465"/>
      <c r="G186" s="517"/>
      <c r="H186" s="518"/>
      <c r="I186" s="518"/>
      <c r="J186" s="519"/>
      <c r="K186" s="542"/>
    </row>
    <row r="187" spans="1:11" ht="11.1" customHeight="1" x14ac:dyDescent="0.3">
      <c r="A187" s="520"/>
      <c r="B187" s="520"/>
      <c r="C187" s="521"/>
      <c r="D187" s="521"/>
      <c r="E187" s="521"/>
      <c r="F187" s="469"/>
      <c r="G187" s="470" t="s">
        <v>116</v>
      </c>
      <c r="H187" s="471" t="s">
        <v>25</v>
      </c>
      <c r="I187" s="471" t="s">
        <v>26</v>
      </c>
      <c r="J187" s="472" t="s">
        <v>117</v>
      </c>
      <c r="K187" s="542"/>
    </row>
    <row r="188" spans="1:11" ht="11.1" customHeight="1" x14ac:dyDescent="0.3">
      <c r="A188" s="520"/>
      <c r="B188" s="520"/>
      <c r="C188" s="521"/>
      <c r="D188" s="521"/>
      <c r="E188" s="521"/>
      <c r="F188" s="469"/>
      <c r="G188" s="473" t="s">
        <v>29</v>
      </c>
      <c r="H188" s="471" t="s">
        <v>27</v>
      </c>
      <c r="I188" s="471" t="s">
        <v>28</v>
      </c>
      <c r="J188" s="472" t="s">
        <v>118</v>
      </c>
      <c r="K188" s="542"/>
    </row>
    <row r="189" spans="1:11" ht="11.1" customHeight="1" x14ac:dyDescent="0.3">
      <c r="A189" s="520"/>
      <c r="B189" s="520"/>
      <c r="C189" s="521"/>
      <c r="D189" s="521"/>
      <c r="E189" s="521"/>
      <c r="F189" s="469"/>
      <c r="G189" s="470" t="s">
        <v>31</v>
      </c>
      <c r="H189" s="471" t="s">
        <v>29</v>
      </c>
      <c r="I189" s="471" t="s">
        <v>30</v>
      </c>
      <c r="J189" s="472" t="s">
        <v>119</v>
      </c>
      <c r="K189" s="542"/>
    </row>
    <row r="190" spans="1:11" ht="11.1" customHeight="1" x14ac:dyDescent="0.3">
      <c r="A190" s="520"/>
      <c r="B190" s="520"/>
      <c r="C190" s="521"/>
      <c r="D190" s="521"/>
      <c r="E190" s="521"/>
      <c r="F190" s="469"/>
      <c r="G190" s="473" t="s">
        <v>32</v>
      </c>
      <c r="H190" s="471" t="s">
        <v>33</v>
      </c>
      <c r="I190" s="471" t="s">
        <v>120</v>
      </c>
      <c r="J190" s="472" t="s">
        <v>121</v>
      </c>
      <c r="K190" s="529"/>
    </row>
    <row r="191" spans="1:11" ht="11.1" customHeight="1" x14ac:dyDescent="0.3">
      <c r="A191" s="474"/>
      <c r="B191" s="474"/>
      <c r="C191" s="475"/>
      <c r="D191" s="475"/>
      <c r="E191" s="475"/>
      <c r="F191" s="475"/>
      <c r="G191" s="476"/>
      <c r="H191" s="477"/>
      <c r="I191" s="477"/>
      <c r="J191" s="478"/>
      <c r="K191" s="529"/>
    </row>
    <row r="192" spans="1:11" ht="11.1" customHeight="1" x14ac:dyDescent="0.3">
      <c r="A192" s="536"/>
      <c r="B192" s="464"/>
      <c r="C192" s="517"/>
      <c r="D192" s="517"/>
      <c r="E192" s="517"/>
      <c r="F192" s="465"/>
      <c r="G192" s="517"/>
      <c r="H192" s="518"/>
      <c r="I192" s="518"/>
      <c r="J192" s="519"/>
    </row>
    <row r="193" spans="1:11" ht="11.1" customHeight="1" x14ac:dyDescent="0.3">
      <c r="A193" s="488" t="s">
        <v>123</v>
      </c>
      <c r="B193" s="522"/>
      <c r="C193" s="523"/>
      <c r="D193" s="524"/>
      <c r="F193" s="450" t="s">
        <v>124</v>
      </c>
    </row>
    <row r="194" spans="1:11" ht="11.1" customHeight="1" x14ac:dyDescent="0.3">
      <c r="K194" s="493"/>
    </row>
    <row r="195" spans="1:11" ht="11.1" customHeight="1" x14ac:dyDescent="0.3">
      <c r="A195" s="489" t="s">
        <v>231</v>
      </c>
      <c r="B195" s="489" t="s">
        <v>249</v>
      </c>
      <c r="C195" s="489"/>
      <c r="D195" s="489"/>
      <c r="E195" s="489"/>
      <c r="F195" s="489"/>
      <c r="G195" s="490"/>
      <c r="H195" s="531"/>
      <c r="I195" s="531"/>
      <c r="J195" s="532"/>
      <c r="K195" s="493"/>
    </row>
    <row r="196" spans="1:11" ht="11.1" customHeight="1" x14ac:dyDescent="0.3">
      <c r="A196" s="493"/>
      <c r="B196" s="493"/>
      <c r="C196" s="493"/>
      <c r="D196" s="493"/>
      <c r="E196" s="493"/>
      <c r="F196" s="493"/>
      <c r="G196" s="494"/>
      <c r="H196" s="502"/>
      <c r="I196" s="502"/>
      <c r="J196" s="503"/>
      <c r="K196" s="493"/>
    </row>
    <row r="197" spans="1:11" ht="11.1" customHeight="1" x14ac:dyDescent="0.3">
      <c r="A197" s="493"/>
      <c r="B197" s="493" t="s">
        <v>250</v>
      </c>
      <c r="C197" s="493" t="s">
        <v>251</v>
      </c>
      <c r="D197" s="493"/>
      <c r="E197" s="493"/>
      <c r="F197" s="493"/>
      <c r="G197" s="494">
        <v>0.5</v>
      </c>
      <c r="H197" s="495">
        <v>14</v>
      </c>
      <c r="I197" s="495">
        <v>400</v>
      </c>
      <c r="J197" s="496">
        <v>11</v>
      </c>
      <c r="K197" s="493"/>
    </row>
    <row r="198" spans="1:11" ht="11.1" customHeight="1" x14ac:dyDescent="0.3">
      <c r="A198" s="493"/>
      <c r="B198" s="493"/>
      <c r="C198" s="493" t="s">
        <v>252</v>
      </c>
      <c r="D198" s="493" t="s">
        <v>253</v>
      </c>
      <c r="E198" s="493"/>
      <c r="F198" s="493"/>
      <c r="G198" s="494">
        <v>0.2</v>
      </c>
      <c r="H198" s="495">
        <v>6</v>
      </c>
      <c r="I198" s="495">
        <v>140</v>
      </c>
      <c r="J198" s="496">
        <v>15.5</v>
      </c>
      <c r="K198" s="493"/>
    </row>
    <row r="199" spans="1:11" ht="11.1" customHeight="1" x14ac:dyDescent="0.3">
      <c r="A199" s="493"/>
      <c r="B199" s="493"/>
      <c r="C199" s="493" t="s">
        <v>254</v>
      </c>
      <c r="D199" s="493" t="s">
        <v>255</v>
      </c>
      <c r="E199" s="493"/>
      <c r="F199" s="493"/>
      <c r="G199" s="494">
        <v>0.2</v>
      </c>
      <c r="H199" s="495">
        <v>7</v>
      </c>
      <c r="I199" s="495">
        <v>200</v>
      </c>
      <c r="J199" s="496">
        <v>15.2</v>
      </c>
      <c r="K199" s="493"/>
    </row>
    <row r="200" spans="1:11" ht="11.1" customHeight="1" x14ac:dyDescent="0.3">
      <c r="A200" s="493"/>
      <c r="B200" s="493"/>
      <c r="C200" s="493" t="s">
        <v>256</v>
      </c>
      <c r="D200" s="493" t="s">
        <v>257</v>
      </c>
      <c r="E200" s="493"/>
      <c r="F200" s="493"/>
      <c r="G200" s="494">
        <v>0.1</v>
      </c>
      <c r="H200" s="495">
        <v>2</v>
      </c>
      <c r="I200" s="495">
        <v>80</v>
      </c>
      <c r="J200" s="496">
        <v>13.6</v>
      </c>
      <c r="K200" s="493"/>
    </row>
    <row r="201" spans="1:11" ht="11.1" customHeight="1" x14ac:dyDescent="0.3">
      <c r="A201" s="493"/>
      <c r="B201" s="493"/>
      <c r="C201" s="493" t="s">
        <v>258</v>
      </c>
      <c r="D201" s="493" t="s">
        <v>259</v>
      </c>
      <c r="E201" s="493"/>
      <c r="F201" s="493"/>
      <c r="G201" s="494" t="s">
        <v>230</v>
      </c>
      <c r="H201" s="495" t="s">
        <v>230</v>
      </c>
      <c r="I201" s="495" t="s">
        <v>230</v>
      </c>
      <c r="J201" s="496" t="s">
        <v>230</v>
      </c>
      <c r="K201" s="493"/>
    </row>
    <row r="202" spans="1:11" ht="11.1" customHeight="1" x14ac:dyDescent="0.3">
      <c r="A202" s="493"/>
      <c r="B202" s="493"/>
      <c r="C202" s="493"/>
      <c r="D202" s="493"/>
      <c r="E202" s="493"/>
      <c r="F202" s="493"/>
      <c r="G202" s="494"/>
      <c r="H202" s="495"/>
      <c r="I202" s="495"/>
      <c r="J202" s="496"/>
      <c r="K202" s="493"/>
    </row>
    <row r="203" spans="1:11" ht="11.1" customHeight="1" x14ac:dyDescent="0.3">
      <c r="A203" s="493"/>
      <c r="B203" s="493" t="s">
        <v>260</v>
      </c>
      <c r="C203" s="493" t="s">
        <v>261</v>
      </c>
      <c r="D203" s="493"/>
      <c r="E203" s="493"/>
      <c r="F203" s="493"/>
      <c r="G203" s="494">
        <v>0.2</v>
      </c>
      <c r="H203" s="495">
        <v>6</v>
      </c>
      <c r="I203" s="495">
        <v>160</v>
      </c>
      <c r="J203" s="496">
        <v>14</v>
      </c>
      <c r="K203" s="493"/>
    </row>
    <row r="204" spans="1:11" ht="11.1" customHeight="1" x14ac:dyDescent="0.3">
      <c r="A204" s="493"/>
      <c r="B204" s="493"/>
      <c r="C204" s="493"/>
      <c r="D204" s="493"/>
      <c r="E204" s="493"/>
      <c r="F204" s="493"/>
      <c r="G204" s="494"/>
      <c r="H204" s="502"/>
      <c r="I204" s="502"/>
      <c r="J204" s="503"/>
      <c r="K204" s="493"/>
    </row>
    <row r="205" spans="1:11" ht="11.1" customHeight="1" x14ac:dyDescent="0.3">
      <c r="A205" s="493"/>
      <c r="B205" s="493" t="s">
        <v>262</v>
      </c>
      <c r="C205" s="493" t="s">
        <v>263</v>
      </c>
      <c r="D205" s="493"/>
      <c r="E205" s="493"/>
      <c r="F205" s="493"/>
      <c r="G205" s="494">
        <v>0.1</v>
      </c>
      <c r="H205" s="495">
        <v>4</v>
      </c>
      <c r="I205" s="495">
        <v>60</v>
      </c>
      <c r="J205" s="496">
        <v>25.4</v>
      </c>
      <c r="K205" s="493"/>
    </row>
    <row r="206" spans="1:11" ht="11.1" customHeight="1" x14ac:dyDescent="0.3">
      <c r="A206" s="493"/>
      <c r="B206" s="493"/>
      <c r="C206" s="493" t="s">
        <v>264</v>
      </c>
      <c r="D206" s="493" t="s">
        <v>265</v>
      </c>
      <c r="E206" s="493"/>
      <c r="F206" s="493"/>
      <c r="G206" s="494">
        <v>0.1</v>
      </c>
      <c r="H206" s="495">
        <v>3</v>
      </c>
      <c r="I206" s="495">
        <v>40</v>
      </c>
      <c r="J206" s="496">
        <v>19.600000000000001</v>
      </c>
      <c r="K206" s="493"/>
    </row>
    <row r="207" spans="1:11" ht="11.1" customHeight="1" x14ac:dyDescent="0.3">
      <c r="A207" s="493"/>
      <c r="B207" s="493"/>
      <c r="C207" s="493" t="s">
        <v>266</v>
      </c>
      <c r="D207" s="493" t="s">
        <v>267</v>
      </c>
      <c r="E207" s="493"/>
      <c r="F207" s="493"/>
      <c r="G207" s="494" t="s">
        <v>1352</v>
      </c>
      <c r="H207" s="495" t="s">
        <v>1113</v>
      </c>
      <c r="I207" s="495">
        <v>10</v>
      </c>
      <c r="J207" s="496">
        <v>117.3</v>
      </c>
      <c r="K207" s="493"/>
    </row>
    <row r="208" spans="1:11" ht="11.1" customHeight="1" x14ac:dyDescent="0.3">
      <c r="A208" s="493"/>
      <c r="B208" s="493"/>
      <c r="C208" s="493"/>
      <c r="D208" s="493"/>
      <c r="E208" s="493"/>
      <c r="F208" s="493"/>
      <c r="G208" s="494"/>
      <c r="H208" s="502"/>
      <c r="I208" s="502"/>
      <c r="J208" s="503"/>
      <c r="K208" s="493"/>
    </row>
    <row r="209" spans="1:11" ht="11.1" customHeight="1" x14ac:dyDescent="0.3">
      <c r="A209" s="497">
        <v>3.2</v>
      </c>
      <c r="B209" s="493" t="s">
        <v>268</v>
      </c>
      <c r="C209" s="493"/>
      <c r="D209" s="493"/>
      <c r="E209" s="493"/>
      <c r="F209" s="493"/>
      <c r="G209" s="494">
        <v>2.9</v>
      </c>
      <c r="H209" s="495">
        <v>85</v>
      </c>
      <c r="I209" s="495">
        <v>710</v>
      </c>
      <c r="J209" s="496">
        <v>6.1</v>
      </c>
      <c r="K209" s="493"/>
    </row>
    <row r="210" spans="1:11" ht="11.1" customHeight="1" x14ac:dyDescent="0.3">
      <c r="A210" s="493"/>
      <c r="B210" s="493" t="s">
        <v>269</v>
      </c>
      <c r="C210" s="493" t="s">
        <v>270</v>
      </c>
      <c r="D210" s="493"/>
      <c r="E210" s="493"/>
      <c r="F210" s="493"/>
      <c r="G210" s="494">
        <v>1.1000000000000001</v>
      </c>
      <c r="H210" s="495">
        <v>32</v>
      </c>
      <c r="I210" s="495">
        <v>210</v>
      </c>
      <c r="J210" s="496">
        <v>7.9</v>
      </c>
      <c r="K210" s="493"/>
    </row>
    <row r="211" spans="1:11" ht="11.1" customHeight="1" x14ac:dyDescent="0.3">
      <c r="A211" s="493"/>
      <c r="B211" s="493" t="s">
        <v>271</v>
      </c>
      <c r="C211" s="493" t="s">
        <v>272</v>
      </c>
      <c r="D211" s="493"/>
      <c r="E211" s="493"/>
      <c r="F211" s="493"/>
      <c r="G211" s="494">
        <v>1.4</v>
      </c>
      <c r="H211" s="495">
        <v>40</v>
      </c>
      <c r="I211" s="495">
        <v>410</v>
      </c>
      <c r="J211" s="496">
        <v>9.9</v>
      </c>
      <c r="K211" s="493"/>
    </row>
    <row r="212" spans="1:11" ht="11.1" customHeight="1" x14ac:dyDescent="0.3">
      <c r="A212" s="493"/>
      <c r="B212" s="493" t="s">
        <v>273</v>
      </c>
      <c r="C212" s="493" t="s">
        <v>274</v>
      </c>
      <c r="D212" s="493"/>
      <c r="E212" s="493"/>
      <c r="F212" s="493"/>
      <c r="G212" s="494">
        <v>0.4</v>
      </c>
      <c r="H212" s="495">
        <v>12</v>
      </c>
      <c r="I212" s="495">
        <v>160</v>
      </c>
      <c r="J212" s="496">
        <v>13.9</v>
      </c>
      <c r="K212" s="493"/>
    </row>
    <row r="213" spans="1:11" ht="11.1" customHeight="1" x14ac:dyDescent="0.3">
      <c r="A213" s="493"/>
      <c r="B213" s="493" t="s">
        <v>275</v>
      </c>
      <c r="C213" s="493" t="s">
        <v>276</v>
      </c>
      <c r="D213" s="493"/>
      <c r="E213" s="493"/>
      <c r="F213" s="493"/>
      <c r="G213" s="494" t="s">
        <v>1352</v>
      </c>
      <c r="H213" s="495" t="s">
        <v>1113</v>
      </c>
      <c r="I213" s="495">
        <v>10</v>
      </c>
      <c r="J213" s="496">
        <v>36</v>
      </c>
      <c r="K213" s="493"/>
    </row>
    <row r="214" spans="1:11" ht="11.1" customHeight="1" x14ac:dyDescent="0.3">
      <c r="A214" s="493"/>
      <c r="B214" s="493"/>
      <c r="C214" s="493"/>
      <c r="D214" s="493"/>
      <c r="E214" s="493"/>
      <c r="F214" s="493"/>
      <c r="G214" s="494"/>
      <c r="H214" s="502"/>
      <c r="I214" s="502"/>
      <c r="J214" s="503"/>
      <c r="K214" s="493"/>
    </row>
    <row r="215" spans="1:11" ht="11.1" customHeight="1" x14ac:dyDescent="0.3">
      <c r="A215" s="498"/>
      <c r="B215" s="498"/>
      <c r="C215" s="498"/>
      <c r="D215" s="498"/>
      <c r="E215" s="498"/>
      <c r="F215" s="498"/>
      <c r="G215" s="499"/>
      <c r="H215" s="500"/>
      <c r="I215" s="500"/>
      <c r="J215" s="501"/>
      <c r="K215" s="493"/>
    </row>
    <row r="216" spans="1:11" ht="11.1" customHeight="1" x14ac:dyDescent="0.3">
      <c r="A216" s="530">
        <v>4</v>
      </c>
      <c r="B216" s="489" t="s">
        <v>1118</v>
      </c>
      <c r="C216" s="489"/>
      <c r="D216" s="489"/>
      <c r="E216" s="489"/>
      <c r="F216" s="489"/>
      <c r="G216" s="490">
        <v>105.7</v>
      </c>
      <c r="H216" s="491">
        <v>3095</v>
      </c>
      <c r="I216" s="491">
        <v>4460</v>
      </c>
      <c r="J216" s="492">
        <v>1.3</v>
      </c>
      <c r="K216" s="493"/>
    </row>
    <row r="217" spans="1:11" ht="11.1" customHeight="1" x14ac:dyDescent="0.3">
      <c r="A217" s="493"/>
      <c r="B217" s="493"/>
      <c r="C217" s="493"/>
      <c r="D217" s="493"/>
      <c r="E217" s="493"/>
      <c r="F217" s="493"/>
      <c r="G217" s="494"/>
      <c r="H217" s="502"/>
      <c r="I217" s="502"/>
      <c r="J217" s="503"/>
      <c r="K217" s="493"/>
    </row>
    <row r="218" spans="1:11" ht="11.1" customHeight="1" x14ac:dyDescent="0.3">
      <c r="A218" s="497">
        <v>4.0999999999999996</v>
      </c>
      <c r="B218" s="493" t="s">
        <v>278</v>
      </c>
      <c r="C218" s="493"/>
      <c r="D218" s="493"/>
      <c r="E218" s="493"/>
      <c r="F218" s="493"/>
      <c r="G218" s="494">
        <v>57</v>
      </c>
      <c r="H218" s="495">
        <v>1669</v>
      </c>
      <c r="I218" s="495">
        <v>1250</v>
      </c>
      <c r="J218" s="496">
        <v>2.2000000000000002</v>
      </c>
      <c r="K218" s="493"/>
    </row>
    <row r="219" spans="1:11" ht="11.1" customHeight="1" x14ac:dyDescent="0.3">
      <c r="A219" s="493"/>
      <c r="B219" s="493" t="s">
        <v>279</v>
      </c>
      <c r="C219" s="493" t="s">
        <v>280</v>
      </c>
      <c r="D219" s="493"/>
      <c r="E219" s="493"/>
      <c r="F219" s="493"/>
      <c r="G219" s="494">
        <v>56.9</v>
      </c>
      <c r="H219" s="495">
        <v>1666</v>
      </c>
      <c r="I219" s="495">
        <v>1240</v>
      </c>
      <c r="J219" s="496">
        <v>2.2000000000000002</v>
      </c>
      <c r="K219" s="493"/>
    </row>
    <row r="220" spans="1:11" ht="11.1" customHeight="1" x14ac:dyDescent="0.3">
      <c r="A220" s="493"/>
      <c r="B220" s="493" t="s">
        <v>281</v>
      </c>
      <c r="C220" s="493" t="s">
        <v>1122</v>
      </c>
      <c r="D220" s="543"/>
      <c r="E220" s="543"/>
      <c r="F220" s="493"/>
      <c r="G220" s="494">
        <v>9.8000000000000007</v>
      </c>
      <c r="H220" s="495">
        <v>286</v>
      </c>
      <c r="I220" s="495">
        <v>680</v>
      </c>
      <c r="J220" s="496">
        <v>5.9</v>
      </c>
      <c r="K220" s="493"/>
    </row>
    <row r="221" spans="1:11" ht="11.1" customHeight="1" x14ac:dyDescent="0.3">
      <c r="A221" s="493"/>
      <c r="B221" s="493" t="s">
        <v>283</v>
      </c>
      <c r="C221" s="493" t="s">
        <v>1124</v>
      </c>
      <c r="D221" s="493"/>
      <c r="E221" s="493"/>
      <c r="F221" s="493"/>
      <c r="G221" s="494">
        <v>47.1</v>
      </c>
      <c r="H221" s="495">
        <v>1379</v>
      </c>
      <c r="I221" s="495">
        <v>1110</v>
      </c>
      <c r="J221" s="496">
        <v>2.6</v>
      </c>
      <c r="K221" s="493"/>
    </row>
    <row r="222" spans="1:11" ht="11.1" customHeight="1" x14ac:dyDescent="0.3">
      <c r="A222" s="493"/>
      <c r="B222" s="493" t="s">
        <v>285</v>
      </c>
      <c r="C222" s="493" t="s">
        <v>286</v>
      </c>
      <c r="D222" s="493"/>
      <c r="E222" s="493"/>
      <c r="F222" s="493"/>
      <c r="G222" s="494" t="s">
        <v>1190</v>
      </c>
      <c r="H222" s="495" t="s">
        <v>1191</v>
      </c>
      <c r="I222" s="495">
        <v>10</v>
      </c>
      <c r="J222" s="496">
        <v>51.5</v>
      </c>
      <c r="K222" s="493"/>
    </row>
    <row r="223" spans="1:11" ht="11.1" customHeight="1" x14ac:dyDescent="0.3">
      <c r="A223" s="493"/>
      <c r="B223" s="493"/>
      <c r="C223" s="493"/>
      <c r="D223" s="493"/>
      <c r="E223" s="493"/>
      <c r="F223" s="493"/>
      <c r="G223" s="494"/>
      <c r="H223" s="502"/>
      <c r="I223" s="502"/>
      <c r="J223" s="503"/>
      <c r="K223" s="493"/>
    </row>
    <row r="224" spans="1:11" ht="11.1" customHeight="1" x14ac:dyDescent="0.3">
      <c r="A224" s="497">
        <v>4.2</v>
      </c>
      <c r="B224" s="493" t="s">
        <v>287</v>
      </c>
      <c r="C224" s="493"/>
      <c r="D224" s="493"/>
      <c r="E224" s="493"/>
      <c r="F224" s="493"/>
      <c r="G224" s="494">
        <v>10.7</v>
      </c>
      <c r="H224" s="495">
        <v>313</v>
      </c>
      <c r="I224" s="495">
        <v>1760</v>
      </c>
      <c r="J224" s="496">
        <v>4.8</v>
      </c>
      <c r="K224" s="493"/>
    </row>
    <row r="225" spans="1:11" ht="11.1" customHeight="1" x14ac:dyDescent="0.3">
      <c r="A225" s="493"/>
      <c r="B225" s="493" t="s">
        <v>288</v>
      </c>
      <c r="C225" s="493" t="s">
        <v>289</v>
      </c>
      <c r="D225" s="493"/>
      <c r="E225" s="493"/>
      <c r="F225" s="493"/>
      <c r="G225" s="494">
        <v>1.3</v>
      </c>
      <c r="H225" s="495">
        <v>39</v>
      </c>
      <c r="I225" s="495">
        <v>950</v>
      </c>
      <c r="J225" s="496">
        <v>7.5</v>
      </c>
      <c r="K225" s="493"/>
    </row>
    <row r="226" spans="1:11" ht="11.1" customHeight="1" x14ac:dyDescent="0.3">
      <c r="A226" s="493"/>
      <c r="B226" s="493" t="s">
        <v>290</v>
      </c>
      <c r="C226" s="493" t="s">
        <v>291</v>
      </c>
      <c r="D226" s="493"/>
      <c r="E226" s="493"/>
      <c r="F226" s="493"/>
      <c r="G226" s="494">
        <v>7.3</v>
      </c>
      <c r="H226" s="495">
        <v>213</v>
      </c>
      <c r="I226" s="495">
        <v>830</v>
      </c>
      <c r="J226" s="496">
        <v>5.3</v>
      </c>
      <c r="K226" s="493"/>
    </row>
    <row r="227" spans="1:11" ht="11.1" customHeight="1" x14ac:dyDescent="0.3">
      <c r="A227" s="493"/>
      <c r="B227" s="493" t="s">
        <v>292</v>
      </c>
      <c r="C227" s="493" t="s">
        <v>293</v>
      </c>
      <c r="D227" s="493"/>
      <c r="E227" s="493"/>
      <c r="F227" s="493"/>
      <c r="G227" s="494">
        <v>1.3</v>
      </c>
      <c r="H227" s="495">
        <v>39</v>
      </c>
      <c r="I227" s="495">
        <v>290</v>
      </c>
      <c r="J227" s="496">
        <v>12.1</v>
      </c>
      <c r="K227" s="493"/>
    </row>
    <row r="228" spans="1:11" ht="11.1" customHeight="1" x14ac:dyDescent="0.3">
      <c r="A228" s="493"/>
      <c r="B228" s="493" t="s">
        <v>294</v>
      </c>
      <c r="C228" s="493" t="s">
        <v>295</v>
      </c>
      <c r="D228" s="493"/>
      <c r="E228" s="493"/>
      <c r="F228" s="493"/>
      <c r="G228" s="494">
        <v>0.7</v>
      </c>
      <c r="H228" s="495">
        <v>21</v>
      </c>
      <c r="I228" s="495">
        <v>270</v>
      </c>
      <c r="J228" s="496">
        <v>25.1</v>
      </c>
      <c r="K228" s="493"/>
    </row>
    <row r="229" spans="1:11" ht="11.1" customHeight="1" x14ac:dyDescent="0.3">
      <c r="A229" s="493"/>
      <c r="B229" s="493"/>
      <c r="C229" s="493"/>
      <c r="D229" s="493"/>
      <c r="E229" s="493"/>
      <c r="F229" s="493"/>
      <c r="G229" s="494"/>
      <c r="H229" s="502"/>
      <c r="I229" s="502"/>
      <c r="J229" s="503"/>
      <c r="K229" s="493"/>
    </row>
    <row r="230" spans="1:11" ht="11.1" customHeight="1" x14ac:dyDescent="0.3">
      <c r="A230" s="497">
        <v>4.3</v>
      </c>
      <c r="B230" s="493" t="s">
        <v>296</v>
      </c>
      <c r="C230" s="493"/>
      <c r="D230" s="493"/>
      <c r="E230" s="493"/>
      <c r="F230" s="493"/>
      <c r="G230" s="494">
        <v>10.7</v>
      </c>
      <c r="H230" s="495">
        <v>314</v>
      </c>
      <c r="I230" s="495">
        <v>4090</v>
      </c>
      <c r="J230" s="496">
        <v>2.1</v>
      </c>
      <c r="K230" s="493"/>
    </row>
    <row r="231" spans="1:11" ht="11.1" customHeight="1" x14ac:dyDescent="0.3">
      <c r="A231" s="493"/>
      <c r="B231" s="493" t="s">
        <v>297</v>
      </c>
      <c r="C231" s="493" t="s">
        <v>298</v>
      </c>
      <c r="D231" s="493"/>
      <c r="E231" s="493"/>
      <c r="F231" s="493"/>
      <c r="G231" s="494">
        <v>8</v>
      </c>
      <c r="H231" s="495">
        <v>234</v>
      </c>
      <c r="I231" s="495">
        <v>4010</v>
      </c>
      <c r="J231" s="496">
        <v>1</v>
      </c>
      <c r="K231" s="493"/>
    </row>
    <row r="232" spans="1:11" ht="11.1" customHeight="1" x14ac:dyDescent="0.3">
      <c r="A232" s="493"/>
      <c r="B232" s="493" t="s">
        <v>299</v>
      </c>
      <c r="C232" s="493" t="s">
        <v>300</v>
      </c>
      <c r="D232" s="493"/>
      <c r="E232" s="493"/>
      <c r="F232" s="493"/>
      <c r="G232" s="494">
        <v>2.7</v>
      </c>
      <c r="H232" s="495">
        <v>78</v>
      </c>
      <c r="I232" s="495">
        <v>530</v>
      </c>
      <c r="J232" s="496">
        <v>6.8</v>
      </c>
      <c r="K232" s="493"/>
    </row>
    <row r="233" spans="1:11" ht="11.1" customHeight="1" x14ac:dyDescent="0.3">
      <c r="A233" s="493"/>
      <c r="B233" s="493" t="s">
        <v>301</v>
      </c>
      <c r="C233" s="493" t="s">
        <v>302</v>
      </c>
      <c r="D233" s="493"/>
      <c r="E233" s="493"/>
      <c r="F233" s="493"/>
      <c r="G233" s="494">
        <v>0.1</v>
      </c>
      <c r="H233" s="495">
        <v>2</v>
      </c>
      <c r="I233" s="495">
        <v>30</v>
      </c>
      <c r="J233" s="496">
        <v>131.5</v>
      </c>
      <c r="K233" s="493"/>
    </row>
    <row r="234" spans="1:11" ht="11.1" customHeight="1" x14ac:dyDescent="0.3">
      <c r="A234" s="493"/>
      <c r="B234" s="493"/>
      <c r="C234" s="493"/>
      <c r="D234" s="493"/>
      <c r="E234" s="493"/>
      <c r="F234" s="493"/>
      <c r="G234" s="494"/>
      <c r="H234" s="502"/>
      <c r="I234" s="502"/>
      <c r="J234" s="503"/>
      <c r="K234" s="493"/>
    </row>
    <row r="235" spans="1:11" ht="11.1" customHeight="1" x14ac:dyDescent="0.3">
      <c r="A235" s="497">
        <v>4.4000000000000004</v>
      </c>
      <c r="B235" s="493" t="s">
        <v>303</v>
      </c>
      <c r="C235" s="493"/>
      <c r="D235" s="493"/>
      <c r="E235" s="493"/>
      <c r="F235" s="493"/>
      <c r="G235" s="494">
        <v>37.1</v>
      </c>
      <c r="H235" s="495">
        <v>1087</v>
      </c>
      <c r="I235" s="495">
        <v>4420</v>
      </c>
      <c r="J235" s="496">
        <v>0.6</v>
      </c>
      <c r="K235" s="493"/>
    </row>
    <row r="236" spans="1:11" ht="11.1" customHeight="1" x14ac:dyDescent="0.3">
      <c r="A236" s="493"/>
      <c r="B236" s="493" t="s">
        <v>304</v>
      </c>
      <c r="C236" s="493" t="s">
        <v>305</v>
      </c>
      <c r="D236" s="493"/>
      <c r="E236" s="493"/>
      <c r="F236" s="493"/>
      <c r="G236" s="494">
        <v>19.3</v>
      </c>
      <c r="H236" s="495">
        <v>564</v>
      </c>
      <c r="I236" s="495">
        <v>4410</v>
      </c>
      <c r="J236" s="496">
        <v>0.7</v>
      </c>
      <c r="K236" s="493"/>
    </row>
    <row r="237" spans="1:11" ht="11.1" customHeight="1" x14ac:dyDescent="0.3">
      <c r="A237" s="493"/>
      <c r="B237" s="493" t="s">
        <v>306</v>
      </c>
      <c r="C237" s="493" t="s">
        <v>307</v>
      </c>
      <c r="D237" s="493"/>
      <c r="E237" s="493"/>
      <c r="F237" s="493"/>
      <c r="G237" s="494">
        <v>15.7</v>
      </c>
      <c r="H237" s="495">
        <v>459</v>
      </c>
      <c r="I237" s="495">
        <v>3610</v>
      </c>
      <c r="J237" s="496">
        <v>0.9</v>
      </c>
      <c r="K237" s="493"/>
    </row>
    <row r="238" spans="1:11" ht="11.1" customHeight="1" x14ac:dyDescent="0.3">
      <c r="A238" s="493"/>
      <c r="B238" s="493"/>
      <c r="C238" s="493"/>
      <c r="D238" s="493"/>
      <c r="E238" s="493"/>
      <c r="F238" s="493"/>
      <c r="G238" s="494"/>
      <c r="H238" s="502"/>
      <c r="I238" s="502"/>
      <c r="J238" s="503"/>
      <c r="K238" s="493"/>
    </row>
    <row r="239" spans="1:11" ht="11.1" customHeight="1" x14ac:dyDescent="0.3">
      <c r="A239" s="493"/>
      <c r="B239" s="493" t="s">
        <v>308</v>
      </c>
      <c r="C239" s="493" t="s">
        <v>309</v>
      </c>
      <c r="D239" s="493"/>
      <c r="E239" s="493"/>
      <c r="F239" s="493"/>
      <c r="G239" s="494">
        <v>2.2000000000000002</v>
      </c>
      <c r="H239" s="495">
        <v>63</v>
      </c>
      <c r="I239" s="495">
        <v>420</v>
      </c>
      <c r="J239" s="496">
        <v>5.6</v>
      </c>
      <c r="K239" s="493"/>
    </row>
    <row r="240" spans="1:11" ht="11.1" customHeight="1" x14ac:dyDescent="0.3">
      <c r="A240" s="493"/>
      <c r="B240" s="493"/>
      <c r="C240" s="493" t="s">
        <v>310</v>
      </c>
      <c r="D240" s="493" t="s">
        <v>311</v>
      </c>
      <c r="E240" s="493"/>
      <c r="F240" s="493"/>
      <c r="G240" s="494">
        <v>0.2</v>
      </c>
      <c r="H240" s="495">
        <v>5</v>
      </c>
      <c r="I240" s="495">
        <v>80</v>
      </c>
      <c r="J240" s="496">
        <v>18.8</v>
      </c>
      <c r="K240" s="493"/>
    </row>
    <row r="241" spans="1:11" ht="11.1" customHeight="1" x14ac:dyDescent="0.3">
      <c r="A241" s="493"/>
      <c r="B241" s="493"/>
      <c r="C241" s="493" t="s">
        <v>312</v>
      </c>
      <c r="D241" s="493" t="s">
        <v>313</v>
      </c>
      <c r="E241" s="493"/>
      <c r="F241" s="493"/>
      <c r="G241" s="494">
        <v>1.6</v>
      </c>
      <c r="H241" s="495">
        <v>47</v>
      </c>
      <c r="I241" s="495">
        <v>280</v>
      </c>
      <c r="J241" s="496">
        <v>6.8</v>
      </c>
      <c r="K241" s="493"/>
    </row>
    <row r="242" spans="1:11" ht="11.1" customHeight="1" x14ac:dyDescent="0.3">
      <c r="A242" s="493"/>
      <c r="B242" s="493"/>
      <c r="C242" s="493" t="s">
        <v>314</v>
      </c>
      <c r="D242" s="493" t="s">
        <v>315</v>
      </c>
      <c r="E242" s="493"/>
      <c r="F242" s="493"/>
      <c r="G242" s="494">
        <v>0.4</v>
      </c>
      <c r="H242" s="495">
        <v>12</v>
      </c>
      <c r="I242" s="495">
        <v>110</v>
      </c>
      <c r="J242" s="496">
        <v>7.2</v>
      </c>
      <c r="K242" s="493"/>
    </row>
    <row r="243" spans="1:11" ht="11.1" customHeight="1" x14ac:dyDescent="0.3">
      <c r="A243" s="493"/>
      <c r="B243" s="493"/>
      <c r="C243" s="493"/>
      <c r="D243" s="493"/>
      <c r="E243" s="493"/>
      <c r="F243" s="493"/>
      <c r="G243" s="494"/>
      <c r="H243" s="502"/>
      <c r="I243" s="502"/>
      <c r="J243" s="503"/>
      <c r="K243" s="493"/>
    </row>
    <row r="244" spans="1:11" ht="11.1" customHeight="1" x14ac:dyDescent="0.3">
      <c r="A244" s="498"/>
      <c r="B244" s="498"/>
      <c r="C244" s="498"/>
      <c r="D244" s="498"/>
      <c r="E244" s="498"/>
      <c r="F244" s="498"/>
      <c r="G244" s="499"/>
      <c r="H244" s="500"/>
      <c r="I244" s="500"/>
      <c r="J244" s="501"/>
      <c r="K244" s="493"/>
    </row>
    <row r="245" spans="1:11" ht="11.1" customHeight="1" x14ac:dyDescent="0.3">
      <c r="A245" s="530">
        <v>5</v>
      </c>
      <c r="B245" s="489" t="s">
        <v>316</v>
      </c>
      <c r="C245" s="489"/>
      <c r="D245" s="489"/>
      <c r="E245" s="489"/>
      <c r="F245" s="489"/>
      <c r="G245" s="490">
        <v>35.5</v>
      </c>
      <c r="H245" s="491">
        <v>1040</v>
      </c>
      <c r="I245" s="491">
        <v>4140</v>
      </c>
      <c r="J245" s="492">
        <v>3.1</v>
      </c>
      <c r="K245" s="493"/>
    </row>
    <row r="246" spans="1:11" ht="11.1" customHeight="1" x14ac:dyDescent="0.3">
      <c r="A246" s="493"/>
      <c r="B246" s="493"/>
      <c r="C246" s="493"/>
      <c r="D246" s="493"/>
      <c r="E246" s="493"/>
      <c r="F246" s="493"/>
      <c r="G246" s="494"/>
      <c r="H246" s="502"/>
      <c r="I246" s="502"/>
      <c r="J246" s="503"/>
      <c r="K246" s="493"/>
    </row>
    <row r="247" spans="1:11" ht="11.1" customHeight="1" x14ac:dyDescent="0.3">
      <c r="A247" s="497">
        <v>5.0999999999999996</v>
      </c>
      <c r="B247" s="493" t="s">
        <v>317</v>
      </c>
      <c r="C247" s="493"/>
      <c r="D247" s="493"/>
      <c r="E247" s="493"/>
      <c r="F247" s="493"/>
      <c r="G247" s="494">
        <v>16.8</v>
      </c>
      <c r="H247" s="495">
        <v>491</v>
      </c>
      <c r="I247" s="495">
        <v>1480</v>
      </c>
      <c r="J247" s="496">
        <v>5.4</v>
      </c>
      <c r="K247" s="493"/>
    </row>
    <row r="248" spans="1:11" ht="11.1" customHeight="1" x14ac:dyDescent="0.3">
      <c r="A248" s="493"/>
      <c r="B248" s="493" t="s">
        <v>318</v>
      </c>
      <c r="C248" s="493" t="s">
        <v>319</v>
      </c>
      <c r="D248" s="493"/>
      <c r="E248" s="493"/>
      <c r="F248" s="493"/>
      <c r="G248" s="494">
        <v>13.6</v>
      </c>
      <c r="H248" s="495">
        <v>398</v>
      </c>
      <c r="I248" s="495">
        <v>1250</v>
      </c>
      <c r="J248" s="496">
        <v>5.9</v>
      </c>
      <c r="K248" s="493"/>
    </row>
    <row r="249" spans="1:11" ht="11.1" customHeight="1" x14ac:dyDescent="0.3">
      <c r="A249" s="493"/>
      <c r="B249" s="493"/>
      <c r="C249" s="493" t="s">
        <v>320</v>
      </c>
      <c r="D249" s="493" t="s">
        <v>321</v>
      </c>
      <c r="E249" s="493"/>
      <c r="F249" s="493"/>
      <c r="G249" s="494">
        <v>12.1</v>
      </c>
      <c r="H249" s="495">
        <v>356</v>
      </c>
      <c r="I249" s="495">
        <v>790</v>
      </c>
      <c r="J249" s="496">
        <v>6.2</v>
      </c>
      <c r="K249" s="493"/>
    </row>
    <row r="250" spans="1:11" ht="11.1" customHeight="1" x14ac:dyDescent="0.3">
      <c r="A250" s="493"/>
      <c r="B250" s="493"/>
      <c r="C250" s="493" t="s">
        <v>322</v>
      </c>
      <c r="D250" s="493" t="s">
        <v>323</v>
      </c>
      <c r="E250" s="493"/>
      <c r="F250" s="493"/>
      <c r="G250" s="494">
        <v>0.9</v>
      </c>
      <c r="H250" s="495">
        <v>25</v>
      </c>
      <c r="I250" s="495">
        <v>540</v>
      </c>
      <c r="J250" s="496">
        <v>21.4</v>
      </c>
      <c r="K250" s="493"/>
    </row>
    <row r="251" spans="1:11" ht="11.1" customHeight="1" x14ac:dyDescent="0.3">
      <c r="A251" s="493"/>
      <c r="B251" s="493"/>
      <c r="C251" s="493" t="s">
        <v>324</v>
      </c>
      <c r="D251" s="493" t="s">
        <v>325</v>
      </c>
      <c r="E251" s="493"/>
      <c r="F251" s="493"/>
      <c r="G251" s="494">
        <v>0.6</v>
      </c>
      <c r="H251" s="495">
        <v>17</v>
      </c>
      <c r="I251" s="495">
        <v>50</v>
      </c>
      <c r="J251" s="496">
        <v>13.5</v>
      </c>
      <c r="K251" s="493"/>
    </row>
    <row r="252" spans="1:11" ht="11.1" customHeight="1" x14ac:dyDescent="0.3">
      <c r="A252" s="493"/>
      <c r="B252" s="493"/>
      <c r="C252" s="493"/>
      <c r="D252" s="493"/>
      <c r="E252" s="493"/>
      <c r="F252" s="493"/>
      <c r="G252" s="494"/>
      <c r="H252" s="502"/>
      <c r="I252" s="502"/>
      <c r="J252" s="503"/>
      <c r="K252" s="493"/>
    </row>
    <row r="253" spans="1:11" ht="11.1" customHeight="1" x14ac:dyDescent="0.3">
      <c r="A253" s="493"/>
      <c r="B253" s="493" t="s">
        <v>326</v>
      </c>
      <c r="C253" s="493" t="s">
        <v>327</v>
      </c>
      <c r="D253" s="493"/>
      <c r="E253" s="493"/>
      <c r="F253" s="493"/>
      <c r="G253" s="494">
        <v>3.2</v>
      </c>
      <c r="H253" s="495">
        <v>93</v>
      </c>
      <c r="I253" s="495">
        <v>430</v>
      </c>
      <c r="J253" s="496">
        <v>10.1</v>
      </c>
      <c r="K253" s="493"/>
    </row>
    <row r="254" spans="1:11" ht="11.1" customHeight="1" x14ac:dyDescent="0.3">
      <c r="A254" s="493"/>
      <c r="B254" s="493"/>
      <c r="C254" s="493" t="s">
        <v>328</v>
      </c>
      <c r="D254" s="493" t="s">
        <v>329</v>
      </c>
      <c r="E254" s="493"/>
      <c r="F254" s="493"/>
      <c r="G254" s="494">
        <v>2.8</v>
      </c>
      <c r="H254" s="495">
        <v>82</v>
      </c>
      <c r="I254" s="495">
        <v>410</v>
      </c>
      <c r="J254" s="496">
        <v>10.1</v>
      </c>
      <c r="K254" s="493"/>
    </row>
    <row r="255" spans="1:11" ht="11.1" customHeight="1" x14ac:dyDescent="0.3">
      <c r="A255" s="493"/>
      <c r="B255" s="493"/>
      <c r="C255" s="493" t="s">
        <v>330</v>
      </c>
      <c r="D255" s="493" t="s">
        <v>331</v>
      </c>
      <c r="E255" s="493"/>
      <c r="F255" s="493"/>
      <c r="G255" s="494">
        <v>0.4</v>
      </c>
      <c r="H255" s="495">
        <v>11</v>
      </c>
      <c r="I255" s="495">
        <v>20</v>
      </c>
      <c r="J255" s="496">
        <v>38.700000000000003</v>
      </c>
      <c r="K255" s="493"/>
    </row>
    <row r="256" spans="1:11" ht="11.1" customHeight="1" x14ac:dyDescent="0.3">
      <c r="A256" s="493"/>
      <c r="B256" s="493"/>
      <c r="C256" s="493"/>
      <c r="D256" s="493"/>
      <c r="E256" s="493"/>
      <c r="F256" s="493"/>
      <c r="G256" s="494"/>
      <c r="H256" s="502"/>
      <c r="I256" s="502"/>
      <c r="J256" s="503"/>
      <c r="K256" s="493"/>
    </row>
    <row r="257" spans="1:11" ht="11.1" customHeight="1" x14ac:dyDescent="0.3">
      <c r="A257" s="497">
        <v>5.2</v>
      </c>
      <c r="B257" s="493" t="s">
        <v>332</v>
      </c>
      <c r="C257" s="493"/>
      <c r="D257" s="493"/>
      <c r="E257" s="493"/>
      <c r="F257" s="493"/>
      <c r="G257" s="494">
        <v>2.2999999999999998</v>
      </c>
      <c r="H257" s="495">
        <v>66</v>
      </c>
      <c r="I257" s="495">
        <v>800</v>
      </c>
      <c r="J257" s="496">
        <v>5.8</v>
      </c>
      <c r="K257" s="493"/>
    </row>
    <row r="258" spans="1:11" ht="11.1" customHeight="1" x14ac:dyDescent="0.3">
      <c r="A258" s="493"/>
      <c r="B258" s="493" t="s">
        <v>333</v>
      </c>
      <c r="C258" s="493" t="s">
        <v>334</v>
      </c>
      <c r="D258" s="493"/>
      <c r="E258" s="493"/>
      <c r="F258" s="493"/>
      <c r="G258" s="494">
        <v>0.8</v>
      </c>
      <c r="H258" s="495">
        <v>24</v>
      </c>
      <c r="I258" s="495">
        <v>310</v>
      </c>
      <c r="J258" s="496">
        <v>7.1</v>
      </c>
      <c r="K258" s="493"/>
    </row>
    <row r="259" spans="1:11" ht="11.1" customHeight="1" x14ac:dyDescent="0.3">
      <c r="A259" s="493"/>
      <c r="B259" s="493" t="s">
        <v>335</v>
      </c>
      <c r="C259" s="493" t="s">
        <v>336</v>
      </c>
      <c r="D259" s="493"/>
      <c r="E259" s="493"/>
      <c r="F259" s="493"/>
      <c r="G259" s="494">
        <v>1.4</v>
      </c>
      <c r="H259" s="495">
        <v>42</v>
      </c>
      <c r="I259" s="495">
        <v>800</v>
      </c>
      <c r="J259" s="496">
        <v>7.7</v>
      </c>
      <c r="K259" s="493"/>
    </row>
    <row r="260" spans="1:11" ht="11.1" customHeight="1" x14ac:dyDescent="0.3">
      <c r="A260" s="498"/>
      <c r="B260" s="498"/>
      <c r="C260" s="498"/>
      <c r="D260" s="498"/>
      <c r="E260" s="498"/>
      <c r="F260" s="498"/>
      <c r="G260" s="499"/>
      <c r="H260" s="500"/>
      <c r="I260" s="500"/>
      <c r="J260" s="501"/>
      <c r="K260" s="493"/>
    </row>
    <row r="261" spans="1:11" ht="11.1" customHeight="1" x14ac:dyDescent="0.3">
      <c r="A261" s="493"/>
      <c r="B261" s="493"/>
      <c r="C261" s="493"/>
      <c r="D261" s="493"/>
      <c r="E261" s="493"/>
      <c r="F261" s="493"/>
      <c r="G261" s="494"/>
      <c r="H261" s="502"/>
      <c r="I261" s="502"/>
      <c r="J261" s="503"/>
      <c r="K261" s="493"/>
    </row>
    <row r="262" spans="1:11" ht="11.1" customHeight="1" x14ac:dyDescent="0.3">
      <c r="A262" s="544" t="s">
        <v>111</v>
      </c>
      <c r="B262" s="493"/>
      <c r="C262" s="493"/>
      <c r="D262" s="493"/>
      <c r="E262" s="493"/>
      <c r="F262" s="493"/>
      <c r="G262" s="494"/>
      <c r="H262" s="502"/>
      <c r="I262" s="502"/>
      <c r="J262" s="503"/>
      <c r="K262" s="493"/>
    </row>
    <row r="263" spans="1:11" ht="11.1" customHeight="1" x14ac:dyDescent="0.3">
      <c r="A263" s="544" t="s">
        <v>182</v>
      </c>
      <c r="B263" s="493"/>
      <c r="C263" s="493"/>
      <c r="D263" s="493"/>
      <c r="E263" s="493"/>
      <c r="F263" s="493"/>
      <c r="G263" s="494"/>
      <c r="H263" s="502"/>
      <c r="I263" s="502"/>
      <c r="J263" s="503"/>
      <c r="K263" s="493"/>
    </row>
    <row r="264" spans="1:11" ht="11.1" customHeight="1" x14ac:dyDescent="0.3">
      <c r="A264" s="544" t="s">
        <v>112</v>
      </c>
      <c r="B264" s="493"/>
      <c r="C264" s="493"/>
      <c r="D264" s="493"/>
      <c r="E264" s="493"/>
      <c r="F264" s="493"/>
      <c r="G264" s="494"/>
      <c r="H264" s="502"/>
      <c r="I264" s="502"/>
      <c r="J264" s="503"/>
      <c r="K264" s="493"/>
    </row>
    <row r="265" spans="1:11" ht="11.1" customHeight="1" x14ac:dyDescent="0.3">
      <c r="A265" s="544" t="s">
        <v>1152</v>
      </c>
      <c r="B265" s="493"/>
      <c r="C265" s="493"/>
      <c r="D265" s="493"/>
      <c r="E265" s="493"/>
      <c r="F265" s="493"/>
      <c r="G265" s="494"/>
      <c r="H265" s="502"/>
      <c r="I265" s="502"/>
      <c r="J265" s="503"/>
      <c r="K265" s="493"/>
    </row>
    <row r="266" spans="1:11" ht="11.1" customHeight="1" x14ac:dyDescent="0.3">
      <c r="A266" s="544" t="s">
        <v>338</v>
      </c>
      <c r="B266" s="493"/>
      <c r="C266" s="493"/>
      <c r="D266" s="493"/>
      <c r="E266" s="493"/>
      <c r="F266" s="493"/>
      <c r="G266" s="494"/>
      <c r="H266" s="502"/>
      <c r="I266" s="502"/>
      <c r="J266" s="503"/>
      <c r="K266" s="493"/>
    </row>
    <row r="271" spans="1:11" ht="13.95" customHeight="1" x14ac:dyDescent="0.3">
      <c r="A271" s="446" t="s">
        <v>114</v>
      </c>
      <c r="B271" s="536"/>
      <c r="C271" s="537"/>
      <c r="D271" s="538"/>
      <c r="E271" s="538"/>
      <c r="F271" s="537"/>
      <c r="G271" s="517"/>
      <c r="H271" s="518"/>
      <c r="I271" s="518"/>
      <c r="J271" s="506"/>
      <c r="K271" s="535"/>
    </row>
    <row r="272" spans="1:11" ht="17.399999999999999" customHeight="1" x14ac:dyDescent="0.3">
      <c r="A272" s="507" t="s">
        <v>183</v>
      </c>
      <c r="B272" s="508"/>
      <c r="C272" s="444"/>
      <c r="D272" s="445"/>
      <c r="E272" s="445"/>
      <c r="F272" s="446"/>
      <c r="G272" s="540"/>
      <c r="H272" s="541"/>
      <c r="I272" s="541"/>
      <c r="J272" s="512"/>
      <c r="K272" s="539"/>
    </row>
    <row r="273" spans="1:11" ht="16.2" customHeight="1" x14ac:dyDescent="0.3">
      <c r="A273" s="513" t="s">
        <v>1351</v>
      </c>
      <c r="B273" s="514"/>
      <c r="C273" s="455"/>
      <c r="D273" s="456"/>
      <c r="E273" s="445"/>
      <c r="F273" s="446"/>
      <c r="G273" s="540"/>
      <c r="H273" s="541"/>
      <c r="I273" s="541"/>
      <c r="J273" s="512"/>
      <c r="K273" s="539"/>
    </row>
    <row r="274" spans="1:11" ht="11.1" customHeight="1" x14ac:dyDescent="0.3">
      <c r="A274" s="474"/>
      <c r="B274" s="474"/>
      <c r="C274" s="475"/>
      <c r="D274" s="475"/>
      <c r="E274" s="475"/>
      <c r="F274" s="475"/>
      <c r="G274" s="476"/>
      <c r="H274" s="477"/>
      <c r="I274" s="477"/>
      <c r="J274" s="478"/>
      <c r="K274" s="529"/>
    </row>
    <row r="275" spans="1:11" ht="11.1" customHeight="1" x14ac:dyDescent="0.3">
      <c r="A275" s="464"/>
      <c r="B275" s="464"/>
      <c r="C275" s="465"/>
      <c r="D275" s="465"/>
      <c r="E275" s="465"/>
      <c r="F275" s="465"/>
      <c r="G275" s="517"/>
      <c r="H275" s="518"/>
      <c r="I275" s="518"/>
      <c r="J275" s="519"/>
      <c r="K275" s="529"/>
    </row>
    <row r="276" spans="1:11" ht="11.1" customHeight="1" x14ac:dyDescent="0.3">
      <c r="A276" s="520"/>
      <c r="B276" s="520"/>
      <c r="C276" s="521"/>
      <c r="D276" s="521"/>
      <c r="E276" s="521"/>
      <c r="F276" s="469"/>
      <c r="G276" s="470" t="s">
        <v>116</v>
      </c>
      <c r="H276" s="471" t="s">
        <v>25</v>
      </c>
      <c r="I276" s="471" t="s">
        <v>26</v>
      </c>
      <c r="J276" s="472" t="s">
        <v>117</v>
      </c>
      <c r="K276" s="542"/>
    </row>
    <row r="277" spans="1:11" ht="11.1" customHeight="1" x14ac:dyDescent="0.3">
      <c r="A277" s="520"/>
      <c r="B277" s="520"/>
      <c r="C277" s="521"/>
      <c r="D277" s="521"/>
      <c r="E277" s="521"/>
      <c r="F277" s="469"/>
      <c r="G277" s="473" t="s">
        <v>29</v>
      </c>
      <c r="H277" s="471" t="s">
        <v>27</v>
      </c>
      <c r="I277" s="471" t="s">
        <v>28</v>
      </c>
      <c r="J277" s="472" t="s">
        <v>118</v>
      </c>
      <c r="K277" s="542"/>
    </row>
    <row r="278" spans="1:11" ht="11.1" customHeight="1" x14ac:dyDescent="0.3">
      <c r="A278" s="520"/>
      <c r="B278" s="520"/>
      <c r="C278" s="521"/>
      <c r="D278" s="521"/>
      <c r="E278" s="521"/>
      <c r="F278" s="469"/>
      <c r="G278" s="470" t="s">
        <v>31</v>
      </c>
      <c r="H278" s="471" t="s">
        <v>29</v>
      </c>
      <c r="I278" s="471" t="s">
        <v>30</v>
      </c>
      <c r="J278" s="472" t="s">
        <v>119</v>
      </c>
      <c r="K278" s="542"/>
    </row>
    <row r="279" spans="1:11" ht="11.1" customHeight="1" x14ac:dyDescent="0.3">
      <c r="A279" s="520"/>
      <c r="B279" s="520"/>
      <c r="C279" s="521"/>
      <c r="D279" s="521"/>
      <c r="E279" s="521"/>
      <c r="F279" s="469"/>
      <c r="G279" s="473" t="s">
        <v>32</v>
      </c>
      <c r="H279" s="471" t="s">
        <v>33</v>
      </c>
      <c r="I279" s="471" t="s">
        <v>120</v>
      </c>
      <c r="J279" s="472" t="s">
        <v>121</v>
      </c>
      <c r="K279" s="542"/>
    </row>
    <row r="280" spans="1:11" ht="11.1" customHeight="1" x14ac:dyDescent="0.3">
      <c r="A280" s="474"/>
      <c r="B280" s="474"/>
      <c r="C280" s="475"/>
      <c r="D280" s="475"/>
      <c r="E280" s="475"/>
      <c r="F280" s="475"/>
      <c r="G280" s="476"/>
      <c r="H280" s="477"/>
      <c r="I280" s="477"/>
      <c r="J280" s="478"/>
      <c r="K280" s="529"/>
    </row>
    <row r="281" spans="1:11" ht="11.1" customHeight="1" x14ac:dyDescent="0.3">
      <c r="A281" s="536"/>
      <c r="B281" s="464"/>
      <c r="C281" s="517"/>
      <c r="D281" s="517"/>
      <c r="E281" s="517"/>
      <c r="F281" s="465"/>
      <c r="G281" s="517"/>
      <c r="H281" s="518"/>
      <c r="I281" s="518"/>
      <c r="J281" s="519"/>
      <c r="K281" s="529"/>
    </row>
    <row r="282" spans="1:11" ht="11.1" customHeight="1" x14ac:dyDescent="0.3">
      <c r="A282" s="488" t="s">
        <v>123</v>
      </c>
      <c r="B282" s="522"/>
      <c r="C282" s="523"/>
      <c r="D282" s="524"/>
      <c r="E282" s="524"/>
      <c r="F282" s="525" t="s">
        <v>124</v>
      </c>
      <c r="G282" s="526"/>
      <c r="H282" s="527"/>
      <c r="I282" s="527"/>
      <c r="J282" s="528"/>
      <c r="K282" s="529"/>
    </row>
    <row r="283" spans="1:11" ht="11.1" customHeight="1" x14ac:dyDescent="0.3">
      <c r="A283" s="493"/>
      <c r="B283" s="493"/>
      <c r="C283" s="493"/>
      <c r="D283" s="493"/>
      <c r="E283" s="493"/>
      <c r="F283" s="493"/>
      <c r="G283" s="494"/>
      <c r="H283" s="502"/>
      <c r="I283" s="502"/>
      <c r="J283" s="503"/>
      <c r="K283" s="493"/>
    </row>
    <row r="284" spans="1:11" ht="11.1" customHeight="1" x14ac:dyDescent="0.3">
      <c r="A284" s="530">
        <v>5</v>
      </c>
      <c r="B284" s="489" t="s">
        <v>339</v>
      </c>
      <c r="C284" s="489"/>
      <c r="D284" s="489"/>
      <c r="E284" s="489"/>
      <c r="F284" s="489"/>
      <c r="G284" s="490"/>
      <c r="H284" s="502"/>
      <c r="I284" s="502"/>
      <c r="J284" s="503"/>
      <c r="K284" s="493"/>
    </row>
    <row r="285" spans="1:11" ht="11.1" customHeight="1" x14ac:dyDescent="0.3">
      <c r="A285" s="493"/>
      <c r="B285" s="493"/>
      <c r="C285" s="493"/>
      <c r="D285" s="493"/>
      <c r="E285" s="493"/>
      <c r="F285" s="493"/>
      <c r="G285" s="494"/>
      <c r="H285" s="502"/>
      <c r="I285" s="502"/>
      <c r="J285" s="503"/>
      <c r="K285" s="493"/>
    </row>
    <row r="286" spans="1:11" ht="11.1" customHeight="1" x14ac:dyDescent="0.3">
      <c r="A286" s="497">
        <v>5.3</v>
      </c>
      <c r="B286" s="493" t="s">
        <v>340</v>
      </c>
      <c r="C286" s="493"/>
      <c r="D286" s="493"/>
      <c r="E286" s="493"/>
      <c r="F286" s="493"/>
      <c r="G286" s="494">
        <v>5</v>
      </c>
      <c r="H286" s="495">
        <v>148</v>
      </c>
      <c r="I286" s="495">
        <v>360</v>
      </c>
      <c r="J286" s="496">
        <v>7.9</v>
      </c>
      <c r="K286" s="493"/>
    </row>
    <row r="287" spans="1:11" ht="11.1" customHeight="1" x14ac:dyDescent="0.3">
      <c r="A287" s="493"/>
      <c r="B287" s="493" t="s">
        <v>341</v>
      </c>
      <c r="C287" s="493" t="s">
        <v>342</v>
      </c>
      <c r="D287" s="493"/>
      <c r="E287" s="493"/>
      <c r="F287" s="493"/>
      <c r="G287" s="494" t="s">
        <v>230</v>
      </c>
      <c r="H287" s="495" t="s">
        <v>230</v>
      </c>
      <c r="I287" s="495" t="s">
        <v>230</v>
      </c>
      <c r="J287" s="496" t="s">
        <v>230</v>
      </c>
      <c r="K287" s="493"/>
    </row>
    <row r="288" spans="1:11" ht="11.1" customHeight="1" x14ac:dyDescent="0.3">
      <c r="A288" s="493"/>
      <c r="B288" s="493" t="s">
        <v>343</v>
      </c>
      <c r="C288" s="493" t="s">
        <v>344</v>
      </c>
      <c r="D288" s="493"/>
      <c r="E288" s="493"/>
      <c r="F288" s="493"/>
      <c r="G288" s="494">
        <v>0.7</v>
      </c>
      <c r="H288" s="495">
        <v>22</v>
      </c>
      <c r="I288" s="495">
        <v>20</v>
      </c>
      <c r="J288" s="496">
        <v>3.3</v>
      </c>
      <c r="K288" s="493"/>
    </row>
    <row r="289" spans="1:11" ht="11.1" customHeight="1" x14ac:dyDescent="0.3">
      <c r="A289" s="493"/>
      <c r="B289" s="493" t="s">
        <v>345</v>
      </c>
      <c r="C289" s="493" t="s">
        <v>346</v>
      </c>
      <c r="D289" s="493"/>
      <c r="E289" s="493"/>
      <c r="F289" s="493"/>
      <c r="G289" s="494">
        <v>0.4</v>
      </c>
      <c r="H289" s="495">
        <v>11</v>
      </c>
      <c r="I289" s="495">
        <v>30</v>
      </c>
      <c r="J289" s="496">
        <v>31.8</v>
      </c>
      <c r="K289" s="493"/>
    </row>
    <row r="290" spans="1:11" ht="11.1" customHeight="1" x14ac:dyDescent="0.3">
      <c r="A290" s="493"/>
      <c r="B290" s="493" t="s">
        <v>347</v>
      </c>
      <c r="C290" s="493" t="s">
        <v>348</v>
      </c>
      <c r="D290" s="493"/>
      <c r="E290" s="493"/>
      <c r="F290" s="493"/>
      <c r="G290" s="494">
        <v>1</v>
      </c>
      <c r="H290" s="495">
        <v>28</v>
      </c>
      <c r="I290" s="495">
        <v>40</v>
      </c>
      <c r="J290" s="496">
        <v>10.5</v>
      </c>
      <c r="K290" s="493"/>
    </row>
    <row r="291" spans="1:11" ht="11.1" customHeight="1" x14ac:dyDescent="0.3">
      <c r="A291" s="493"/>
      <c r="B291" s="493" t="s">
        <v>349</v>
      </c>
      <c r="C291" s="493" t="s">
        <v>350</v>
      </c>
      <c r="D291" s="493"/>
      <c r="E291" s="493"/>
      <c r="F291" s="493"/>
      <c r="G291" s="494"/>
      <c r="H291" s="502"/>
      <c r="I291" s="502"/>
      <c r="J291" s="503"/>
      <c r="K291" s="493"/>
    </row>
    <row r="292" spans="1:11" ht="11.1" customHeight="1" x14ac:dyDescent="0.3">
      <c r="A292" s="493"/>
      <c r="B292" s="493"/>
      <c r="C292" s="493" t="s">
        <v>351</v>
      </c>
      <c r="D292" s="493"/>
      <c r="E292" s="493"/>
      <c r="F292" s="493"/>
      <c r="G292" s="494">
        <v>1.7</v>
      </c>
      <c r="H292" s="495">
        <v>48</v>
      </c>
      <c r="I292" s="495">
        <v>130</v>
      </c>
      <c r="J292" s="496">
        <v>21.2</v>
      </c>
      <c r="K292" s="493"/>
    </row>
    <row r="293" spans="1:11" ht="11.1" customHeight="1" x14ac:dyDescent="0.3">
      <c r="A293" s="493"/>
      <c r="B293" s="493" t="s">
        <v>352</v>
      </c>
      <c r="C293" s="493" t="s">
        <v>353</v>
      </c>
      <c r="D293" s="493"/>
      <c r="E293" s="493"/>
      <c r="F293" s="493"/>
      <c r="G293" s="494" t="s">
        <v>230</v>
      </c>
      <c r="H293" s="495" t="s">
        <v>230</v>
      </c>
      <c r="I293" s="495" t="s">
        <v>230</v>
      </c>
      <c r="J293" s="496" t="s">
        <v>230</v>
      </c>
      <c r="K293" s="493"/>
    </row>
    <row r="294" spans="1:11" ht="11.1" customHeight="1" x14ac:dyDescent="0.3">
      <c r="A294" s="493"/>
      <c r="B294" s="493" t="s">
        <v>354</v>
      </c>
      <c r="C294" s="493" t="s">
        <v>355</v>
      </c>
      <c r="D294" s="493"/>
      <c r="E294" s="493"/>
      <c r="F294" s="493"/>
      <c r="G294" s="494">
        <v>0.8</v>
      </c>
      <c r="H294" s="495">
        <v>23</v>
      </c>
      <c r="I294" s="495">
        <v>120</v>
      </c>
      <c r="J294" s="496">
        <v>11.3</v>
      </c>
      <c r="K294" s="493"/>
    </row>
    <row r="295" spans="1:11" ht="11.1" customHeight="1" x14ac:dyDescent="0.3">
      <c r="A295" s="493"/>
      <c r="B295" s="493" t="s">
        <v>356</v>
      </c>
      <c r="C295" s="493" t="s">
        <v>357</v>
      </c>
      <c r="D295" s="493"/>
      <c r="E295" s="493"/>
      <c r="F295" s="493"/>
      <c r="G295" s="494">
        <v>0.5</v>
      </c>
      <c r="H295" s="495">
        <v>14</v>
      </c>
      <c r="I295" s="495">
        <v>40</v>
      </c>
      <c r="J295" s="496">
        <v>18.3</v>
      </c>
      <c r="K295" s="493"/>
    </row>
    <row r="296" spans="1:11" ht="11.1" customHeight="1" x14ac:dyDescent="0.3">
      <c r="A296" s="493"/>
      <c r="B296" s="493" t="s">
        <v>358</v>
      </c>
      <c r="C296" s="493" t="s">
        <v>359</v>
      </c>
      <c r="D296" s="493"/>
      <c r="E296" s="493"/>
      <c r="F296" s="493"/>
      <c r="G296" s="494" t="s">
        <v>230</v>
      </c>
      <c r="H296" s="495" t="s">
        <v>230</v>
      </c>
      <c r="I296" s="495" t="s">
        <v>230</v>
      </c>
      <c r="J296" s="496" t="s">
        <v>230</v>
      </c>
      <c r="K296" s="493"/>
    </row>
    <row r="297" spans="1:11" ht="11.1" customHeight="1" x14ac:dyDescent="0.3">
      <c r="A297" s="493"/>
      <c r="B297" s="493"/>
      <c r="C297" s="493"/>
      <c r="D297" s="493"/>
      <c r="E297" s="493"/>
      <c r="F297" s="493"/>
      <c r="G297" s="494"/>
      <c r="H297" s="502"/>
      <c r="I297" s="502"/>
      <c r="J297" s="503"/>
      <c r="K297" s="493"/>
    </row>
    <row r="298" spans="1:11" ht="11.1" customHeight="1" x14ac:dyDescent="0.3">
      <c r="A298" s="497">
        <v>5.4</v>
      </c>
      <c r="B298" s="493" t="s">
        <v>360</v>
      </c>
      <c r="C298" s="493"/>
      <c r="D298" s="493"/>
      <c r="E298" s="493"/>
      <c r="F298" s="493"/>
      <c r="G298" s="494">
        <v>1.9</v>
      </c>
      <c r="H298" s="495">
        <v>55</v>
      </c>
      <c r="I298" s="495">
        <v>1300</v>
      </c>
      <c r="J298" s="496">
        <v>3.8</v>
      </c>
      <c r="K298" s="493"/>
    </row>
    <row r="299" spans="1:11" ht="11.1" customHeight="1" x14ac:dyDescent="0.3">
      <c r="A299" s="493"/>
      <c r="B299" s="493" t="s">
        <v>361</v>
      </c>
      <c r="C299" s="493" t="s">
        <v>362</v>
      </c>
      <c r="D299" s="493"/>
      <c r="E299" s="493"/>
      <c r="F299" s="493"/>
      <c r="G299" s="494">
        <v>0.5</v>
      </c>
      <c r="H299" s="495">
        <v>15</v>
      </c>
      <c r="I299" s="495">
        <v>490</v>
      </c>
      <c r="J299" s="496">
        <v>6.7</v>
      </c>
      <c r="K299" s="493"/>
    </row>
    <row r="300" spans="1:11" ht="11.1" customHeight="1" x14ac:dyDescent="0.3">
      <c r="A300" s="493"/>
      <c r="B300" s="493" t="s">
        <v>363</v>
      </c>
      <c r="C300" s="493" t="s">
        <v>364</v>
      </c>
      <c r="D300" s="493"/>
      <c r="E300" s="493"/>
      <c r="F300" s="493"/>
      <c r="G300" s="494">
        <v>0.7</v>
      </c>
      <c r="H300" s="495">
        <v>22</v>
      </c>
      <c r="I300" s="495">
        <v>760</v>
      </c>
      <c r="J300" s="496">
        <v>5.9</v>
      </c>
      <c r="K300" s="493"/>
    </row>
    <row r="301" spans="1:11" ht="11.1" customHeight="1" x14ac:dyDescent="0.3">
      <c r="A301" s="493"/>
      <c r="B301" s="493" t="s">
        <v>365</v>
      </c>
      <c r="C301" s="493" t="s">
        <v>366</v>
      </c>
      <c r="D301" s="493"/>
      <c r="E301" s="493"/>
      <c r="F301" s="493"/>
      <c r="G301" s="494" t="s">
        <v>230</v>
      </c>
      <c r="H301" s="495" t="s">
        <v>230</v>
      </c>
      <c r="I301" s="495" t="s">
        <v>230</v>
      </c>
      <c r="J301" s="496" t="s">
        <v>230</v>
      </c>
      <c r="K301" s="493"/>
    </row>
    <row r="302" spans="1:11" ht="11.1" customHeight="1" x14ac:dyDescent="0.3">
      <c r="A302" s="493"/>
      <c r="B302" s="493" t="s">
        <v>368</v>
      </c>
      <c r="C302" s="493" t="s">
        <v>369</v>
      </c>
      <c r="D302" s="493"/>
      <c r="E302" s="493"/>
      <c r="F302" s="493"/>
      <c r="G302" s="494">
        <v>0.6</v>
      </c>
      <c r="H302" s="495">
        <v>19</v>
      </c>
      <c r="I302" s="495">
        <v>410</v>
      </c>
      <c r="J302" s="496">
        <v>6</v>
      </c>
      <c r="K302" s="493"/>
    </row>
    <row r="303" spans="1:11" ht="11.1" customHeight="1" x14ac:dyDescent="0.3">
      <c r="A303" s="493"/>
      <c r="B303" s="493"/>
      <c r="C303" s="493"/>
      <c r="D303" s="493"/>
      <c r="E303" s="493"/>
      <c r="F303" s="493"/>
      <c r="G303" s="494"/>
      <c r="H303" s="502"/>
      <c r="I303" s="502"/>
      <c r="J303" s="503"/>
      <c r="K303" s="493"/>
    </row>
    <row r="304" spans="1:11" ht="11.1" customHeight="1" x14ac:dyDescent="0.3">
      <c r="A304" s="497">
        <v>5.5</v>
      </c>
      <c r="B304" s="493" t="s">
        <v>370</v>
      </c>
      <c r="C304" s="493"/>
      <c r="D304" s="493"/>
      <c r="E304" s="493"/>
      <c r="F304" s="493"/>
      <c r="G304" s="494">
        <v>3.1</v>
      </c>
      <c r="H304" s="495">
        <v>91</v>
      </c>
      <c r="I304" s="495">
        <v>1210</v>
      </c>
      <c r="J304" s="496">
        <v>5.0999999999999996</v>
      </c>
      <c r="K304" s="493"/>
    </row>
    <row r="305" spans="1:11" ht="11.1" customHeight="1" x14ac:dyDescent="0.3">
      <c r="A305" s="493"/>
      <c r="B305" s="493" t="s">
        <v>371</v>
      </c>
      <c r="C305" s="493" t="s">
        <v>372</v>
      </c>
      <c r="D305" s="493"/>
      <c r="E305" s="493"/>
      <c r="F305" s="493"/>
      <c r="G305" s="494">
        <v>0.5</v>
      </c>
      <c r="H305" s="495">
        <v>14</v>
      </c>
      <c r="I305" s="495">
        <v>70</v>
      </c>
      <c r="J305" s="496">
        <v>13.8</v>
      </c>
      <c r="K305" s="493"/>
    </row>
    <row r="306" spans="1:11" ht="11.1" customHeight="1" x14ac:dyDescent="0.3">
      <c r="A306" s="493"/>
      <c r="B306" s="493" t="s">
        <v>373</v>
      </c>
      <c r="C306" s="493" t="s">
        <v>374</v>
      </c>
      <c r="D306" s="493"/>
      <c r="E306" s="493"/>
      <c r="F306" s="493"/>
      <c r="G306" s="494">
        <v>0.4</v>
      </c>
      <c r="H306" s="495">
        <v>11</v>
      </c>
      <c r="I306" s="495">
        <v>220</v>
      </c>
      <c r="J306" s="496">
        <v>15.7</v>
      </c>
      <c r="K306" s="493"/>
    </row>
    <row r="307" spans="1:11" ht="11.1" customHeight="1" x14ac:dyDescent="0.3">
      <c r="A307" s="493"/>
      <c r="B307" s="493" t="s">
        <v>375</v>
      </c>
      <c r="C307" s="493" t="s">
        <v>376</v>
      </c>
      <c r="D307" s="493"/>
      <c r="E307" s="493"/>
      <c r="F307" s="493"/>
      <c r="G307" s="494">
        <v>0.4</v>
      </c>
      <c r="H307" s="495">
        <v>12</v>
      </c>
      <c r="I307" s="495">
        <v>280</v>
      </c>
      <c r="J307" s="496">
        <v>11.9</v>
      </c>
      <c r="K307" s="493"/>
    </row>
    <row r="308" spans="1:11" ht="11.1" customHeight="1" x14ac:dyDescent="0.3">
      <c r="A308" s="493"/>
      <c r="B308" s="493" t="s">
        <v>377</v>
      </c>
      <c r="C308" s="493" t="s">
        <v>378</v>
      </c>
      <c r="D308" s="493"/>
      <c r="E308" s="493"/>
      <c r="F308" s="493"/>
      <c r="G308" s="494">
        <v>0.9</v>
      </c>
      <c r="H308" s="495">
        <v>26</v>
      </c>
      <c r="I308" s="495">
        <v>300</v>
      </c>
      <c r="J308" s="496">
        <v>9.6999999999999993</v>
      </c>
      <c r="K308" s="493"/>
    </row>
    <row r="309" spans="1:11" ht="11.1" customHeight="1" x14ac:dyDescent="0.3">
      <c r="A309" s="493"/>
      <c r="B309" s="493" t="s">
        <v>379</v>
      </c>
      <c r="C309" s="493" t="s">
        <v>380</v>
      </c>
      <c r="D309" s="493"/>
      <c r="E309" s="493"/>
      <c r="F309" s="493"/>
      <c r="G309" s="494">
        <v>1</v>
      </c>
      <c r="H309" s="495">
        <v>28</v>
      </c>
      <c r="I309" s="495">
        <v>630</v>
      </c>
      <c r="J309" s="496">
        <v>6.9</v>
      </c>
      <c r="K309" s="493"/>
    </row>
    <row r="310" spans="1:11" ht="11.1" customHeight="1" x14ac:dyDescent="0.3">
      <c r="A310" s="493"/>
      <c r="B310" s="493"/>
      <c r="C310" s="493"/>
      <c r="D310" s="493"/>
      <c r="E310" s="493"/>
      <c r="F310" s="493"/>
      <c r="G310" s="494"/>
      <c r="H310" s="502"/>
      <c r="I310" s="502"/>
      <c r="J310" s="503"/>
      <c r="K310" s="493"/>
    </row>
    <row r="311" spans="1:11" ht="11.1" customHeight="1" x14ac:dyDescent="0.3">
      <c r="A311" s="497">
        <v>5.6</v>
      </c>
      <c r="B311" s="493" t="s">
        <v>381</v>
      </c>
      <c r="C311" s="493"/>
      <c r="D311" s="493"/>
      <c r="E311" s="493"/>
      <c r="F311" s="493"/>
      <c r="G311" s="494">
        <v>6.5</v>
      </c>
      <c r="H311" s="495">
        <v>189</v>
      </c>
      <c r="I311" s="495">
        <v>3860</v>
      </c>
      <c r="J311" s="496">
        <v>4.7</v>
      </c>
      <c r="K311" s="493"/>
    </row>
    <row r="312" spans="1:11" ht="11.1" customHeight="1" x14ac:dyDescent="0.3">
      <c r="A312" s="493"/>
      <c r="B312" s="493" t="s">
        <v>382</v>
      </c>
      <c r="C312" s="493" t="s">
        <v>383</v>
      </c>
      <c r="D312" s="493"/>
      <c r="E312" s="493"/>
      <c r="F312" s="493"/>
      <c r="G312" s="494">
        <v>2.5</v>
      </c>
      <c r="H312" s="495">
        <v>73</v>
      </c>
      <c r="I312" s="495">
        <v>2910</v>
      </c>
      <c r="J312" s="496">
        <v>4</v>
      </c>
      <c r="K312" s="493"/>
    </row>
    <row r="313" spans="1:11" ht="11.1" customHeight="1" x14ac:dyDescent="0.3">
      <c r="A313" s="493"/>
      <c r="B313" s="493"/>
      <c r="C313" s="493" t="s">
        <v>384</v>
      </c>
      <c r="D313" s="493" t="s">
        <v>385</v>
      </c>
      <c r="E313" s="493"/>
      <c r="F313" s="493"/>
      <c r="G313" s="494">
        <v>0.9</v>
      </c>
      <c r="H313" s="495">
        <v>27</v>
      </c>
      <c r="I313" s="495">
        <v>1610</v>
      </c>
      <c r="J313" s="496">
        <v>2.8</v>
      </c>
      <c r="K313" s="493"/>
    </row>
    <row r="314" spans="1:11" ht="11.1" customHeight="1" x14ac:dyDescent="0.3">
      <c r="A314" s="493"/>
      <c r="B314" s="493"/>
      <c r="C314" s="493" t="s">
        <v>386</v>
      </c>
      <c r="D314" s="493" t="s">
        <v>387</v>
      </c>
      <c r="E314" s="493"/>
      <c r="F314" s="493"/>
      <c r="G314" s="494">
        <v>1.6</v>
      </c>
      <c r="H314" s="495">
        <v>46</v>
      </c>
      <c r="I314" s="495">
        <v>2460</v>
      </c>
      <c r="J314" s="496">
        <v>6</v>
      </c>
      <c r="K314" s="493"/>
    </row>
    <row r="315" spans="1:11" ht="11.1" customHeight="1" x14ac:dyDescent="0.3">
      <c r="A315" s="493"/>
      <c r="B315" s="493"/>
      <c r="C315" s="493"/>
      <c r="D315" s="493"/>
      <c r="E315" s="493"/>
      <c r="F315" s="493"/>
      <c r="G315" s="494"/>
      <c r="H315" s="502"/>
      <c r="I315" s="502"/>
      <c r="J315" s="503"/>
      <c r="K315" s="493"/>
    </row>
    <row r="316" spans="1:11" ht="11.1" customHeight="1" x14ac:dyDescent="0.3">
      <c r="A316" s="493"/>
      <c r="B316" s="493" t="s">
        <v>388</v>
      </c>
      <c r="C316" s="493" t="s">
        <v>389</v>
      </c>
      <c r="D316" s="493"/>
      <c r="E316" s="493"/>
      <c r="F316" s="493"/>
      <c r="G316" s="494">
        <v>1.9</v>
      </c>
      <c r="H316" s="495">
        <v>56</v>
      </c>
      <c r="I316" s="495">
        <v>3230</v>
      </c>
      <c r="J316" s="496">
        <v>3.6</v>
      </c>
      <c r="K316" s="493"/>
    </row>
    <row r="317" spans="1:11" ht="11.1" customHeight="1" x14ac:dyDescent="0.3">
      <c r="A317" s="493"/>
      <c r="B317" s="493"/>
      <c r="C317" s="493" t="s">
        <v>390</v>
      </c>
      <c r="D317" s="493" t="s">
        <v>391</v>
      </c>
      <c r="E317" s="493"/>
      <c r="F317" s="493"/>
      <c r="G317" s="494">
        <v>1.2</v>
      </c>
      <c r="H317" s="495">
        <v>34</v>
      </c>
      <c r="I317" s="495">
        <v>2940</v>
      </c>
      <c r="J317" s="496">
        <v>5</v>
      </c>
      <c r="K317" s="493"/>
    </row>
    <row r="318" spans="1:11" ht="11.1" customHeight="1" x14ac:dyDescent="0.3">
      <c r="A318" s="493"/>
      <c r="B318" s="493"/>
      <c r="C318" s="493" t="s">
        <v>392</v>
      </c>
      <c r="D318" s="493" t="s">
        <v>393</v>
      </c>
      <c r="E318" s="493"/>
      <c r="F318" s="493"/>
      <c r="G318" s="494">
        <v>0.3</v>
      </c>
      <c r="H318" s="495">
        <v>9</v>
      </c>
      <c r="I318" s="495">
        <v>470</v>
      </c>
      <c r="J318" s="496">
        <v>6.9</v>
      </c>
      <c r="K318" s="493"/>
    </row>
    <row r="319" spans="1:11" ht="11.1" customHeight="1" x14ac:dyDescent="0.3">
      <c r="A319" s="493"/>
      <c r="B319" s="493"/>
      <c r="C319" s="493" t="s">
        <v>394</v>
      </c>
      <c r="D319" s="493" t="s">
        <v>395</v>
      </c>
      <c r="E319" s="493"/>
      <c r="F319" s="493"/>
      <c r="G319" s="494">
        <v>0.2</v>
      </c>
      <c r="H319" s="495">
        <v>4</v>
      </c>
      <c r="I319" s="495">
        <v>590</v>
      </c>
      <c r="J319" s="496">
        <v>5.0999999999999996</v>
      </c>
      <c r="K319" s="493"/>
    </row>
    <row r="320" spans="1:11" ht="11.1" customHeight="1" x14ac:dyDescent="0.3">
      <c r="A320" s="493"/>
      <c r="B320" s="493"/>
      <c r="C320" s="493" t="s">
        <v>396</v>
      </c>
      <c r="D320" s="493" t="s">
        <v>397</v>
      </c>
      <c r="E320" s="493"/>
      <c r="F320" s="493"/>
      <c r="G320" s="494">
        <v>0.3</v>
      </c>
      <c r="H320" s="495">
        <v>8</v>
      </c>
      <c r="I320" s="495">
        <v>350</v>
      </c>
      <c r="J320" s="496">
        <v>9.3000000000000007</v>
      </c>
      <c r="K320" s="493"/>
    </row>
    <row r="321" spans="1:11" ht="11.1" customHeight="1" x14ac:dyDescent="0.3">
      <c r="A321" s="493"/>
      <c r="B321" s="493"/>
      <c r="C321" s="493"/>
      <c r="D321" s="493"/>
      <c r="E321" s="493"/>
      <c r="F321" s="493"/>
      <c r="G321" s="494"/>
      <c r="H321" s="502"/>
      <c r="I321" s="502"/>
      <c r="J321" s="503"/>
      <c r="K321" s="493"/>
    </row>
    <row r="322" spans="1:11" ht="11.1" customHeight="1" x14ac:dyDescent="0.3">
      <c r="A322" s="493"/>
      <c r="B322" s="493" t="s">
        <v>398</v>
      </c>
      <c r="C322" s="493" t="s">
        <v>399</v>
      </c>
      <c r="D322" s="493"/>
      <c r="E322" s="493"/>
      <c r="F322" s="493"/>
      <c r="G322" s="494">
        <v>2.1</v>
      </c>
      <c r="H322" s="495">
        <v>60</v>
      </c>
      <c r="I322" s="495">
        <v>460</v>
      </c>
      <c r="J322" s="496">
        <v>13.3</v>
      </c>
      <c r="K322" s="493"/>
    </row>
    <row r="323" spans="1:11" ht="11.1" customHeight="1" x14ac:dyDescent="0.3">
      <c r="A323" s="493"/>
      <c r="B323" s="493"/>
      <c r="C323" s="493" t="s">
        <v>400</v>
      </c>
      <c r="D323" s="493" t="s">
        <v>401</v>
      </c>
      <c r="E323" s="493"/>
      <c r="F323" s="493"/>
      <c r="G323" s="494">
        <v>1.5</v>
      </c>
      <c r="H323" s="495">
        <v>44</v>
      </c>
      <c r="I323" s="495">
        <v>240</v>
      </c>
      <c r="J323" s="496">
        <v>12.8</v>
      </c>
      <c r="K323" s="493"/>
    </row>
    <row r="324" spans="1:11" ht="11.1" customHeight="1" x14ac:dyDescent="0.3">
      <c r="A324" s="493"/>
      <c r="B324" s="493"/>
      <c r="C324" s="493" t="s">
        <v>402</v>
      </c>
      <c r="D324" s="493" t="s">
        <v>403</v>
      </c>
      <c r="E324" s="493"/>
      <c r="F324" s="493"/>
      <c r="G324" s="494">
        <v>0.5</v>
      </c>
      <c r="H324" s="495">
        <v>15</v>
      </c>
      <c r="I324" s="495">
        <v>260</v>
      </c>
      <c r="J324" s="496">
        <v>9.6999999999999993</v>
      </c>
      <c r="K324" s="493"/>
    </row>
    <row r="325" spans="1:11" ht="11.1" customHeight="1" x14ac:dyDescent="0.3">
      <c r="A325" s="493"/>
      <c r="B325" s="493"/>
      <c r="C325" s="493" t="s">
        <v>404</v>
      </c>
      <c r="D325" s="493" t="s">
        <v>405</v>
      </c>
      <c r="E325" s="493"/>
      <c r="F325" s="493"/>
      <c r="G325" s="494" t="s">
        <v>230</v>
      </c>
      <c r="H325" s="495" t="s">
        <v>230</v>
      </c>
      <c r="I325" s="495" t="s">
        <v>230</v>
      </c>
      <c r="J325" s="496" t="s">
        <v>230</v>
      </c>
      <c r="K325" s="493"/>
    </row>
    <row r="326" spans="1:11" ht="11.1" customHeight="1" x14ac:dyDescent="0.3">
      <c r="A326" s="493"/>
      <c r="B326" s="493"/>
      <c r="C326" s="493"/>
      <c r="D326" s="493"/>
      <c r="E326" s="493"/>
      <c r="F326" s="493"/>
      <c r="G326" s="494"/>
      <c r="H326" s="502"/>
      <c r="I326" s="502"/>
      <c r="J326" s="503"/>
      <c r="K326" s="493"/>
    </row>
    <row r="327" spans="1:11" ht="11.1" customHeight="1" x14ac:dyDescent="0.3">
      <c r="A327" s="498"/>
      <c r="B327" s="498"/>
      <c r="C327" s="498"/>
      <c r="D327" s="498"/>
      <c r="E327" s="498"/>
      <c r="F327" s="498"/>
      <c r="G327" s="499"/>
      <c r="H327" s="500"/>
      <c r="I327" s="500"/>
      <c r="J327" s="501"/>
      <c r="K327" s="493"/>
    </row>
    <row r="328" spans="1:11" ht="11.1" customHeight="1" x14ac:dyDescent="0.3">
      <c r="A328" s="530">
        <v>6</v>
      </c>
      <c r="B328" s="489" t="s">
        <v>12</v>
      </c>
      <c r="C328" s="489"/>
      <c r="D328" s="489"/>
      <c r="E328" s="489"/>
      <c r="F328" s="489"/>
      <c r="G328" s="490">
        <v>8.9</v>
      </c>
      <c r="H328" s="491">
        <v>261</v>
      </c>
      <c r="I328" s="491">
        <v>2470</v>
      </c>
      <c r="J328" s="492">
        <v>5.7</v>
      </c>
      <c r="K328" s="489"/>
    </row>
    <row r="329" spans="1:11" ht="11.1" customHeight="1" x14ac:dyDescent="0.3">
      <c r="A329" s="493"/>
      <c r="B329" s="493"/>
      <c r="C329" s="493"/>
      <c r="D329" s="493"/>
      <c r="E329" s="493"/>
      <c r="F329" s="493"/>
      <c r="G329" s="494"/>
      <c r="H329" s="502"/>
      <c r="I329" s="502"/>
      <c r="J329" s="503"/>
      <c r="K329" s="493"/>
    </row>
    <row r="330" spans="1:11" ht="11.1" customHeight="1" x14ac:dyDescent="0.3">
      <c r="A330" s="497">
        <v>6.1</v>
      </c>
      <c r="B330" s="493" t="s">
        <v>406</v>
      </c>
      <c r="C330" s="493"/>
      <c r="D330" s="493"/>
      <c r="E330" s="493"/>
      <c r="F330" s="493"/>
      <c r="G330" s="494">
        <v>4.3</v>
      </c>
      <c r="H330" s="495">
        <v>125</v>
      </c>
      <c r="I330" s="495">
        <v>2340</v>
      </c>
      <c r="J330" s="496">
        <v>8.4</v>
      </c>
      <c r="K330" s="493"/>
    </row>
    <row r="331" spans="1:11" ht="11.1" customHeight="1" x14ac:dyDescent="0.3">
      <c r="A331" s="493"/>
      <c r="B331" s="493" t="s">
        <v>407</v>
      </c>
      <c r="C331" s="493" t="s">
        <v>408</v>
      </c>
      <c r="D331" s="493"/>
      <c r="E331" s="493"/>
      <c r="F331" s="493"/>
      <c r="G331" s="494">
        <v>2.9</v>
      </c>
      <c r="H331" s="495">
        <v>85</v>
      </c>
      <c r="I331" s="495">
        <v>2230</v>
      </c>
      <c r="J331" s="496">
        <v>9.8000000000000007</v>
      </c>
      <c r="K331" s="493"/>
    </row>
    <row r="332" spans="1:11" ht="11.1" customHeight="1" x14ac:dyDescent="0.3">
      <c r="A332" s="493"/>
      <c r="B332" s="493"/>
      <c r="C332" s="493" t="s">
        <v>409</v>
      </c>
      <c r="D332" s="493" t="s">
        <v>410</v>
      </c>
      <c r="E332" s="493"/>
      <c r="F332" s="493"/>
      <c r="G332" s="494">
        <v>0.3</v>
      </c>
      <c r="H332" s="495">
        <v>7</v>
      </c>
      <c r="I332" s="495">
        <v>180</v>
      </c>
      <c r="J332" s="496">
        <v>7.4</v>
      </c>
      <c r="K332" s="493"/>
    </row>
    <row r="333" spans="1:11" ht="11.1" customHeight="1" x14ac:dyDescent="0.3">
      <c r="A333" s="493"/>
      <c r="B333" s="493"/>
      <c r="C333" s="493" t="s">
        <v>411</v>
      </c>
      <c r="D333" s="493" t="s">
        <v>412</v>
      </c>
      <c r="E333" s="493"/>
      <c r="F333" s="493"/>
      <c r="G333" s="494">
        <v>1.9</v>
      </c>
      <c r="H333" s="495">
        <v>56</v>
      </c>
      <c r="I333" s="495">
        <v>2040</v>
      </c>
      <c r="J333" s="496">
        <v>4</v>
      </c>
      <c r="K333" s="493"/>
    </row>
    <row r="334" spans="1:11" ht="11.1" customHeight="1" x14ac:dyDescent="0.3">
      <c r="A334" s="493"/>
      <c r="B334" s="493"/>
      <c r="C334" s="493" t="s">
        <v>413</v>
      </c>
      <c r="D334" s="493" t="s">
        <v>414</v>
      </c>
      <c r="E334" s="493"/>
      <c r="F334" s="493"/>
      <c r="G334" s="494">
        <v>0.3</v>
      </c>
      <c r="H334" s="495">
        <v>8</v>
      </c>
      <c r="I334" s="495">
        <v>330</v>
      </c>
      <c r="J334" s="496">
        <v>12.7</v>
      </c>
      <c r="K334" s="493"/>
    </row>
    <row r="335" spans="1:11" ht="11.1" customHeight="1" x14ac:dyDescent="0.3">
      <c r="A335" s="493"/>
      <c r="B335" s="493"/>
      <c r="C335" s="493" t="s">
        <v>415</v>
      </c>
      <c r="D335" s="493" t="s">
        <v>416</v>
      </c>
      <c r="E335" s="493"/>
      <c r="F335" s="493"/>
      <c r="G335" s="494"/>
      <c r="H335" s="502"/>
      <c r="I335" s="502"/>
      <c r="J335" s="503"/>
      <c r="K335" s="493"/>
    </row>
    <row r="336" spans="1:11" ht="11.1" customHeight="1" x14ac:dyDescent="0.3">
      <c r="A336" s="493"/>
      <c r="B336" s="493"/>
      <c r="C336" s="493"/>
      <c r="D336" s="493" t="s">
        <v>417</v>
      </c>
      <c r="E336" s="493"/>
      <c r="F336" s="493"/>
      <c r="G336" s="494">
        <v>0.5</v>
      </c>
      <c r="H336" s="495">
        <v>14</v>
      </c>
      <c r="I336" s="495">
        <v>50</v>
      </c>
      <c r="J336" s="496">
        <v>56.6</v>
      </c>
      <c r="K336" s="493"/>
    </row>
    <row r="337" spans="1:11" ht="11.1" customHeight="1" x14ac:dyDescent="0.3">
      <c r="A337" s="493"/>
      <c r="B337" s="493"/>
      <c r="C337" s="493"/>
      <c r="D337" s="493"/>
      <c r="E337" s="493"/>
      <c r="F337" s="493"/>
      <c r="G337" s="494"/>
      <c r="H337" s="502"/>
      <c r="I337" s="502"/>
      <c r="J337" s="503"/>
      <c r="K337" s="493"/>
    </row>
    <row r="338" spans="1:11" ht="11.1" customHeight="1" x14ac:dyDescent="0.3">
      <c r="A338" s="493"/>
      <c r="B338" s="493" t="s">
        <v>418</v>
      </c>
      <c r="C338" s="493" t="s">
        <v>419</v>
      </c>
      <c r="D338" s="493"/>
      <c r="E338" s="493"/>
      <c r="F338" s="493"/>
      <c r="G338" s="494">
        <v>1.4</v>
      </c>
      <c r="H338" s="495">
        <v>40</v>
      </c>
      <c r="I338" s="495">
        <v>300</v>
      </c>
      <c r="J338" s="496">
        <v>15.8</v>
      </c>
      <c r="K338" s="493"/>
    </row>
    <row r="339" spans="1:11" ht="11.1" customHeight="1" x14ac:dyDescent="0.3">
      <c r="A339" s="493"/>
      <c r="B339" s="493"/>
      <c r="C339" s="493" t="s">
        <v>420</v>
      </c>
      <c r="D339" s="493" t="s">
        <v>421</v>
      </c>
      <c r="E339" s="493"/>
      <c r="F339" s="493"/>
      <c r="G339" s="494">
        <v>1.3</v>
      </c>
      <c r="H339" s="495">
        <v>39</v>
      </c>
      <c r="I339" s="495">
        <v>260</v>
      </c>
      <c r="J339" s="496">
        <v>16.3</v>
      </c>
      <c r="K339" s="493"/>
    </row>
    <row r="340" spans="1:11" ht="11.1" customHeight="1" x14ac:dyDescent="0.3">
      <c r="A340" s="493"/>
      <c r="B340" s="493"/>
      <c r="C340" s="493" t="s">
        <v>422</v>
      </c>
      <c r="D340" s="493" t="s">
        <v>423</v>
      </c>
      <c r="E340" s="493"/>
      <c r="F340" s="493"/>
      <c r="G340" s="494" t="s">
        <v>1009</v>
      </c>
      <c r="H340" s="495">
        <v>1</v>
      </c>
      <c r="I340" s="495">
        <v>40</v>
      </c>
      <c r="J340" s="496">
        <v>17.3</v>
      </c>
      <c r="K340" s="493"/>
    </row>
    <row r="341" spans="1:11" ht="11.1" customHeight="1" x14ac:dyDescent="0.3">
      <c r="A341" s="493"/>
      <c r="B341" s="493"/>
      <c r="C341" s="493"/>
      <c r="D341" s="493"/>
      <c r="E341" s="493"/>
      <c r="F341" s="493"/>
      <c r="G341" s="494"/>
      <c r="H341" s="502"/>
      <c r="I341" s="502"/>
      <c r="J341" s="503"/>
      <c r="K341" s="493"/>
    </row>
    <row r="342" spans="1:11" ht="11.1" customHeight="1" x14ac:dyDescent="0.3">
      <c r="A342" s="497">
        <v>6.2</v>
      </c>
      <c r="B342" s="493" t="s">
        <v>424</v>
      </c>
      <c r="C342" s="493"/>
      <c r="D342" s="493"/>
      <c r="E342" s="493"/>
      <c r="F342" s="493"/>
      <c r="G342" s="494">
        <v>4.5999999999999996</v>
      </c>
      <c r="H342" s="495">
        <v>136</v>
      </c>
      <c r="I342" s="495">
        <v>420</v>
      </c>
      <c r="J342" s="496">
        <v>7.6</v>
      </c>
      <c r="K342" s="493"/>
    </row>
    <row r="343" spans="1:11" ht="11.1" customHeight="1" x14ac:dyDescent="0.3">
      <c r="A343" s="493"/>
      <c r="B343" s="493" t="s">
        <v>425</v>
      </c>
      <c r="C343" s="493" t="s">
        <v>426</v>
      </c>
      <c r="D343" s="493"/>
      <c r="E343" s="493"/>
      <c r="F343" s="493"/>
      <c r="G343" s="494">
        <v>4.5999999999999996</v>
      </c>
      <c r="H343" s="495">
        <v>135</v>
      </c>
      <c r="I343" s="495">
        <v>420</v>
      </c>
      <c r="J343" s="496">
        <v>7.4</v>
      </c>
      <c r="K343" s="493"/>
    </row>
    <row r="344" spans="1:11" ht="11.1" customHeight="1" x14ac:dyDescent="0.3">
      <c r="A344" s="493"/>
      <c r="B344" s="493"/>
      <c r="C344" s="493" t="s">
        <v>427</v>
      </c>
      <c r="D344" s="493" t="s">
        <v>428</v>
      </c>
      <c r="E344" s="493"/>
      <c r="F344" s="493"/>
      <c r="G344" s="494">
        <v>0.9</v>
      </c>
      <c r="H344" s="495">
        <v>26</v>
      </c>
      <c r="I344" s="495">
        <v>140</v>
      </c>
      <c r="J344" s="496">
        <v>13.1</v>
      </c>
      <c r="K344" s="493"/>
    </row>
    <row r="345" spans="1:11" ht="11.1" customHeight="1" x14ac:dyDescent="0.3">
      <c r="A345" s="493"/>
      <c r="B345" s="493"/>
      <c r="C345" s="493" t="s">
        <v>429</v>
      </c>
      <c r="D345" s="493" t="s">
        <v>430</v>
      </c>
      <c r="E345" s="493"/>
      <c r="F345" s="493"/>
      <c r="G345" s="494">
        <v>3.7</v>
      </c>
      <c r="H345" s="495">
        <v>108</v>
      </c>
      <c r="I345" s="495">
        <v>280</v>
      </c>
      <c r="J345" s="496">
        <v>8.6</v>
      </c>
      <c r="K345" s="493"/>
    </row>
    <row r="346" spans="1:11" ht="11.1" customHeight="1" x14ac:dyDescent="0.3">
      <c r="A346" s="493"/>
      <c r="B346" s="493"/>
      <c r="C346" s="493" t="s">
        <v>431</v>
      </c>
      <c r="D346" s="493" t="s">
        <v>432</v>
      </c>
      <c r="E346" s="493"/>
      <c r="F346" s="493"/>
      <c r="G346" s="494" t="s">
        <v>230</v>
      </c>
      <c r="H346" s="495" t="s">
        <v>230</v>
      </c>
      <c r="I346" s="495" t="s">
        <v>230</v>
      </c>
      <c r="J346" s="496" t="s">
        <v>230</v>
      </c>
      <c r="K346" s="493"/>
    </row>
    <row r="347" spans="1:11" ht="11.1" customHeight="1" x14ac:dyDescent="0.3">
      <c r="A347" s="493"/>
      <c r="B347" s="493"/>
      <c r="C347" s="493"/>
      <c r="D347" s="493"/>
      <c r="E347" s="493"/>
      <c r="F347" s="493"/>
      <c r="G347" s="494"/>
      <c r="H347" s="502"/>
      <c r="I347" s="502"/>
      <c r="J347" s="503"/>
      <c r="K347" s="493"/>
    </row>
    <row r="348" spans="1:11" ht="11.1" customHeight="1" x14ac:dyDescent="0.3">
      <c r="A348" s="493"/>
      <c r="B348" s="493" t="s">
        <v>433</v>
      </c>
      <c r="C348" s="493" t="s">
        <v>434</v>
      </c>
      <c r="D348" s="493"/>
      <c r="E348" s="493"/>
      <c r="F348" s="493"/>
      <c r="G348" s="494" t="s">
        <v>230</v>
      </c>
      <c r="H348" s="495" t="s">
        <v>230</v>
      </c>
      <c r="I348" s="495" t="s">
        <v>230</v>
      </c>
      <c r="J348" s="496" t="s">
        <v>230</v>
      </c>
      <c r="K348" s="493"/>
    </row>
    <row r="349" spans="1:11" ht="11.1" customHeight="1" x14ac:dyDescent="0.3">
      <c r="A349" s="538"/>
      <c r="B349" s="538"/>
      <c r="C349" s="538"/>
      <c r="D349" s="538"/>
      <c r="E349" s="538"/>
      <c r="F349" s="538"/>
      <c r="G349" s="517"/>
      <c r="H349" s="518"/>
      <c r="I349" s="518"/>
      <c r="J349" s="519"/>
      <c r="K349" s="545"/>
    </row>
    <row r="350" spans="1:11" ht="11.1" customHeight="1" x14ac:dyDescent="0.3">
      <c r="A350" s="498"/>
      <c r="B350" s="498"/>
      <c r="C350" s="498"/>
      <c r="D350" s="498"/>
      <c r="E350" s="498"/>
      <c r="F350" s="498"/>
      <c r="G350" s="499"/>
      <c r="H350" s="500"/>
      <c r="I350" s="500"/>
      <c r="J350" s="501"/>
      <c r="K350" s="493"/>
    </row>
    <row r="351" spans="1:11" ht="11.1" customHeight="1" x14ac:dyDescent="0.3">
      <c r="A351" s="493" t="s">
        <v>111</v>
      </c>
      <c r="B351" s="493"/>
      <c r="C351" s="493"/>
      <c r="D351" s="493"/>
      <c r="E351" s="493"/>
      <c r="F351" s="493"/>
      <c r="G351" s="494"/>
      <c r="H351" s="502"/>
      <c r="I351" s="502"/>
      <c r="J351" s="503"/>
      <c r="K351" s="493"/>
    </row>
    <row r="352" spans="1:11" ht="11.1" customHeight="1" x14ac:dyDescent="0.3">
      <c r="A352" s="493" t="s">
        <v>182</v>
      </c>
      <c r="B352" s="493"/>
      <c r="C352" s="493"/>
      <c r="D352" s="493"/>
      <c r="E352" s="493"/>
      <c r="F352" s="493"/>
      <c r="G352" s="494"/>
      <c r="H352" s="502"/>
      <c r="I352" s="502"/>
      <c r="J352" s="503"/>
      <c r="K352" s="493"/>
    </row>
    <row r="353" spans="1:11" ht="11.1" customHeight="1" x14ac:dyDescent="0.3">
      <c r="A353" s="493" t="s">
        <v>112</v>
      </c>
      <c r="B353" s="493"/>
      <c r="C353" s="493"/>
      <c r="D353" s="493"/>
      <c r="E353" s="493"/>
      <c r="F353" s="493"/>
      <c r="G353" s="494"/>
      <c r="H353" s="502"/>
      <c r="I353" s="502"/>
      <c r="J353" s="503"/>
      <c r="K353" s="493"/>
    </row>
    <row r="354" spans="1:11" ht="11.1" customHeight="1" x14ac:dyDescent="0.3">
      <c r="A354" s="493"/>
      <c r="B354" s="493"/>
      <c r="C354" s="493"/>
      <c r="D354" s="493"/>
      <c r="E354" s="493"/>
      <c r="F354" s="493"/>
      <c r="G354" s="494"/>
      <c r="H354" s="502"/>
      <c r="I354" s="502"/>
      <c r="J354" s="503"/>
      <c r="K354" s="493"/>
    </row>
    <row r="358" spans="1:11" ht="11.4" customHeight="1" x14ac:dyDescent="0.3">
      <c r="A358" s="446" t="s">
        <v>114</v>
      </c>
      <c r="B358" s="536"/>
      <c r="C358" s="537"/>
      <c r="D358" s="538"/>
      <c r="E358" s="538"/>
      <c r="F358" s="537"/>
      <c r="G358" s="517"/>
      <c r="H358" s="518"/>
      <c r="I358" s="518"/>
      <c r="J358" s="506"/>
      <c r="K358" s="535"/>
    </row>
    <row r="359" spans="1:11" ht="20.399999999999999" customHeight="1" x14ac:dyDescent="0.3">
      <c r="A359" s="507" t="s">
        <v>183</v>
      </c>
      <c r="B359" s="508"/>
      <c r="C359" s="444"/>
      <c r="D359" s="445"/>
      <c r="E359" s="445"/>
      <c r="F359" s="446"/>
      <c r="G359" s="540"/>
      <c r="H359" s="541"/>
      <c r="I359" s="541"/>
      <c r="J359" s="512"/>
      <c r="K359" s="539"/>
    </row>
    <row r="360" spans="1:11" ht="16.2" customHeight="1" x14ac:dyDescent="0.3">
      <c r="A360" s="513" t="s">
        <v>1351</v>
      </c>
      <c r="B360" s="514"/>
      <c r="C360" s="455"/>
      <c r="D360" s="456"/>
      <c r="E360" s="445"/>
      <c r="F360" s="446"/>
      <c r="G360" s="540"/>
      <c r="H360" s="541"/>
      <c r="I360" s="541"/>
      <c r="J360" s="512"/>
      <c r="K360" s="539"/>
    </row>
    <row r="361" spans="1:11" ht="11.1" customHeight="1" x14ac:dyDescent="0.3">
      <c r="A361" s="474"/>
      <c r="B361" s="474"/>
      <c r="C361" s="475"/>
      <c r="D361" s="475"/>
      <c r="E361" s="475"/>
      <c r="F361" s="475"/>
      <c r="G361" s="476"/>
      <c r="H361" s="477"/>
      <c r="I361" s="477"/>
      <c r="J361" s="478"/>
      <c r="K361" s="529"/>
    </row>
    <row r="362" spans="1:11" ht="11.1" customHeight="1" x14ac:dyDescent="0.3">
      <c r="A362" s="464"/>
      <c r="B362" s="464"/>
      <c r="C362" s="465"/>
      <c r="D362" s="465"/>
      <c r="E362" s="465"/>
      <c r="F362" s="465"/>
      <c r="G362" s="517"/>
      <c r="H362" s="518"/>
      <c r="I362" s="518"/>
      <c r="J362" s="519"/>
      <c r="K362" s="529"/>
    </row>
    <row r="363" spans="1:11" ht="11.1" customHeight="1" x14ac:dyDescent="0.3">
      <c r="A363" s="520"/>
      <c r="B363" s="520"/>
      <c r="C363" s="521"/>
      <c r="D363" s="521"/>
      <c r="E363" s="521"/>
      <c r="F363" s="469"/>
      <c r="G363" s="470" t="s">
        <v>116</v>
      </c>
      <c r="H363" s="471" t="s">
        <v>25</v>
      </c>
      <c r="I363" s="471" t="s">
        <v>26</v>
      </c>
      <c r="J363" s="472" t="s">
        <v>117</v>
      </c>
      <c r="K363" s="542"/>
    </row>
    <row r="364" spans="1:11" ht="11.1" customHeight="1" x14ac:dyDescent="0.3">
      <c r="A364" s="520"/>
      <c r="B364" s="520"/>
      <c r="C364" s="521"/>
      <c r="D364" s="521"/>
      <c r="E364" s="521"/>
      <c r="F364" s="469"/>
      <c r="G364" s="473" t="s">
        <v>29</v>
      </c>
      <c r="H364" s="471" t="s">
        <v>27</v>
      </c>
      <c r="I364" s="471" t="s">
        <v>28</v>
      </c>
      <c r="J364" s="472" t="s">
        <v>118</v>
      </c>
      <c r="K364" s="542"/>
    </row>
    <row r="365" spans="1:11" ht="11.1" customHeight="1" x14ac:dyDescent="0.3">
      <c r="A365" s="520"/>
      <c r="B365" s="520"/>
      <c r="C365" s="521"/>
      <c r="D365" s="521"/>
      <c r="E365" s="521"/>
      <c r="F365" s="469"/>
      <c r="G365" s="470" t="s">
        <v>31</v>
      </c>
      <c r="H365" s="471" t="s">
        <v>29</v>
      </c>
      <c r="I365" s="471" t="s">
        <v>30</v>
      </c>
      <c r="J365" s="472" t="s">
        <v>119</v>
      </c>
      <c r="K365" s="542"/>
    </row>
    <row r="366" spans="1:11" ht="11.1" customHeight="1" x14ac:dyDescent="0.3">
      <c r="A366" s="520"/>
      <c r="B366" s="520"/>
      <c r="C366" s="521"/>
      <c r="D366" s="521"/>
      <c r="E366" s="521"/>
      <c r="F366" s="469"/>
      <c r="G366" s="473" t="s">
        <v>32</v>
      </c>
      <c r="H366" s="471" t="s">
        <v>33</v>
      </c>
      <c r="I366" s="471" t="s">
        <v>120</v>
      </c>
      <c r="J366" s="472" t="s">
        <v>121</v>
      </c>
      <c r="K366" s="542"/>
    </row>
    <row r="367" spans="1:11" ht="11.1" customHeight="1" x14ac:dyDescent="0.3">
      <c r="A367" s="474"/>
      <c r="B367" s="474"/>
      <c r="C367" s="475"/>
      <c r="D367" s="475"/>
      <c r="E367" s="475"/>
      <c r="F367" s="475"/>
      <c r="G367" s="476"/>
      <c r="H367" s="477"/>
      <c r="I367" s="477"/>
      <c r="J367" s="478"/>
      <c r="K367" s="529"/>
    </row>
    <row r="368" spans="1:11" ht="11.1" customHeight="1" x14ac:dyDescent="0.3">
      <c r="A368" s="536"/>
      <c r="B368" s="464"/>
      <c r="C368" s="517"/>
      <c r="D368" s="517"/>
      <c r="E368" s="517"/>
      <c r="F368" s="465"/>
      <c r="G368" s="517"/>
      <c r="H368" s="518"/>
      <c r="I368" s="518"/>
      <c r="J368" s="519"/>
      <c r="K368" s="529"/>
    </row>
    <row r="369" spans="1:11" ht="11.1" customHeight="1" x14ac:dyDescent="0.3">
      <c r="A369" s="488" t="s">
        <v>123</v>
      </c>
      <c r="B369" s="522"/>
      <c r="C369" s="523"/>
      <c r="D369" s="524"/>
      <c r="E369" s="524"/>
      <c r="F369" s="525" t="s">
        <v>124</v>
      </c>
      <c r="G369" s="526"/>
      <c r="H369" s="527"/>
      <c r="I369" s="527"/>
      <c r="J369" s="528"/>
      <c r="K369" s="529"/>
    </row>
    <row r="370" spans="1:11" ht="11.1" customHeight="1" x14ac:dyDescent="0.3">
      <c r="A370" s="493"/>
      <c r="B370" s="493"/>
      <c r="C370" s="493"/>
      <c r="D370" s="493"/>
      <c r="E370" s="493"/>
      <c r="F370" s="493"/>
      <c r="G370" s="494"/>
      <c r="H370" s="502"/>
      <c r="I370" s="502"/>
      <c r="J370" s="503"/>
      <c r="K370" s="493"/>
    </row>
    <row r="371" spans="1:11" ht="11.1" customHeight="1" x14ac:dyDescent="0.3">
      <c r="A371" s="530">
        <v>7</v>
      </c>
      <c r="B371" s="489" t="s">
        <v>13</v>
      </c>
      <c r="C371" s="489"/>
      <c r="D371" s="489"/>
      <c r="E371" s="489"/>
      <c r="F371" s="489"/>
      <c r="G371" s="490">
        <v>79.2</v>
      </c>
      <c r="H371" s="491">
        <v>2321</v>
      </c>
      <c r="I371" s="491">
        <v>3960</v>
      </c>
      <c r="J371" s="492">
        <v>2.5</v>
      </c>
      <c r="K371" s="493"/>
    </row>
    <row r="372" spans="1:11" ht="11.1" customHeight="1" x14ac:dyDescent="0.3">
      <c r="A372" s="493"/>
      <c r="B372" s="493"/>
      <c r="C372" s="493"/>
      <c r="D372" s="493"/>
      <c r="E372" s="493"/>
      <c r="F372" s="493"/>
      <c r="G372" s="494"/>
      <c r="H372" s="502"/>
      <c r="I372" s="502"/>
      <c r="J372" s="503"/>
      <c r="K372" s="493"/>
    </row>
    <row r="373" spans="1:11" ht="11.1" customHeight="1" x14ac:dyDescent="0.3">
      <c r="A373" s="497">
        <v>7.1</v>
      </c>
      <c r="B373" s="493" t="s">
        <v>435</v>
      </c>
      <c r="C373" s="493"/>
      <c r="D373" s="493"/>
      <c r="E373" s="493"/>
      <c r="F373" s="493"/>
      <c r="G373" s="494">
        <v>28</v>
      </c>
      <c r="H373" s="495">
        <v>819</v>
      </c>
      <c r="I373" s="495">
        <v>960</v>
      </c>
      <c r="J373" s="496">
        <v>5.9</v>
      </c>
      <c r="K373" s="493"/>
    </row>
    <row r="374" spans="1:11" ht="11.1" customHeight="1" x14ac:dyDescent="0.3">
      <c r="A374" s="493"/>
      <c r="B374" s="493" t="s">
        <v>436</v>
      </c>
      <c r="C374" s="493" t="s">
        <v>437</v>
      </c>
      <c r="D374" s="493"/>
      <c r="E374" s="493"/>
      <c r="F374" s="493"/>
      <c r="G374" s="494">
        <v>6.9</v>
      </c>
      <c r="H374" s="495">
        <v>202</v>
      </c>
      <c r="I374" s="495">
        <v>210</v>
      </c>
      <c r="J374" s="496">
        <v>15.1</v>
      </c>
      <c r="K374" s="493"/>
    </row>
    <row r="375" spans="1:11" ht="11.1" customHeight="1" x14ac:dyDescent="0.3">
      <c r="A375" s="493"/>
      <c r="B375" s="493"/>
      <c r="C375" s="493" t="s">
        <v>438</v>
      </c>
      <c r="D375" s="493" t="s">
        <v>439</v>
      </c>
      <c r="E375" s="493"/>
      <c r="F375" s="493"/>
      <c r="G375" s="494">
        <v>2.8</v>
      </c>
      <c r="H375" s="495">
        <v>81</v>
      </c>
      <c r="I375" s="495">
        <v>40</v>
      </c>
      <c r="J375" s="496">
        <v>25.9</v>
      </c>
      <c r="K375" s="493"/>
    </row>
    <row r="376" spans="1:11" ht="11.1" customHeight="1" x14ac:dyDescent="0.3">
      <c r="A376" s="493"/>
      <c r="B376" s="493"/>
      <c r="C376" s="493" t="s">
        <v>440</v>
      </c>
      <c r="D376" s="493" t="s">
        <v>441</v>
      </c>
      <c r="E376" s="493"/>
      <c r="F376" s="493"/>
      <c r="G376" s="494">
        <v>4.0999999999999996</v>
      </c>
      <c r="H376" s="495">
        <v>121</v>
      </c>
      <c r="I376" s="495">
        <v>170</v>
      </c>
      <c r="J376" s="496">
        <v>18.7</v>
      </c>
      <c r="K376" s="493"/>
    </row>
    <row r="377" spans="1:11" ht="11.1" customHeight="1" x14ac:dyDescent="0.3">
      <c r="A377" s="493"/>
      <c r="B377" s="493"/>
      <c r="C377" s="493"/>
      <c r="D377" s="493"/>
      <c r="E377" s="493"/>
      <c r="F377" s="493"/>
      <c r="G377" s="494"/>
      <c r="H377" s="502"/>
      <c r="I377" s="502"/>
      <c r="J377" s="503"/>
      <c r="K377" s="493"/>
    </row>
    <row r="378" spans="1:11" ht="11.1" customHeight="1" x14ac:dyDescent="0.3">
      <c r="A378" s="493"/>
      <c r="B378" s="493" t="s">
        <v>442</v>
      </c>
      <c r="C378" s="493" t="s">
        <v>443</v>
      </c>
      <c r="D378" s="493"/>
      <c r="E378" s="493"/>
      <c r="F378" s="493"/>
      <c r="G378" s="494">
        <v>20.399999999999999</v>
      </c>
      <c r="H378" s="495">
        <v>597</v>
      </c>
      <c r="I378" s="495">
        <v>750</v>
      </c>
      <c r="J378" s="496">
        <v>6.1</v>
      </c>
      <c r="K378" s="493"/>
    </row>
    <row r="379" spans="1:11" ht="11.1" customHeight="1" x14ac:dyDescent="0.3">
      <c r="A379" s="493"/>
      <c r="B379" s="493"/>
      <c r="C379" s="493" t="s">
        <v>444</v>
      </c>
      <c r="D379" s="493" t="s">
        <v>439</v>
      </c>
      <c r="E379" s="493"/>
      <c r="F379" s="493"/>
      <c r="G379" s="494">
        <v>13.1</v>
      </c>
      <c r="H379" s="495">
        <v>383</v>
      </c>
      <c r="I379" s="495">
        <v>350</v>
      </c>
      <c r="J379" s="496">
        <v>7.3</v>
      </c>
      <c r="K379" s="493"/>
    </row>
    <row r="380" spans="1:11" ht="11.1" customHeight="1" x14ac:dyDescent="0.3">
      <c r="A380" s="493"/>
      <c r="B380" s="493"/>
      <c r="C380" s="493" t="s">
        <v>445</v>
      </c>
      <c r="D380" s="493" t="s">
        <v>446</v>
      </c>
      <c r="E380" s="493"/>
      <c r="F380" s="493"/>
      <c r="G380" s="494">
        <v>7.3</v>
      </c>
      <c r="H380" s="495">
        <v>214</v>
      </c>
      <c r="I380" s="495">
        <v>450</v>
      </c>
      <c r="J380" s="496">
        <v>9.6</v>
      </c>
      <c r="K380" s="493"/>
    </row>
    <row r="381" spans="1:11" ht="11.1" customHeight="1" x14ac:dyDescent="0.3">
      <c r="A381" s="493"/>
      <c r="B381" s="493"/>
      <c r="C381" s="493"/>
      <c r="D381" s="493"/>
      <c r="E381" s="493"/>
      <c r="F381" s="493"/>
      <c r="G381" s="494"/>
      <c r="H381" s="502"/>
      <c r="I381" s="502"/>
      <c r="J381" s="503"/>
      <c r="K381" s="493"/>
    </row>
    <row r="382" spans="1:11" ht="11.1" customHeight="1" x14ac:dyDescent="0.3">
      <c r="A382" s="493"/>
      <c r="B382" s="493" t="s">
        <v>447</v>
      </c>
      <c r="C382" s="493" t="s">
        <v>448</v>
      </c>
      <c r="D382" s="493"/>
      <c r="E382" s="493"/>
      <c r="F382" s="493"/>
      <c r="G382" s="494">
        <v>0.7</v>
      </c>
      <c r="H382" s="495">
        <v>20</v>
      </c>
      <c r="I382" s="495">
        <v>40</v>
      </c>
      <c r="J382" s="496">
        <v>26.8</v>
      </c>
      <c r="K382" s="493"/>
    </row>
    <row r="383" spans="1:11" ht="11.1" customHeight="1" x14ac:dyDescent="0.3">
      <c r="A383" s="493"/>
      <c r="B383" s="493"/>
      <c r="C383" s="493" t="s">
        <v>449</v>
      </c>
      <c r="D383" s="493" t="s">
        <v>450</v>
      </c>
      <c r="E383" s="493"/>
      <c r="F383" s="493"/>
      <c r="G383" s="494" t="s">
        <v>230</v>
      </c>
      <c r="H383" s="495" t="s">
        <v>230</v>
      </c>
      <c r="I383" s="495" t="s">
        <v>230</v>
      </c>
      <c r="J383" s="496" t="s">
        <v>230</v>
      </c>
      <c r="K383" s="493"/>
    </row>
    <row r="384" spans="1:11" ht="11.1" customHeight="1" x14ac:dyDescent="0.3">
      <c r="A384" s="493"/>
      <c r="B384" s="493"/>
      <c r="C384" s="493" t="s">
        <v>451</v>
      </c>
      <c r="D384" s="493" t="s">
        <v>452</v>
      </c>
      <c r="E384" s="493"/>
      <c r="F384" s="493"/>
      <c r="G384" s="494" t="s">
        <v>230</v>
      </c>
      <c r="H384" s="495" t="s">
        <v>230</v>
      </c>
      <c r="I384" s="495" t="s">
        <v>230</v>
      </c>
      <c r="J384" s="496" t="s">
        <v>230</v>
      </c>
      <c r="K384" s="493"/>
    </row>
    <row r="385" spans="1:11" ht="11.1" customHeight="1" x14ac:dyDescent="0.3">
      <c r="A385" s="493"/>
      <c r="B385" s="493"/>
      <c r="C385" s="493" t="s">
        <v>453</v>
      </c>
      <c r="D385" s="493" t="s">
        <v>454</v>
      </c>
      <c r="E385" s="493"/>
      <c r="F385" s="493"/>
      <c r="G385" s="494">
        <v>0.5</v>
      </c>
      <c r="H385" s="495">
        <v>15</v>
      </c>
      <c r="I385" s="495">
        <v>30</v>
      </c>
      <c r="J385" s="496">
        <v>32.700000000000003</v>
      </c>
      <c r="K385" s="493"/>
    </row>
    <row r="386" spans="1:11" ht="11.1" customHeight="1" x14ac:dyDescent="0.3">
      <c r="A386" s="493"/>
      <c r="B386" s="493"/>
      <c r="C386" s="493"/>
      <c r="D386" s="493"/>
      <c r="E386" s="493"/>
      <c r="F386" s="493"/>
      <c r="G386" s="494"/>
      <c r="H386" s="502"/>
      <c r="I386" s="502"/>
      <c r="J386" s="503"/>
      <c r="K386" s="493"/>
    </row>
    <row r="387" spans="1:11" ht="11.1" customHeight="1" x14ac:dyDescent="0.3">
      <c r="A387" s="497">
        <v>7.2</v>
      </c>
      <c r="B387" s="493" t="s">
        <v>455</v>
      </c>
      <c r="C387" s="493"/>
      <c r="D387" s="493"/>
      <c r="E387" s="493"/>
      <c r="F387" s="493"/>
      <c r="G387" s="494">
        <v>33.200000000000003</v>
      </c>
      <c r="H387" s="495">
        <v>973</v>
      </c>
      <c r="I387" s="495">
        <v>3480</v>
      </c>
      <c r="J387" s="496">
        <v>2</v>
      </c>
      <c r="K387" s="493"/>
    </row>
    <row r="388" spans="1:11" ht="11.1" customHeight="1" x14ac:dyDescent="0.3">
      <c r="A388" s="493"/>
      <c r="B388" s="493" t="s">
        <v>456</v>
      </c>
      <c r="C388" s="493" t="s">
        <v>457</v>
      </c>
      <c r="D388" s="493"/>
      <c r="E388" s="493"/>
      <c r="F388" s="493"/>
      <c r="G388" s="494">
        <v>2</v>
      </c>
      <c r="H388" s="495">
        <v>60</v>
      </c>
      <c r="I388" s="495">
        <v>270</v>
      </c>
      <c r="J388" s="496">
        <v>17.600000000000001</v>
      </c>
      <c r="K388" s="493"/>
    </row>
    <row r="389" spans="1:11" ht="11.1" customHeight="1" x14ac:dyDescent="0.3">
      <c r="A389" s="493"/>
      <c r="B389" s="493"/>
      <c r="C389" s="493" t="s">
        <v>458</v>
      </c>
      <c r="D389" s="493" t="s">
        <v>459</v>
      </c>
      <c r="E389" s="493"/>
      <c r="F389" s="493"/>
      <c r="G389" s="494">
        <v>0.1</v>
      </c>
      <c r="H389" s="495">
        <v>4</v>
      </c>
      <c r="I389" s="495">
        <v>60</v>
      </c>
      <c r="J389" s="496">
        <v>66</v>
      </c>
      <c r="K389" s="493"/>
    </row>
    <row r="390" spans="1:11" ht="11.1" customHeight="1" x14ac:dyDescent="0.3">
      <c r="A390" s="493"/>
      <c r="B390" s="493"/>
      <c r="C390" s="493" t="s">
        <v>460</v>
      </c>
      <c r="D390" s="493" t="s">
        <v>461</v>
      </c>
      <c r="E390" s="493"/>
      <c r="F390" s="493"/>
      <c r="G390" s="494">
        <v>1.7</v>
      </c>
      <c r="H390" s="495">
        <v>50</v>
      </c>
      <c r="I390" s="495">
        <v>170</v>
      </c>
      <c r="J390" s="496">
        <v>19.2</v>
      </c>
      <c r="K390" s="493"/>
    </row>
    <row r="391" spans="1:11" ht="11.1" customHeight="1" x14ac:dyDescent="0.3">
      <c r="A391" s="493"/>
      <c r="B391" s="493"/>
      <c r="C391" s="493" t="s">
        <v>462</v>
      </c>
      <c r="D391" s="493" t="s">
        <v>463</v>
      </c>
      <c r="E391" s="493"/>
      <c r="F391" s="493"/>
      <c r="G391" s="494" t="s">
        <v>230</v>
      </c>
      <c r="H391" s="495" t="s">
        <v>230</v>
      </c>
      <c r="I391" s="495" t="s">
        <v>230</v>
      </c>
      <c r="J391" s="496" t="s">
        <v>230</v>
      </c>
      <c r="K391" s="493"/>
    </row>
    <row r="392" spans="1:11" ht="11.1" customHeight="1" x14ac:dyDescent="0.3">
      <c r="A392" s="493"/>
      <c r="B392" s="493"/>
      <c r="C392" s="493" t="s">
        <v>464</v>
      </c>
      <c r="D392" s="493" t="s">
        <v>465</v>
      </c>
      <c r="E392" s="493"/>
      <c r="F392" s="493"/>
      <c r="G392" s="494">
        <v>0.2</v>
      </c>
      <c r="H392" s="495">
        <v>5</v>
      </c>
      <c r="I392" s="495">
        <v>40</v>
      </c>
      <c r="J392" s="496">
        <v>65.099999999999994</v>
      </c>
      <c r="K392" s="493"/>
    </row>
    <row r="393" spans="1:11" ht="11.1" customHeight="1" x14ac:dyDescent="0.3">
      <c r="A393" s="493"/>
      <c r="B393" s="493"/>
      <c r="C393" s="493"/>
      <c r="D393" s="493"/>
      <c r="E393" s="493"/>
      <c r="F393" s="493"/>
      <c r="G393" s="494"/>
      <c r="H393" s="502"/>
      <c r="I393" s="502"/>
      <c r="J393" s="503"/>
      <c r="K393" s="493"/>
    </row>
    <row r="394" spans="1:11" ht="11.1" customHeight="1" x14ac:dyDescent="0.3">
      <c r="A394" s="493"/>
      <c r="B394" s="493" t="s">
        <v>466</v>
      </c>
      <c r="C394" s="493" t="s">
        <v>467</v>
      </c>
      <c r="D394" s="493"/>
      <c r="E394" s="493"/>
      <c r="F394" s="493"/>
      <c r="G394" s="494">
        <v>21.1</v>
      </c>
      <c r="H394" s="495">
        <v>617</v>
      </c>
      <c r="I394" s="495">
        <v>2610</v>
      </c>
      <c r="J394" s="496">
        <v>1.8</v>
      </c>
      <c r="K394" s="493"/>
    </row>
    <row r="395" spans="1:11" ht="11.1" customHeight="1" x14ac:dyDescent="0.3">
      <c r="A395" s="493"/>
      <c r="B395" s="493"/>
      <c r="C395" s="493" t="s">
        <v>468</v>
      </c>
      <c r="D395" s="493" t="s">
        <v>469</v>
      </c>
      <c r="E395" s="493"/>
      <c r="F395" s="493"/>
      <c r="G395" s="494">
        <v>12.9</v>
      </c>
      <c r="H395" s="495">
        <v>379</v>
      </c>
      <c r="I395" s="495">
        <v>1830</v>
      </c>
      <c r="J395" s="496">
        <v>2.2000000000000002</v>
      </c>
      <c r="K395" s="493"/>
    </row>
    <row r="396" spans="1:11" ht="11.1" customHeight="1" x14ac:dyDescent="0.3">
      <c r="A396" s="493"/>
      <c r="B396" s="493"/>
      <c r="C396" s="493" t="s">
        <v>470</v>
      </c>
      <c r="D396" s="493" t="s">
        <v>471</v>
      </c>
      <c r="E396" s="493"/>
      <c r="F396" s="493"/>
      <c r="G396" s="494">
        <v>8</v>
      </c>
      <c r="H396" s="495">
        <v>235</v>
      </c>
      <c r="I396" s="495">
        <v>1040</v>
      </c>
      <c r="J396" s="496">
        <v>3.3</v>
      </c>
      <c r="K396" s="493"/>
    </row>
    <row r="397" spans="1:11" ht="11.1" customHeight="1" x14ac:dyDescent="0.3">
      <c r="A397" s="493"/>
      <c r="B397" s="493"/>
      <c r="C397" s="493" t="s">
        <v>472</v>
      </c>
      <c r="D397" s="493" t="s">
        <v>473</v>
      </c>
      <c r="E397" s="493"/>
      <c r="F397" s="493"/>
      <c r="G397" s="494">
        <v>0.1</v>
      </c>
      <c r="H397" s="495">
        <v>3</v>
      </c>
      <c r="I397" s="495">
        <v>40</v>
      </c>
      <c r="J397" s="496">
        <v>17.8</v>
      </c>
      <c r="K397" s="493"/>
    </row>
    <row r="398" spans="1:11" ht="11.1" customHeight="1" x14ac:dyDescent="0.3">
      <c r="A398" s="493"/>
      <c r="B398" s="493"/>
      <c r="C398" s="493"/>
      <c r="D398" s="493"/>
      <c r="E398" s="493"/>
      <c r="F398" s="493"/>
      <c r="G398" s="494"/>
      <c r="H398" s="502"/>
      <c r="I398" s="502"/>
      <c r="J398" s="503"/>
      <c r="K398" s="493"/>
    </row>
    <row r="399" spans="1:11" ht="11.1" customHeight="1" x14ac:dyDescent="0.3">
      <c r="A399" s="493"/>
      <c r="B399" s="493" t="s">
        <v>474</v>
      </c>
      <c r="C399" s="493" t="s">
        <v>475</v>
      </c>
      <c r="D399" s="493"/>
      <c r="E399" s="493"/>
      <c r="F399" s="493"/>
      <c r="G399" s="494">
        <v>7.6</v>
      </c>
      <c r="H399" s="495">
        <v>224</v>
      </c>
      <c r="I399" s="495">
        <v>2550</v>
      </c>
      <c r="J399" s="496">
        <v>3.8</v>
      </c>
      <c r="K399" s="493"/>
    </row>
    <row r="400" spans="1:11" ht="11.1" customHeight="1" x14ac:dyDescent="0.3">
      <c r="A400" s="493"/>
      <c r="B400" s="493"/>
      <c r="C400" s="493" t="s">
        <v>476</v>
      </c>
      <c r="D400" s="493" t="s">
        <v>477</v>
      </c>
      <c r="E400" s="493"/>
      <c r="F400" s="493"/>
      <c r="G400" s="494">
        <v>7.6</v>
      </c>
      <c r="H400" s="495">
        <v>222</v>
      </c>
      <c r="I400" s="495">
        <v>2540</v>
      </c>
      <c r="J400" s="496">
        <v>3.8</v>
      </c>
      <c r="K400" s="493"/>
    </row>
    <row r="401" spans="1:11" ht="11.1" customHeight="1" x14ac:dyDescent="0.3">
      <c r="A401" s="493"/>
      <c r="B401" s="493"/>
      <c r="C401" s="493" t="s">
        <v>478</v>
      </c>
      <c r="D401" s="493" t="s">
        <v>479</v>
      </c>
      <c r="E401" s="493"/>
      <c r="F401" s="493"/>
      <c r="G401" s="494">
        <v>0.1</v>
      </c>
      <c r="H401" s="495">
        <v>2</v>
      </c>
      <c r="I401" s="495">
        <v>30</v>
      </c>
      <c r="J401" s="496">
        <v>13.9</v>
      </c>
      <c r="K401" s="493"/>
    </row>
    <row r="402" spans="1:11" ht="11.1" customHeight="1" x14ac:dyDescent="0.3">
      <c r="A402" s="493"/>
      <c r="B402" s="493"/>
      <c r="C402" s="493"/>
      <c r="D402" s="493"/>
      <c r="E402" s="493"/>
      <c r="F402" s="493"/>
      <c r="G402" s="494"/>
      <c r="H402" s="502"/>
      <c r="I402" s="502"/>
      <c r="J402" s="503"/>
      <c r="K402" s="493"/>
    </row>
    <row r="403" spans="1:11" ht="11.1" customHeight="1" x14ac:dyDescent="0.3">
      <c r="A403" s="493"/>
      <c r="B403" s="493" t="s">
        <v>480</v>
      </c>
      <c r="C403" s="493" t="s">
        <v>481</v>
      </c>
      <c r="D403" s="493"/>
      <c r="E403" s="493"/>
      <c r="F403" s="493"/>
      <c r="G403" s="494">
        <v>2.5</v>
      </c>
      <c r="H403" s="495">
        <v>72</v>
      </c>
      <c r="I403" s="495">
        <v>1420</v>
      </c>
      <c r="J403" s="496">
        <v>5.7</v>
      </c>
      <c r="K403" s="493"/>
    </row>
    <row r="404" spans="1:11" ht="11.1" customHeight="1" x14ac:dyDescent="0.3">
      <c r="A404" s="493"/>
      <c r="B404" s="493"/>
      <c r="C404" s="493" t="s">
        <v>482</v>
      </c>
      <c r="D404" s="493" t="s">
        <v>483</v>
      </c>
      <c r="E404" s="493"/>
      <c r="F404" s="493"/>
      <c r="G404" s="494">
        <v>0.4</v>
      </c>
      <c r="H404" s="495">
        <v>11</v>
      </c>
      <c r="I404" s="495">
        <v>470</v>
      </c>
      <c r="J404" s="496">
        <v>8.3000000000000007</v>
      </c>
      <c r="K404" s="493"/>
    </row>
    <row r="405" spans="1:11" ht="11.1" customHeight="1" x14ac:dyDescent="0.3">
      <c r="A405" s="493"/>
      <c r="B405" s="493"/>
      <c r="C405" s="493" t="s">
        <v>484</v>
      </c>
      <c r="D405" s="493" t="s">
        <v>485</v>
      </c>
      <c r="E405" s="493"/>
      <c r="F405" s="493"/>
      <c r="G405" s="494">
        <v>0.9</v>
      </c>
      <c r="H405" s="495">
        <v>26</v>
      </c>
      <c r="I405" s="495">
        <v>250</v>
      </c>
      <c r="J405" s="496">
        <v>11</v>
      </c>
      <c r="K405" s="493"/>
    </row>
    <row r="406" spans="1:11" ht="11.1" customHeight="1" x14ac:dyDescent="0.3">
      <c r="A406" s="493"/>
      <c r="B406" s="493"/>
      <c r="C406" s="493" t="s">
        <v>486</v>
      </c>
      <c r="D406" s="493" t="s">
        <v>487</v>
      </c>
      <c r="E406" s="493"/>
      <c r="F406" s="493"/>
      <c r="G406" s="494">
        <v>0.8</v>
      </c>
      <c r="H406" s="495">
        <v>23</v>
      </c>
      <c r="I406" s="495">
        <v>800</v>
      </c>
      <c r="J406" s="496">
        <v>5.7</v>
      </c>
      <c r="K406" s="493"/>
    </row>
    <row r="407" spans="1:11" ht="11.1" customHeight="1" x14ac:dyDescent="0.3">
      <c r="A407" s="493"/>
      <c r="B407" s="493"/>
      <c r="C407" s="493" t="s">
        <v>488</v>
      </c>
      <c r="D407" s="493" t="s">
        <v>489</v>
      </c>
      <c r="E407" s="493"/>
      <c r="F407" s="493"/>
      <c r="G407" s="494" t="s">
        <v>1155</v>
      </c>
      <c r="H407" s="495" t="s">
        <v>1293</v>
      </c>
      <c r="I407" s="495">
        <v>20</v>
      </c>
      <c r="J407" s="496">
        <v>21.1</v>
      </c>
      <c r="K407" s="493"/>
    </row>
    <row r="408" spans="1:11" ht="11.1" customHeight="1" x14ac:dyDescent="0.3">
      <c r="A408" s="493"/>
      <c r="B408" s="493"/>
      <c r="C408" s="493" t="s">
        <v>490</v>
      </c>
      <c r="D408" s="493" t="s">
        <v>491</v>
      </c>
      <c r="E408" s="493"/>
      <c r="F408" s="493"/>
      <c r="G408" s="494">
        <v>0.2</v>
      </c>
      <c r="H408" s="495">
        <v>5</v>
      </c>
      <c r="I408" s="495">
        <v>200</v>
      </c>
      <c r="J408" s="496">
        <v>9.4</v>
      </c>
      <c r="K408" s="493"/>
    </row>
    <row r="409" spans="1:11" ht="11.1" customHeight="1" x14ac:dyDescent="0.3">
      <c r="A409" s="493"/>
      <c r="B409" s="493"/>
      <c r="C409" s="493"/>
      <c r="D409" s="493"/>
      <c r="E409" s="493"/>
      <c r="F409" s="493"/>
      <c r="G409" s="494"/>
      <c r="H409" s="502"/>
      <c r="I409" s="502"/>
      <c r="J409" s="503"/>
      <c r="K409" s="493"/>
    </row>
    <row r="410" spans="1:11" ht="11.1" customHeight="1" x14ac:dyDescent="0.3">
      <c r="A410" s="497">
        <v>7.3</v>
      </c>
      <c r="B410" s="493" t="s">
        <v>492</v>
      </c>
      <c r="C410" s="493"/>
      <c r="D410" s="493"/>
      <c r="E410" s="493"/>
      <c r="F410" s="493"/>
      <c r="G410" s="494">
        <v>18.100000000000001</v>
      </c>
      <c r="H410" s="495">
        <v>529</v>
      </c>
      <c r="I410" s="495">
        <v>2010</v>
      </c>
      <c r="J410" s="496">
        <v>3</v>
      </c>
      <c r="K410" s="493"/>
    </row>
    <row r="411" spans="1:11" ht="11.1" customHeight="1" x14ac:dyDescent="0.3">
      <c r="A411" s="493"/>
      <c r="B411" s="493" t="s">
        <v>493</v>
      </c>
      <c r="C411" s="493" t="s">
        <v>494</v>
      </c>
      <c r="D411" s="493"/>
      <c r="E411" s="493"/>
      <c r="F411" s="493"/>
      <c r="G411" s="494">
        <v>2.9</v>
      </c>
      <c r="H411" s="495">
        <v>86</v>
      </c>
      <c r="I411" s="495">
        <v>560</v>
      </c>
      <c r="J411" s="496">
        <v>4.5999999999999996</v>
      </c>
      <c r="K411" s="493"/>
    </row>
    <row r="412" spans="1:11" ht="11.1" customHeight="1" x14ac:dyDescent="0.3">
      <c r="A412" s="493"/>
      <c r="B412" s="493"/>
      <c r="C412" s="493" t="s">
        <v>495</v>
      </c>
      <c r="D412" s="493" t="s">
        <v>496</v>
      </c>
      <c r="E412" s="493"/>
      <c r="F412" s="493"/>
      <c r="G412" s="494">
        <v>0.7</v>
      </c>
      <c r="H412" s="495">
        <v>22</v>
      </c>
      <c r="I412" s="495">
        <v>130</v>
      </c>
      <c r="J412" s="496">
        <v>7.4</v>
      </c>
      <c r="K412" s="493"/>
    </row>
    <row r="413" spans="1:11" ht="11.1" customHeight="1" x14ac:dyDescent="0.3">
      <c r="A413" s="493"/>
      <c r="B413" s="493"/>
      <c r="C413" s="493" t="s">
        <v>497</v>
      </c>
      <c r="D413" s="493" t="s">
        <v>498</v>
      </c>
      <c r="E413" s="493"/>
      <c r="F413" s="493"/>
      <c r="G413" s="494">
        <v>2.2000000000000002</v>
      </c>
      <c r="H413" s="495">
        <v>64</v>
      </c>
      <c r="I413" s="495">
        <v>470</v>
      </c>
      <c r="J413" s="496">
        <v>5.5</v>
      </c>
      <c r="K413" s="493"/>
    </row>
    <row r="414" spans="1:11" ht="11.1" customHeight="1" x14ac:dyDescent="0.3">
      <c r="A414" s="493"/>
      <c r="B414" s="493"/>
      <c r="C414" s="493"/>
      <c r="D414" s="493"/>
      <c r="E414" s="493"/>
      <c r="F414" s="493"/>
      <c r="G414" s="494"/>
      <c r="H414" s="502"/>
      <c r="I414" s="502"/>
      <c r="J414" s="503"/>
      <c r="K414" s="493"/>
    </row>
    <row r="415" spans="1:11" ht="11.1" customHeight="1" x14ac:dyDescent="0.3">
      <c r="A415" s="493"/>
      <c r="B415" s="493" t="s">
        <v>499</v>
      </c>
      <c r="C415" s="493" t="s">
        <v>500</v>
      </c>
      <c r="D415" s="493"/>
      <c r="E415" s="493"/>
      <c r="F415" s="493"/>
      <c r="G415" s="494">
        <v>1</v>
      </c>
      <c r="H415" s="495">
        <v>30</v>
      </c>
      <c r="I415" s="495">
        <v>460</v>
      </c>
      <c r="J415" s="496">
        <v>5.3</v>
      </c>
      <c r="K415" s="493"/>
    </row>
    <row r="416" spans="1:11" ht="11.1" customHeight="1" x14ac:dyDescent="0.3">
      <c r="A416" s="493"/>
      <c r="B416" s="493"/>
      <c r="C416" s="493" t="s">
        <v>501</v>
      </c>
      <c r="D416" s="493" t="s">
        <v>496</v>
      </c>
      <c r="E416" s="493"/>
      <c r="F416" s="493"/>
      <c r="G416" s="494">
        <v>0.4</v>
      </c>
      <c r="H416" s="495">
        <v>11</v>
      </c>
      <c r="I416" s="495">
        <v>100</v>
      </c>
      <c r="J416" s="496">
        <v>8.9</v>
      </c>
      <c r="K416" s="493"/>
    </row>
    <row r="417" spans="1:11" ht="11.1" customHeight="1" x14ac:dyDescent="0.3">
      <c r="A417" s="493"/>
      <c r="B417" s="493"/>
      <c r="C417" s="493" t="s">
        <v>502</v>
      </c>
      <c r="D417" s="493" t="s">
        <v>498</v>
      </c>
      <c r="E417" s="493"/>
      <c r="F417" s="493"/>
      <c r="G417" s="494">
        <v>0.6</v>
      </c>
      <c r="H417" s="495">
        <v>18</v>
      </c>
      <c r="I417" s="495">
        <v>380</v>
      </c>
      <c r="J417" s="496">
        <v>6</v>
      </c>
      <c r="K417" s="493"/>
    </row>
    <row r="418" spans="1:11" ht="11.1" customHeight="1" x14ac:dyDescent="0.3">
      <c r="A418" s="493"/>
      <c r="B418" s="493"/>
      <c r="C418" s="493"/>
      <c r="D418" s="493"/>
      <c r="E418" s="493"/>
      <c r="F418" s="493"/>
      <c r="G418" s="494"/>
      <c r="H418" s="502"/>
      <c r="I418" s="502"/>
      <c r="J418" s="503"/>
      <c r="K418" s="493"/>
    </row>
    <row r="419" spans="1:11" ht="11.1" customHeight="1" x14ac:dyDescent="0.3">
      <c r="A419" s="493"/>
      <c r="B419" s="493" t="s">
        <v>503</v>
      </c>
      <c r="C419" s="493" t="s">
        <v>504</v>
      </c>
      <c r="D419" s="493"/>
      <c r="E419" s="493"/>
      <c r="F419" s="493"/>
      <c r="G419" s="494">
        <v>0.3</v>
      </c>
      <c r="H419" s="495">
        <v>9</v>
      </c>
      <c r="I419" s="495">
        <v>40</v>
      </c>
      <c r="J419" s="496">
        <v>8.4</v>
      </c>
      <c r="K419" s="493"/>
    </row>
    <row r="420" spans="1:11" ht="11.1" customHeight="1" x14ac:dyDescent="0.3">
      <c r="A420" s="493"/>
      <c r="B420" s="493"/>
      <c r="C420" s="493" t="s">
        <v>505</v>
      </c>
      <c r="D420" s="493" t="s">
        <v>506</v>
      </c>
      <c r="E420" s="493"/>
      <c r="F420" s="493"/>
      <c r="G420" s="494">
        <v>0.2</v>
      </c>
      <c r="H420" s="495">
        <v>6</v>
      </c>
      <c r="I420" s="495">
        <v>30</v>
      </c>
      <c r="J420" s="496">
        <v>5.8</v>
      </c>
      <c r="K420" s="493"/>
    </row>
    <row r="421" spans="1:11" ht="11.1" customHeight="1" x14ac:dyDescent="0.3">
      <c r="A421" s="493"/>
      <c r="B421" s="493"/>
      <c r="C421" s="493" t="s">
        <v>507</v>
      </c>
      <c r="D421" s="493" t="s">
        <v>508</v>
      </c>
      <c r="E421" s="493"/>
      <c r="F421" s="493"/>
      <c r="G421" s="494" t="s">
        <v>1190</v>
      </c>
      <c r="H421" s="495" t="s">
        <v>1191</v>
      </c>
      <c r="I421" s="495">
        <v>10</v>
      </c>
      <c r="J421" s="496">
        <v>24</v>
      </c>
      <c r="K421" s="493"/>
    </row>
    <row r="422" spans="1:11" ht="11.1" customHeight="1" x14ac:dyDescent="0.3">
      <c r="A422" s="493"/>
      <c r="B422" s="493"/>
      <c r="C422" s="493"/>
      <c r="D422" s="493"/>
      <c r="E422" s="493"/>
      <c r="F422" s="493"/>
      <c r="G422" s="494"/>
      <c r="H422" s="502"/>
      <c r="I422" s="502"/>
      <c r="J422" s="503"/>
      <c r="K422" s="493"/>
    </row>
    <row r="423" spans="1:11" ht="11.1" customHeight="1" x14ac:dyDescent="0.3">
      <c r="A423" s="493"/>
      <c r="B423" s="493" t="s">
        <v>509</v>
      </c>
      <c r="C423" s="493" t="s">
        <v>510</v>
      </c>
      <c r="D423" s="493"/>
      <c r="E423" s="493"/>
      <c r="F423" s="493"/>
      <c r="G423" s="494">
        <v>13.9</v>
      </c>
      <c r="H423" s="495">
        <v>406</v>
      </c>
      <c r="I423" s="495">
        <v>1510</v>
      </c>
      <c r="J423" s="496">
        <v>3.8</v>
      </c>
      <c r="K423" s="493"/>
    </row>
    <row r="424" spans="1:11" ht="11.1" customHeight="1" x14ac:dyDescent="0.3">
      <c r="A424" s="493"/>
      <c r="B424" s="493"/>
      <c r="C424" s="493" t="s">
        <v>511</v>
      </c>
      <c r="D424" s="493" t="s">
        <v>512</v>
      </c>
      <c r="E424" s="493"/>
      <c r="F424" s="493"/>
      <c r="G424" s="494">
        <v>0.3</v>
      </c>
      <c r="H424" s="495">
        <v>10</v>
      </c>
      <c r="I424" s="495">
        <v>100</v>
      </c>
      <c r="J424" s="496">
        <v>28.2</v>
      </c>
      <c r="K424" s="493"/>
    </row>
    <row r="425" spans="1:11" ht="11.1" customHeight="1" x14ac:dyDescent="0.3">
      <c r="A425" s="493"/>
      <c r="B425" s="493"/>
      <c r="C425" s="493" t="s">
        <v>513</v>
      </c>
      <c r="D425" s="493" t="s">
        <v>514</v>
      </c>
      <c r="E425" s="493"/>
      <c r="F425" s="493"/>
      <c r="G425" s="494">
        <v>6.5</v>
      </c>
      <c r="H425" s="495">
        <v>191</v>
      </c>
      <c r="I425" s="495">
        <v>490</v>
      </c>
      <c r="J425" s="496">
        <v>4.9000000000000004</v>
      </c>
      <c r="K425" s="493"/>
    </row>
    <row r="426" spans="1:11" ht="11.1" customHeight="1" x14ac:dyDescent="0.3">
      <c r="A426" s="493"/>
      <c r="B426" s="493"/>
      <c r="C426" s="493" t="s">
        <v>515</v>
      </c>
      <c r="D426" s="493" t="s">
        <v>516</v>
      </c>
      <c r="E426" s="493"/>
      <c r="F426" s="493"/>
      <c r="G426" s="494" t="s">
        <v>230</v>
      </c>
      <c r="H426" s="495" t="s">
        <v>230</v>
      </c>
      <c r="I426" s="495" t="s">
        <v>230</v>
      </c>
      <c r="J426" s="496" t="s">
        <v>230</v>
      </c>
      <c r="K426" s="493"/>
    </row>
    <row r="427" spans="1:11" ht="11.1" customHeight="1" x14ac:dyDescent="0.3">
      <c r="A427" s="493"/>
      <c r="B427" s="493"/>
      <c r="C427" s="493" t="s">
        <v>517</v>
      </c>
      <c r="D427" s="493" t="s">
        <v>518</v>
      </c>
      <c r="E427" s="493"/>
      <c r="F427" s="493"/>
      <c r="G427" s="494">
        <v>0.9</v>
      </c>
      <c r="H427" s="495">
        <v>25</v>
      </c>
      <c r="I427" s="495">
        <v>280</v>
      </c>
      <c r="J427" s="496">
        <v>7.5</v>
      </c>
      <c r="K427" s="493"/>
    </row>
    <row r="428" spans="1:11" ht="11.1" customHeight="1" x14ac:dyDescent="0.3">
      <c r="A428" s="493"/>
      <c r="B428" s="493"/>
      <c r="C428" s="493" t="s">
        <v>519</v>
      </c>
      <c r="D428" s="493" t="s">
        <v>520</v>
      </c>
      <c r="E428" s="493"/>
      <c r="F428" s="493"/>
      <c r="G428" s="494">
        <v>0.3</v>
      </c>
      <c r="H428" s="495">
        <v>10</v>
      </c>
      <c r="I428" s="495">
        <v>560</v>
      </c>
      <c r="J428" s="496">
        <v>8.6</v>
      </c>
      <c r="K428" s="493"/>
    </row>
    <row r="429" spans="1:11" ht="11.1" customHeight="1" x14ac:dyDescent="0.3">
      <c r="A429" s="493"/>
      <c r="B429" s="493"/>
      <c r="C429" s="493" t="s">
        <v>521</v>
      </c>
      <c r="D429" s="493" t="s">
        <v>522</v>
      </c>
      <c r="E429" s="493"/>
      <c r="F429" s="493"/>
      <c r="G429" s="494">
        <v>0.3</v>
      </c>
      <c r="H429" s="495">
        <v>9</v>
      </c>
      <c r="I429" s="495">
        <v>20</v>
      </c>
      <c r="J429" s="496">
        <v>37.700000000000003</v>
      </c>
      <c r="K429" s="493"/>
    </row>
    <row r="430" spans="1:11" ht="11.1" customHeight="1" x14ac:dyDescent="0.3">
      <c r="A430" s="493"/>
      <c r="B430" s="493"/>
      <c r="C430" s="493" t="s">
        <v>523</v>
      </c>
      <c r="D430" s="493" t="s">
        <v>524</v>
      </c>
      <c r="E430" s="493"/>
      <c r="F430" s="493"/>
      <c r="G430" s="494">
        <v>5.3</v>
      </c>
      <c r="H430" s="495">
        <v>154</v>
      </c>
      <c r="I430" s="495">
        <v>350</v>
      </c>
      <c r="J430" s="496">
        <v>6.3</v>
      </c>
      <c r="K430" s="493"/>
    </row>
    <row r="431" spans="1:11" ht="11.1" customHeight="1" x14ac:dyDescent="0.3">
      <c r="A431" s="493"/>
      <c r="B431" s="493"/>
      <c r="C431" s="493" t="s">
        <v>525</v>
      </c>
      <c r="D431" s="493" t="s">
        <v>526</v>
      </c>
      <c r="E431" s="493"/>
      <c r="F431" s="493"/>
      <c r="G431" s="494">
        <v>0.2</v>
      </c>
      <c r="H431" s="495">
        <v>5</v>
      </c>
      <c r="I431" s="495">
        <v>30</v>
      </c>
      <c r="J431" s="496">
        <v>22.3</v>
      </c>
      <c r="K431" s="493"/>
    </row>
    <row r="432" spans="1:11" ht="11.1" customHeight="1" x14ac:dyDescent="0.3">
      <c r="A432" s="498"/>
      <c r="B432" s="498"/>
      <c r="C432" s="498"/>
      <c r="D432" s="498"/>
      <c r="E432" s="498"/>
      <c r="F432" s="498"/>
      <c r="G432" s="499"/>
      <c r="H432" s="500"/>
      <c r="I432" s="500"/>
      <c r="J432" s="501"/>
      <c r="K432" s="493"/>
    </row>
    <row r="433" spans="1:11" ht="11.1" customHeight="1" x14ac:dyDescent="0.3">
      <c r="A433" s="493"/>
      <c r="B433" s="493"/>
      <c r="C433" s="493"/>
      <c r="D433" s="493"/>
      <c r="E433" s="493"/>
      <c r="F433" s="493"/>
      <c r="G433" s="494"/>
      <c r="H433" s="502"/>
      <c r="I433" s="502"/>
      <c r="J433" s="503"/>
      <c r="K433" s="493"/>
    </row>
    <row r="434" spans="1:11" ht="11.1" customHeight="1" x14ac:dyDescent="0.3">
      <c r="A434" s="493" t="s">
        <v>111</v>
      </c>
      <c r="B434" s="493"/>
      <c r="C434" s="493"/>
      <c r="D434" s="493"/>
      <c r="E434" s="493"/>
      <c r="F434" s="493"/>
      <c r="G434" s="494"/>
      <c r="H434" s="502"/>
      <c r="I434" s="502"/>
      <c r="J434" s="503"/>
      <c r="K434" s="493"/>
    </row>
    <row r="435" spans="1:11" ht="11.1" customHeight="1" x14ac:dyDescent="0.3">
      <c r="A435" s="493" t="s">
        <v>182</v>
      </c>
      <c r="B435" s="493"/>
      <c r="C435" s="493"/>
      <c r="D435" s="493"/>
      <c r="E435" s="493"/>
      <c r="F435" s="493"/>
      <c r="G435" s="494"/>
      <c r="H435" s="502"/>
      <c r="I435" s="502"/>
      <c r="J435" s="503"/>
      <c r="K435" s="493"/>
    </row>
    <row r="436" spans="1:11" ht="11.1" customHeight="1" x14ac:dyDescent="0.3">
      <c r="A436" s="493" t="s">
        <v>112</v>
      </c>
      <c r="B436" s="493"/>
      <c r="C436" s="493"/>
      <c r="D436" s="493"/>
      <c r="E436" s="493"/>
      <c r="F436" s="493"/>
      <c r="G436" s="494"/>
      <c r="H436" s="502"/>
      <c r="I436" s="502"/>
      <c r="J436" s="503"/>
      <c r="K436" s="493"/>
    </row>
    <row r="437" spans="1:11" ht="11.1" customHeight="1" x14ac:dyDescent="0.3">
      <c r="A437" s="493"/>
      <c r="B437" s="493"/>
      <c r="C437" s="493"/>
      <c r="D437" s="493"/>
      <c r="E437" s="493"/>
      <c r="F437" s="493"/>
      <c r="G437" s="494"/>
      <c r="H437" s="502"/>
      <c r="I437" s="502"/>
      <c r="J437" s="503"/>
      <c r="K437" s="493"/>
    </row>
    <row r="438" spans="1:11" ht="11.1" customHeight="1" x14ac:dyDescent="0.3">
      <c r="A438" s="493"/>
      <c r="B438" s="493"/>
      <c r="C438" s="493"/>
      <c r="D438" s="493"/>
      <c r="E438" s="493"/>
      <c r="F438" s="493"/>
      <c r="G438" s="494"/>
      <c r="H438" s="502"/>
      <c r="I438" s="502"/>
      <c r="J438" s="503"/>
      <c r="K438" s="493"/>
    </row>
    <row r="439" spans="1:11" ht="11.1" customHeight="1" x14ac:dyDescent="0.3">
      <c r="A439" s="493"/>
      <c r="B439" s="493"/>
      <c r="C439" s="493"/>
      <c r="D439" s="493"/>
      <c r="E439" s="493"/>
      <c r="F439" s="493"/>
      <c r="G439" s="494"/>
      <c r="H439" s="502"/>
      <c r="I439" s="502"/>
      <c r="J439" s="503"/>
      <c r="K439" s="493"/>
    </row>
    <row r="441" spans="1:11" ht="12.6" customHeight="1" x14ac:dyDescent="0.3">
      <c r="A441" s="446" t="s">
        <v>114</v>
      </c>
      <c r="B441" s="536"/>
      <c r="C441" s="537"/>
      <c r="D441" s="538"/>
      <c r="E441" s="538"/>
      <c r="F441" s="537"/>
      <c r="G441" s="517"/>
      <c r="H441" s="518"/>
      <c r="I441" s="518"/>
      <c r="J441" s="506"/>
      <c r="K441" s="535"/>
    </row>
    <row r="442" spans="1:11" ht="21" customHeight="1" x14ac:dyDescent="0.3">
      <c r="A442" s="507" t="s">
        <v>183</v>
      </c>
      <c r="B442" s="508"/>
      <c r="C442" s="444"/>
      <c r="D442" s="445"/>
      <c r="E442" s="445"/>
      <c r="F442" s="446"/>
      <c r="G442" s="540"/>
      <c r="H442" s="541"/>
      <c r="I442" s="541"/>
      <c r="J442" s="512"/>
      <c r="K442" s="539"/>
    </row>
    <row r="443" spans="1:11" ht="15.6" customHeight="1" x14ac:dyDescent="0.3">
      <c r="A443" s="513" t="s">
        <v>1351</v>
      </c>
      <c r="B443" s="514"/>
      <c r="C443" s="455"/>
      <c r="D443" s="456"/>
      <c r="E443" s="445"/>
      <c r="F443" s="446"/>
      <c r="G443" s="540"/>
      <c r="H443" s="541"/>
      <c r="I443" s="541"/>
      <c r="J443" s="512"/>
      <c r="K443" s="539"/>
    </row>
    <row r="444" spans="1:11" ht="11.1" customHeight="1" x14ac:dyDescent="0.3">
      <c r="A444" s="474"/>
      <c r="B444" s="474"/>
      <c r="C444" s="475"/>
      <c r="D444" s="475"/>
      <c r="E444" s="475"/>
      <c r="F444" s="475"/>
      <c r="G444" s="476"/>
      <c r="H444" s="477"/>
      <c r="I444" s="477"/>
      <c r="J444" s="478"/>
      <c r="K444" s="529"/>
    </row>
    <row r="445" spans="1:11" ht="11.1" customHeight="1" x14ac:dyDescent="0.3">
      <c r="A445" s="464"/>
      <c r="B445" s="464"/>
      <c r="C445" s="465"/>
      <c r="D445" s="465"/>
      <c r="E445" s="465"/>
      <c r="F445" s="465"/>
      <c r="G445" s="517"/>
      <c r="H445" s="518"/>
      <c r="I445" s="518"/>
      <c r="J445" s="519"/>
      <c r="K445" s="529"/>
    </row>
    <row r="446" spans="1:11" ht="11.1" customHeight="1" x14ac:dyDescent="0.3">
      <c r="A446" s="520"/>
      <c r="B446" s="520"/>
      <c r="C446" s="521"/>
      <c r="D446" s="521"/>
      <c r="E446" s="521"/>
      <c r="F446" s="469"/>
      <c r="G446" s="470" t="s">
        <v>116</v>
      </c>
      <c r="H446" s="471" t="s">
        <v>25</v>
      </c>
      <c r="I446" s="471" t="s">
        <v>26</v>
      </c>
      <c r="J446" s="472" t="s">
        <v>117</v>
      </c>
      <c r="K446" s="542"/>
    </row>
    <row r="447" spans="1:11" ht="11.1" customHeight="1" x14ac:dyDescent="0.3">
      <c r="A447" s="520"/>
      <c r="B447" s="520"/>
      <c r="C447" s="521"/>
      <c r="D447" s="521"/>
      <c r="E447" s="521"/>
      <c r="F447" s="469"/>
      <c r="G447" s="473" t="s">
        <v>29</v>
      </c>
      <c r="H447" s="471" t="s">
        <v>27</v>
      </c>
      <c r="I447" s="471" t="s">
        <v>28</v>
      </c>
      <c r="J447" s="472" t="s">
        <v>118</v>
      </c>
      <c r="K447" s="542"/>
    </row>
    <row r="448" spans="1:11" ht="11.1" customHeight="1" x14ac:dyDescent="0.3">
      <c r="A448" s="520"/>
      <c r="B448" s="520"/>
      <c r="C448" s="521"/>
      <c r="D448" s="521"/>
      <c r="E448" s="521"/>
      <c r="F448" s="469"/>
      <c r="G448" s="470" t="s">
        <v>31</v>
      </c>
      <c r="H448" s="471" t="s">
        <v>29</v>
      </c>
      <c r="I448" s="471" t="s">
        <v>30</v>
      </c>
      <c r="J448" s="472" t="s">
        <v>119</v>
      </c>
      <c r="K448" s="542"/>
    </row>
    <row r="449" spans="1:11" ht="11.1" customHeight="1" x14ac:dyDescent="0.3">
      <c r="A449" s="520"/>
      <c r="B449" s="520"/>
      <c r="C449" s="521"/>
      <c r="D449" s="521"/>
      <c r="E449" s="521"/>
      <c r="F449" s="469"/>
      <c r="G449" s="473" t="s">
        <v>32</v>
      </c>
      <c r="H449" s="471" t="s">
        <v>33</v>
      </c>
      <c r="I449" s="471" t="s">
        <v>120</v>
      </c>
      <c r="J449" s="472" t="s">
        <v>121</v>
      </c>
      <c r="K449" s="542"/>
    </row>
    <row r="450" spans="1:11" ht="11.1" customHeight="1" x14ac:dyDescent="0.3">
      <c r="A450" s="474"/>
      <c r="B450" s="474"/>
      <c r="C450" s="475"/>
      <c r="D450" s="475"/>
      <c r="E450" s="475"/>
      <c r="F450" s="475"/>
      <c r="G450" s="476"/>
      <c r="H450" s="477"/>
      <c r="I450" s="477"/>
      <c r="J450" s="478"/>
      <c r="K450" s="529"/>
    </row>
    <row r="451" spans="1:11" ht="11.1" customHeight="1" x14ac:dyDescent="0.3">
      <c r="A451" s="536"/>
      <c r="B451" s="464"/>
      <c r="C451" s="517"/>
      <c r="D451" s="517"/>
      <c r="E451" s="517"/>
      <c r="F451" s="465"/>
      <c r="G451" s="517"/>
      <c r="H451" s="518"/>
      <c r="I451" s="518"/>
      <c r="J451" s="519"/>
      <c r="K451" s="529"/>
    </row>
    <row r="452" spans="1:11" ht="11.1" customHeight="1" x14ac:dyDescent="0.3">
      <c r="A452" s="488" t="s">
        <v>123</v>
      </c>
      <c r="B452" s="522"/>
      <c r="C452" s="523"/>
      <c r="D452" s="524"/>
      <c r="E452" s="524"/>
      <c r="F452" s="525" t="s">
        <v>124</v>
      </c>
      <c r="G452" s="526"/>
      <c r="H452" s="527"/>
      <c r="I452" s="527"/>
      <c r="J452" s="528"/>
      <c r="K452" s="529"/>
    </row>
    <row r="453" spans="1:11" ht="11.1" customHeight="1" x14ac:dyDescent="0.3">
      <c r="A453" s="493"/>
      <c r="B453" s="493"/>
      <c r="C453" s="493"/>
      <c r="D453" s="493"/>
      <c r="E453" s="493"/>
      <c r="F453" s="493"/>
      <c r="G453" s="494"/>
      <c r="H453" s="502"/>
      <c r="I453" s="502"/>
      <c r="J453" s="503"/>
      <c r="K453" s="493"/>
    </row>
    <row r="454" spans="1:11" ht="11.1" customHeight="1" x14ac:dyDescent="0.3">
      <c r="A454" s="530">
        <v>8</v>
      </c>
      <c r="B454" s="489" t="s">
        <v>1353</v>
      </c>
      <c r="C454" s="489"/>
      <c r="D454" s="489"/>
      <c r="E454" s="489"/>
      <c r="F454" s="489"/>
      <c r="G454" s="490">
        <v>20.3</v>
      </c>
      <c r="H454" s="491">
        <v>596</v>
      </c>
      <c r="I454" s="491">
        <v>4390</v>
      </c>
      <c r="J454" s="492">
        <v>1.3</v>
      </c>
      <c r="K454" s="489"/>
    </row>
    <row r="455" spans="1:11" ht="11.1" customHeight="1" x14ac:dyDescent="0.3">
      <c r="A455" s="493"/>
      <c r="B455" s="493"/>
      <c r="C455" s="493"/>
      <c r="D455" s="493"/>
      <c r="E455" s="493"/>
      <c r="F455" s="493"/>
      <c r="G455" s="494"/>
      <c r="H455" s="502"/>
      <c r="I455" s="502"/>
      <c r="J455" s="503"/>
      <c r="K455" s="493"/>
    </row>
    <row r="456" spans="1:11" ht="11.1" customHeight="1" x14ac:dyDescent="0.3">
      <c r="A456" s="497">
        <v>8.1</v>
      </c>
      <c r="B456" s="493" t="s">
        <v>528</v>
      </c>
      <c r="C456" s="493"/>
      <c r="D456" s="493"/>
      <c r="E456" s="493"/>
      <c r="F456" s="493"/>
      <c r="G456" s="494">
        <v>0.6</v>
      </c>
      <c r="H456" s="495">
        <v>17</v>
      </c>
      <c r="I456" s="495">
        <v>630</v>
      </c>
      <c r="J456" s="496">
        <v>7.5</v>
      </c>
      <c r="K456" s="493"/>
    </row>
    <row r="457" spans="1:11" ht="11.1" customHeight="1" x14ac:dyDescent="0.3">
      <c r="A457" s="493"/>
      <c r="B457" s="493"/>
      <c r="C457" s="493"/>
      <c r="D457" s="493"/>
      <c r="E457" s="493"/>
      <c r="F457" s="493"/>
      <c r="G457" s="494"/>
      <c r="H457" s="502"/>
      <c r="I457" s="502"/>
      <c r="J457" s="503"/>
      <c r="K457" s="493"/>
    </row>
    <row r="458" spans="1:11" ht="11.1" customHeight="1" x14ac:dyDescent="0.3">
      <c r="A458" s="497">
        <v>8.1999999999999993</v>
      </c>
      <c r="B458" s="493" t="s">
        <v>529</v>
      </c>
      <c r="C458" s="493"/>
      <c r="D458" s="493"/>
      <c r="E458" s="493"/>
      <c r="F458" s="493"/>
      <c r="G458" s="494">
        <v>0.8</v>
      </c>
      <c r="H458" s="495">
        <v>25</v>
      </c>
      <c r="I458" s="495">
        <v>150</v>
      </c>
      <c r="J458" s="496">
        <v>21</v>
      </c>
      <c r="K458" s="493"/>
    </row>
    <row r="459" spans="1:11" ht="11.1" customHeight="1" x14ac:dyDescent="0.3">
      <c r="A459" s="493"/>
      <c r="B459" s="493" t="s">
        <v>530</v>
      </c>
      <c r="C459" s="493" t="s">
        <v>531</v>
      </c>
      <c r="D459" s="493"/>
      <c r="E459" s="493"/>
      <c r="F459" s="493"/>
      <c r="G459" s="494" t="s">
        <v>1352</v>
      </c>
      <c r="H459" s="495" t="s">
        <v>1113</v>
      </c>
      <c r="I459" s="495">
        <v>20</v>
      </c>
      <c r="J459" s="496">
        <v>48.6</v>
      </c>
      <c r="K459" s="493"/>
    </row>
    <row r="460" spans="1:11" ht="11.1" customHeight="1" x14ac:dyDescent="0.3">
      <c r="A460" s="493"/>
      <c r="B460" s="493" t="s">
        <v>532</v>
      </c>
      <c r="C460" s="493" t="s">
        <v>533</v>
      </c>
      <c r="D460" s="493"/>
      <c r="E460" s="493"/>
      <c r="F460" s="493"/>
      <c r="G460" s="494">
        <v>0.8</v>
      </c>
      <c r="H460" s="495">
        <v>23</v>
      </c>
      <c r="I460" s="495">
        <v>130</v>
      </c>
      <c r="J460" s="496">
        <v>22</v>
      </c>
      <c r="K460" s="493"/>
    </row>
    <row r="461" spans="1:11" ht="11.1" customHeight="1" x14ac:dyDescent="0.3">
      <c r="A461" s="493"/>
      <c r="B461" s="493" t="s">
        <v>534</v>
      </c>
      <c r="C461" s="493" t="s">
        <v>535</v>
      </c>
      <c r="D461" s="493"/>
      <c r="E461" s="493"/>
      <c r="F461" s="493"/>
      <c r="G461" s="494" t="s">
        <v>230</v>
      </c>
      <c r="H461" s="495" t="s">
        <v>230</v>
      </c>
      <c r="I461" s="495" t="s">
        <v>230</v>
      </c>
      <c r="J461" s="496" t="s">
        <v>230</v>
      </c>
      <c r="K461" s="493"/>
    </row>
    <row r="462" spans="1:11" ht="11.1" customHeight="1" x14ac:dyDescent="0.3">
      <c r="A462" s="493"/>
      <c r="B462" s="493"/>
      <c r="C462" s="493"/>
      <c r="D462" s="493"/>
      <c r="E462" s="493"/>
      <c r="F462" s="493"/>
      <c r="G462" s="494"/>
      <c r="H462" s="502"/>
      <c r="I462" s="502"/>
      <c r="J462" s="503"/>
      <c r="K462" s="493"/>
    </row>
    <row r="463" spans="1:11" ht="11.1" customHeight="1" x14ac:dyDescent="0.3">
      <c r="A463" s="497">
        <v>8.3000000000000007</v>
      </c>
      <c r="B463" s="493" t="s">
        <v>536</v>
      </c>
      <c r="C463" s="493"/>
      <c r="D463" s="493"/>
      <c r="E463" s="493"/>
      <c r="F463" s="493"/>
      <c r="G463" s="494">
        <v>8.1999999999999993</v>
      </c>
      <c r="H463" s="495">
        <v>239</v>
      </c>
      <c r="I463" s="495">
        <v>3600</v>
      </c>
      <c r="J463" s="496">
        <v>1.5</v>
      </c>
      <c r="K463" s="493"/>
    </row>
    <row r="464" spans="1:11" ht="11.1" customHeight="1" x14ac:dyDescent="0.3">
      <c r="A464" s="493"/>
      <c r="B464" s="493" t="s">
        <v>537</v>
      </c>
      <c r="C464" s="493" t="s">
        <v>1219</v>
      </c>
      <c r="D464" s="493"/>
      <c r="E464" s="493"/>
      <c r="F464" s="493"/>
      <c r="G464" s="494">
        <v>0.3</v>
      </c>
      <c r="H464" s="495">
        <v>10</v>
      </c>
      <c r="I464" s="495">
        <v>240</v>
      </c>
      <c r="J464" s="496">
        <v>8.5</v>
      </c>
      <c r="K464" s="493"/>
    </row>
    <row r="465" spans="1:11" ht="11.1" customHeight="1" x14ac:dyDescent="0.3">
      <c r="A465" s="493"/>
      <c r="B465" s="493" t="s">
        <v>539</v>
      </c>
      <c r="C465" s="493" t="s">
        <v>540</v>
      </c>
      <c r="D465" s="493"/>
      <c r="E465" s="493"/>
      <c r="F465" s="493"/>
      <c r="G465" s="494" t="s">
        <v>230</v>
      </c>
      <c r="H465" s="495" t="s">
        <v>230</v>
      </c>
      <c r="I465" s="495" t="s">
        <v>230</v>
      </c>
      <c r="J465" s="496" t="s">
        <v>230</v>
      </c>
      <c r="K465" s="493"/>
    </row>
    <row r="466" spans="1:11" ht="11.1" customHeight="1" x14ac:dyDescent="0.3">
      <c r="A466" s="493"/>
      <c r="B466" s="493" t="s">
        <v>541</v>
      </c>
      <c r="C466" s="493" t="s">
        <v>1220</v>
      </c>
      <c r="D466" s="493"/>
      <c r="E466" s="493"/>
      <c r="F466" s="493"/>
      <c r="G466" s="494">
        <v>7.7</v>
      </c>
      <c r="H466" s="495">
        <v>226</v>
      </c>
      <c r="I466" s="495">
        <v>3460</v>
      </c>
      <c r="J466" s="496">
        <v>1.6</v>
      </c>
      <c r="K466" s="493"/>
    </row>
    <row r="467" spans="1:11" ht="11.1" customHeight="1" x14ac:dyDescent="0.3">
      <c r="A467" s="493"/>
      <c r="B467" s="493" t="s">
        <v>543</v>
      </c>
      <c r="C467" s="493" t="s">
        <v>544</v>
      </c>
      <c r="D467" s="493"/>
      <c r="E467" s="493"/>
      <c r="F467" s="493"/>
      <c r="G467" s="494">
        <v>0.1</v>
      </c>
      <c r="H467" s="495">
        <v>4</v>
      </c>
      <c r="I467" s="495">
        <v>80</v>
      </c>
      <c r="J467" s="496">
        <v>16.399999999999999</v>
      </c>
      <c r="K467" s="493"/>
    </row>
    <row r="468" spans="1:11" ht="11.1" customHeight="1" x14ac:dyDescent="0.3">
      <c r="A468" s="493"/>
      <c r="B468" s="493"/>
      <c r="C468" s="493"/>
      <c r="D468" s="493"/>
      <c r="E468" s="493"/>
      <c r="F468" s="493"/>
      <c r="G468" s="494"/>
      <c r="H468" s="502"/>
      <c r="I468" s="502"/>
      <c r="J468" s="503"/>
      <c r="K468" s="493"/>
    </row>
    <row r="469" spans="1:11" ht="11.1" customHeight="1" x14ac:dyDescent="0.3">
      <c r="A469" s="497">
        <v>8.4</v>
      </c>
      <c r="B469" s="493" t="s">
        <v>1223</v>
      </c>
      <c r="C469" s="493"/>
      <c r="D469" s="493"/>
      <c r="E469" s="493"/>
      <c r="F469" s="493"/>
      <c r="G469" s="494">
        <v>1.4</v>
      </c>
      <c r="H469" s="495">
        <v>42</v>
      </c>
      <c r="I469" s="495">
        <v>830</v>
      </c>
      <c r="J469" s="496">
        <v>2.7</v>
      </c>
      <c r="K469" s="493"/>
    </row>
    <row r="470" spans="1:11" ht="11.1" customHeight="1" x14ac:dyDescent="0.3">
      <c r="A470" s="493"/>
      <c r="B470" s="493"/>
      <c r="C470" s="493"/>
      <c r="D470" s="493"/>
      <c r="E470" s="493"/>
      <c r="F470" s="493"/>
      <c r="G470" s="494"/>
      <c r="H470" s="502"/>
      <c r="I470" s="502"/>
      <c r="J470" s="503"/>
      <c r="K470" s="493"/>
    </row>
    <row r="471" spans="1:11" ht="11.1" customHeight="1" x14ac:dyDescent="0.3">
      <c r="A471" s="497">
        <v>8.5</v>
      </c>
      <c r="B471" s="493" t="s">
        <v>1224</v>
      </c>
      <c r="C471" s="493"/>
      <c r="D471" s="493"/>
      <c r="E471" s="493"/>
      <c r="F471" s="493"/>
      <c r="G471" s="494">
        <v>9.4</v>
      </c>
      <c r="H471" s="495">
        <v>274</v>
      </c>
      <c r="I471" s="495">
        <v>3300</v>
      </c>
      <c r="J471" s="496">
        <v>1.2</v>
      </c>
      <c r="K471" s="493"/>
    </row>
    <row r="472" spans="1:11" ht="11.1" customHeight="1" x14ac:dyDescent="0.3">
      <c r="A472" s="493"/>
      <c r="B472" s="493"/>
      <c r="C472" s="493"/>
      <c r="D472" s="493"/>
      <c r="E472" s="493"/>
      <c r="F472" s="493"/>
      <c r="G472" s="494"/>
      <c r="H472" s="502"/>
      <c r="I472" s="502"/>
      <c r="J472" s="503"/>
      <c r="K472" s="493"/>
    </row>
    <row r="473" spans="1:11" ht="11.1" customHeight="1" x14ac:dyDescent="0.3">
      <c r="A473" s="457"/>
      <c r="B473" s="457"/>
      <c r="C473" s="457"/>
      <c r="D473" s="459"/>
      <c r="E473" s="459"/>
      <c r="F473" s="459"/>
      <c r="G473" s="476"/>
      <c r="H473" s="477"/>
      <c r="I473" s="477"/>
      <c r="J473" s="478"/>
      <c r="K473" s="546"/>
    </row>
    <row r="474" spans="1:11" ht="11.1" customHeight="1" x14ac:dyDescent="0.3">
      <c r="A474" s="530">
        <v>9</v>
      </c>
      <c r="B474" s="489" t="s">
        <v>15</v>
      </c>
      <c r="C474" s="489"/>
      <c r="D474" s="489"/>
      <c r="E474" s="489"/>
      <c r="F474" s="489"/>
      <c r="G474" s="490">
        <v>65.400000000000006</v>
      </c>
      <c r="H474" s="491">
        <v>1914</v>
      </c>
      <c r="I474" s="491">
        <v>4390</v>
      </c>
      <c r="J474" s="492">
        <v>2.6</v>
      </c>
      <c r="K474" s="489"/>
    </row>
    <row r="475" spans="1:11" ht="11.1" customHeight="1" x14ac:dyDescent="0.3">
      <c r="A475" s="493"/>
      <c r="B475" s="493"/>
      <c r="C475" s="493"/>
      <c r="D475" s="493"/>
      <c r="E475" s="493"/>
      <c r="F475" s="493"/>
      <c r="G475" s="494"/>
      <c r="H475" s="502"/>
      <c r="I475" s="502"/>
      <c r="J475" s="503"/>
      <c r="K475" s="493"/>
    </row>
    <row r="476" spans="1:11" ht="11.1" customHeight="1" x14ac:dyDescent="0.3">
      <c r="A476" s="497">
        <v>9.1</v>
      </c>
      <c r="B476" s="493" t="s">
        <v>548</v>
      </c>
      <c r="C476" s="493"/>
      <c r="D476" s="493"/>
      <c r="E476" s="493"/>
      <c r="F476" s="493"/>
      <c r="G476" s="494">
        <v>2.7</v>
      </c>
      <c r="H476" s="495">
        <v>80</v>
      </c>
      <c r="I476" s="495">
        <v>540</v>
      </c>
      <c r="J476" s="496">
        <v>21.9</v>
      </c>
      <c r="K476" s="493"/>
    </row>
    <row r="477" spans="1:11" ht="11.1" customHeight="1" x14ac:dyDescent="0.3">
      <c r="A477" s="493"/>
      <c r="B477" s="493" t="s">
        <v>549</v>
      </c>
      <c r="C477" s="493" t="s">
        <v>550</v>
      </c>
      <c r="D477" s="493"/>
      <c r="E477" s="493"/>
      <c r="F477" s="493"/>
      <c r="G477" s="494">
        <v>0.7</v>
      </c>
      <c r="H477" s="495">
        <v>20</v>
      </c>
      <c r="I477" s="495">
        <v>200</v>
      </c>
      <c r="J477" s="496">
        <v>14.4</v>
      </c>
      <c r="K477" s="493"/>
    </row>
    <row r="478" spans="1:11" ht="11.1" customHeight="1" x14ac:dyDescent="0.3">
      <c r="A478" s="493"/>
      <c r="B478" s="493"/>
      <c r="C478" s="493" t="s">
        <v>551</v>
      </c>
      <c r="D478" s="493" t="s">
        <v>552</v>
      </c>
      <c r="E478" s="493"/>
      <c r="F478" s="493"/>
      <c r="G478" s="494">
        <v>0.2</v>
      </c>
      <c r="H478" s="495">
        <v>7</v>
      </c>
      <c r="I478" s="495">
        <v>20</v>
      </c>
      <c r="J478" s="496">
        <v>28.3</v>
      </c>
      <c r="K478" s="493"/>
    </row>
    <row r="479" spans="1:11" ht="11.1" customHeight="1" x14ac:dyDescent="0.3">
      <c r="A479" s="493"/>
      <c r="B479" s="493"/>
      <c r="C479" s="493" t="s">
        <v>553</v>
      </c>
      <c r="D479" s="493" t="s">
        <v>554</v>
      </c>
      <c r="E479" s="493"/>
      <c r="F479" s="493"/>
      <c r="G479" s="494">
        <v>0.5</v>
      </c>
      <c r="H479" s="495">
        <v>14</v>
      </c>
      <c r="I479" s="495">
        <v>180</v>
      </c>
      <c r="J479" s="496">
        <v>15.1</v>
      </c>
      <c r="K479" s="493"/>
    </row>
    <row r="480" spans="1:11" ht="11.1" customHeight="1" x14ac:dyDescent="0.3">
      <c r="A480" s="493"/>
      <c r="B480" s="493"/>
      <c r="C480" s="493"/>
      <c r="D480" s="493"/>
      <c r="E480" s="493"/>
      <c r="F480" s="493"/>
      <c r="G480" s="494"/>
      <c r="H480" s="502"/>
      <c r="I480" s="502"/>
      <c r="J480" s="503"/>
      <c r="K480" s="493"/>
    </row>
    <row r="481" spans="1:11" ht="11.1" customHeight="1" x14ac:dyDescent="0.3">
      <c r="A481" s="493"/>
      <c r="B481" s="493" t="s">
        <v>555</v>
      </c>
      <c r="C481" s="493" t="s">
        <v>556</v>
      </c>
      <c r="D481" s="493"/>
      <c r="E481" s="493"/>
      <c r="F481" s="493"/>
      <c r="G481" s="494">
        <v>1.8</v>
      </c>
      <c r="H481" s="495">
        <v>53</v>
      </c>
      <c r="I481" s="495">
        <v>370</v>
      </c>
      <c r="J481" s="496">
        <v>32.5</v>
      </c>
      <c r="K481" s="493"/>
    </row>
    <row r="482" spans="1:11" ht="11.1" customHeight="1" x14ac:dyDescent="0.3">
      <c r="A482" s="493"/>
      <c r="B482" s="493"/>
      <c r="C482" s="493" t="s">
        <v>557</v>
      </c>
      <c r="D482" s="493" t="s">
        <v>558</v>
      </c>
      <c r="E482" s="493"/>
      <c r="F482" s="493"/>
      <c r="G482" s="494">
        <v>0.4</v>
      </c>
      <c r="H482" s="495">
        <v>11</v>
      </c>
      <c r="I482" s="495">
        <v>40</v>
      </c>
      <c r="J482" s="496">
        <v>52.6</v>
      </c>
      <c r="K482" s="493"/>
    </row>
    <row r="483" spans="1:11" ht="11.1" customHeight="1" x14ac:dyDescent="0.3">
      <c r="A483" s="493"/>
      <c r="B483" s="493"/>
      <c r="C483" s="493" t="s">
        <v>559</v>
      </c>
      <c r="D483" s="493" t="s">
        <v>560</v>
      </c>
      <c r="E483" s="493"/>
      <c r="F483" s="493"/>
      <c r="G483" s="494" t="s">
        <v>230</v>
      </c>
      <c r="H483" s="495" t="s">
        <v>230</v>
      </c>
      <c r="I483" s="495" t="s">
        <v>230</v>
      </c>
      <c r="J483" s="496" t="s">
        <v>230</v>
      </c>
      <c r="K483" s="493"/>
    </row>
    <row r="484" spans="1:11" ht="11.1" customHeight="1" x14ac:dyDescent="0.3">
      <c r="A484" s="493"/>
      <c r="B484" s="493"/>
      <c r="C484" s="493" t="s">
        <v>561</v>
      </c>
      <c r="D484" s="493" t="s">
        <v>562</v>
      </c>
      <c r="E484" s="493"/>
      <c r="F484" s="493"/>
      <c r="G484" s="494" t="s">
        <v>230</v>
      </c>
      <c r="H484" s="495" t="s">
        <v>230</v>
      </c>
      <c r="I484" s="495" t="s">
        <v>230</v>
      </c>
      <c r="J484" s="496" t="s">
        <v>230</v>
      </c>
      <c r="K484" s="493"/>
    </row>
    <row r="485" spans="1:11" ht="11.1" customHeight="1" x14ac:dyDescent="0.3">
      <c r="A485" s="493"/>
      <c r="B485" s="493"/>
      <c r="C485" s="493" t="s">
        <v>563</v>
      </c>
      <c r="D485" s="493" t="s">
        <v>564</v>
      </c>
      <c r="E485" s="493"/>
      <c r="F485" s="493"/>
      <c r="G485" s="494" t="s">
        <v>367</v>
      </c>
      <c r="H485" s="495" t="s">
        <v>367</v>
      </c>
      <c r="I485" s="495" t="s">
        <v>367</v>
      </c>
      <c r="J485" s="496" t="s">
        <v>367</v>
      </c>
      <c r="K485" s="493"/>
    </row>
    <row r="486" spans="1:11" ht="11.1" customHeight="1" x14ac:dyDescent="0.3">
      <c r="A486" s="493"/>
      <c r="B486" s="493"/>
      <c r="C486" s="493" t="s">
        <v>565</v>
      </c>
      <c r="D486" s="493" t="s">
        <v>566</v>
      </c>
      <c r="E486" s="493"/>
      <c r="F486" s="493"/>
      <c r="G486" s="494" t="s">
        <v>230</v>
      </c>
      <c r="H486" s="495" t="s">
        <v>230</v>
      </c>
      <c r="I486" s="495" t="s">
        <v>230</v>
      </c>
      <c r="J486" s="496" t="s">
        <v>230</v>
      </c>
      <c r="K486" s="493"/>
    </row>
    <row r="487" spans="1:11" ht="11.1" customHeight="1" x14ac:dyDescent="0.3">
      <c r="A487" s="493"/>
      <c r="B487" s="493"/>
      <c r="C487" s="493" t="s">
        <v>567</v>
      </c>
      <c r="D487" s="493" t="s">
        <v>568</v>
      </c>
      <c r="E487" s="493"/>
      <c r="F487" s="493"/>
      <c r="G487" s="494">
        <v>0.1</v>
      </c>
      <c r="H487" s="495">
        <v>2</v>
      </c>
      <c r="I487" s="495">
        <v>60</v>
      </c>
      <c r="J487" s="496">
        <v>21.1</v>
      </c>
      <c r="K487" s="493"/>
    </row>
    <row r="488" spans="1:11" ht="11.1" customHeight="1" x14ac:dyDescent="0.3">
      <c r="A488" s="493"/>
      <c r="B488" s="493"/>
      <c r="C488" s="493" t="s">
        <v>569</v>
      </c>
      <c r="D488" s="493" t="s">
        <v>570</v>
      </c>
      <c r="E488" s="493"/>
      <c r="F488" s="493"/>
      <c r="G488" s="494">
        <v>1.2</v>
      </c>
      <c r="H488" s="495">
        <v>36</v>
      </c>
      <c r="I488" s="495">
        <v>240</v>
      </c>
      <c r="J488" s="496">
        <v>46</v>
      </c>
      <c r="K488" s="493"/>
    </row>
    <row r="489" spans="1:11" ht="11.1" customHeight="1" x14ac:dyDescent="0.3">
      <c r="A489" s="493"/>
      <c r="B489" s="493"/>
      <c r="C489" s="493" t="s">
        <v>571</v>
      </c>
      <c r="D489" s="493" t="s">
        <v>572</v>
      </c>
      <c r="E489" s="493"/>
      <c r="F489" s="493"/>
      <c r="G489" s="494" t="s">
        <v>1352</v>
      </c>
      <c r="H489" s="495" t="s">
        <v>1113</v>
      </c>
      <c r="I489" s="495">
        <v>20</v>
      </c>
      <c r="J489" s="496">
        <v>20.3</v>
      </c>
      <c r="K489" s="493"/>
    </row>
    <row r="490" spans="1:11" ht="11.1" customHeight="1" x14ac:dyDescent="0.3">
      <c r="A490" s="493"/>
      <c r="B490" s="493"/>
      <c r="C490" s="493" t="s">
        <v>573</v>
      </c>
      <c r="D490" s="493" t="s">
        <v>574</v>
      </c>
      <c r="E490" s="493"/>
      <c r="F490" s="493"/>
      <c r="G490" s="494">
        <v>0.1</v>
      </c>
      <c r="H490" s="495">
        <v>2</v>
      </c>
      <c r="I490" s="495">
        <v>20</v>
      </c>
      <c r="J490" s="496">
        <v>37.799999999999997</v>
      </c>
      <c r="K490" s="493"/>
    </row>
    <row r="491" spans="1:11" ht="11.1" customHeight="1" x14ac:dyDescent="0.3">
      <c r="A491" s="493"/>
      <c r="B491" s="493"/>
      <c r="C491" s="493"/>
      <c r="D491" s="493"/>
      <c r="E491" s="493"/>
      <c r="F491" s="493"/>
      <c r="G491" s="494"/>
      <c r="H491" s="502"/>
      <c r="I491" s="502"/>
      <c r="J491" s="503"/>
      <c r="K491" s="493"/>
    </row>
    <row r="492" spans="1:11" ht="11.1" customHeight="1" x14ac:dyDescent="0.3">
      <c r="A492" s="493"/>
      <c r="B492" s="493" t="s">
        <v>575</v>
      </c>
      <c r="C492" s="493" t="s">
        <v>576</v>
      </c>
      <c r="D492" s="493"/>
      <c r="E492" s="493"/>
      <c r="F492" s="493"/>
      <c r="G492" s="494">
        <v>0.2</v>
      </c>
      <c r="H492" s="495">
        <v>6</v>
      </c>
      <c r="I492" s="495">
        <v>30</v>
      </c>
      <c r="J492" s="496">
        <v>13.3</v>
      </c>
      <c r="K492" s="493"/>
    </row>
    <row r="493" spans="1:11" ht="11.1" customHeight="1" x14ac:dyDescent="0.3">
      <c r="A493" s="493"/>
      <c r="B493" s="493"/>
      <c r="C493" s="493" t="s">
        <v>577</v>
      </c>
      <c r="D493" s="493" t="s">
        <v>578</v>
      </c>
      <c r="E493" s="493"/>
      <c r="F493" s="493"/>
      <c r="G493" s="494" t="s">
        <v>1155</v>
      </c>
      <c r="H493" s="495" t="s">
        <v>1156</v>
      </c>
      <c r="I493" s="495">
        <v>20</v>
      </c>
      <c r="J493" s="496">
        <v>16</v>
      </c>
      <c r="K493" s="493"/>
    </row>
    <row r="494" spans="1:11" ht="11.1" customHeight="1" x14ac:dyDescent="0.3">
      <c r="A494" s="493"/>
      <c r="B494" s="493"/>
      <c r="C494" s="493" t="s">
        <v>579</v>
      </c>
      <c r="D494" s="493" t="s">
        <v>580</v>
      </c>
      <c r="E494" s="493"/>
      <c r="F494" s="493"/>
      <c r="G494" s="494" t="s">
        <v>230</v>
      </c>
      <c r="H494" s="495" t="s">
        <v>230</v>
      </c>
      <c r="I494" s="495" t="s">
        <v>230</v>
      </c>
      <c r="J494" s="496" t="s">
        <v>230</v>
      </c>
      <c r="K494" s="493"/>
    </row>
    <row r="495" spans="1:11" ht="11.1" customHeight="1" x14ac:dyDescent="0.3">
      <c r="A495" s="493"/>
      <c r="B495" s="493"/>
      <c r="C495" s="493" t="s">
        <v>581</v>
      </c>
      <c r="D495" s="493" t="s">
        <v>582</v>
      </c>
      <c r="E495" s="493"/>
      <c r="F495" s="493"/>
      <c r="G495" s="494" t="s">
        <v>230</v>
      </c>
      <c r="H495" s="495" t="s">
        <v>230</v>
      </c>
      <c r="I495" s="495" t="s">
        <v>230</v>
      </c>
      <c r="J495" s="496" t="s">
        <v>230</v>
      </c>
      <c r="K495" s="493"/>
    </row>
    <row r="496" spans="1:11" ht="11.1" customHeight="1" x14ac:dyDescent="0.3">
      <c r="A496" s="493"/>
      <c r="B496" s="493"/>
      <c r="C496" s="493"/>
      <c r="D496" s="493"/>
      <c r="E496" s="493"/>
      <c r="F496" s="493"/>
      <c r="G496" s="494"/>
      <c r="H496" s="502"/>
      <c r="I496" s="502"/>
      <c r="J496" s="503"/>
      <c r="K496" s="493"/>
    </row>
    <row r="497" spans="1:11" ht="11.1" customHeight="1" x14ac:dyDescent="0.3">
      <c r="A497" s="497">
        <v>9.1999999999999993</v>
      </c>
      <c r="B497" s="493" t="s">
        <v>583</v>
      </c>
      <c r="C497" s="493"/>
      <c r="D497" s="493"/>
      <c r="E497" s="493"/>
      <c r="F497" s="493"/>
      <c r="G497" s="494">
        <v>2.7</v>
      </c>
      <c r="H497" s="495">
        <v>78</v>
      </c>
      <c r="I497" s="495">
        <v>100</v>
      </c>
      <c r="J497" s="496">
        <v>35.299999999999997</v>
      </c>
      <c r="K497" s="493"/>
    </row>
    <row r="498" spans="1:11" ht="11.1" customHeight="1" x14ac:dyDescent="0.3">
      <c r="A498" s="493"/>
      <c r="B498" s="493" t="s">
        <v>584</v>
      </c>
      <c r="C498" s="493" t="s">
        <v>585</v>
      </c>
      <c r="D498" s="493"/>
      <c r="E498" s="493"/>
      <c r="F498" s="493"/>
      <c r="G498" s="494" t="s">
        <v>230</v>
      </c>
      <c r="H498" s="495" t="s">
        <v>230</v>
      </c>
      <c r="I498" s="495" t="s">
        <v>230</v>
      </c>
      <c r="J498" s="496" t="s">
        <v>230</v>
      </c>
      <c r="K498" s="493"/>
    </row>
    <row r="499" spans="1:11" ht="11.1" customHeight="1" x14ac:dyDescent="0.3">
      <c r="A499" s="493"/>
      <c r="B499" s="493" t="s">
        <v>586</v>
      </c>
      <c r="C499" s="493" t="s">
        <v>587</v>
      </c>
      <c r="D499" s="493"/>
      <c r="E499" s="493"/>
      <c r="F499" s="493"/>
      <c r="G499" s="494" t="s">
        <v>1354</v>
      </c>
      <c r="H499" s="495" t="s">
        <v>1355</v>
      </c>
      <c r="I499" s="495">
        <v>20</v>
      </c>
      <c r="J499" s="496">
        <v>179.1</v>
      </c>
      <c r="K499" s="493"/>
    </row>
    <row r="500" spans="1:11" ht="11.1" customHeight="1" x14ac:dyDescent="0.3">
      <c r="A500" s="493"/>
      <c r="B500" s="493" t="s">
        <v>588</v>
      </c>
      <c r="C500" s="493" t="s">
        <v>589</v>
      </c>
      <c r="D500" s="493"/>
      <c r="E500" s="493"/>
      <c r="F500" s="493"/>
      <c r="G500" s="494" t="s">
        <v>230</v>
      </c>
      <c r="H500" s="495" t="s">
        <v>230</v>
      </c>
      <c r="I500" s="495" t="s">
        <v>230</v>
      </c>
      <c r="J500" s="496" t="s">
        <v>230</v>
      </c>
      <c r="K500" s="493"/>
    </row>
    <row r="501" spans="1:11" ht="11.1" customHeight="1" x14ac:dyDescent="0.3">
      <c r="A501" s="493"/>
      <c r="B501" s="493" t="s">
        <v>590</v>
      </c>
      <c r="C501" s="493" t="s">
        <v>591</v>
      </c>
      <c r="D501" s="493"/>
      <c r="E501" s="493"/>
      <c r="F501" s="493"/>
      <c r="G501" s="494" t="s">
        <v>1153</v>
      </c>
      <c r="H501" s="495" t="s">
        <v>1312</v>
      </c>
      <c r="I501" s="495">
        <v>10</v>
      </c>
      <c r="J501" s="496">
        <v>22</v>
      </c>
      <c r="K501" s="493"/>
    </row>
    <row r="502" spans="1:11" ht="11.1" customHeight="1" x14ac:dyDescent="0.3">
      <c r="A502" s="493"/>
      <c r="B502" s="493" t="s">
        <v>592</v>
      </c>
      <c r="C502" s="493" t="s">
        <v>593</v>
      </c>
      <c r="D502" s="493"/>
      <c r="E502" s="493"/>
      <c r="F502" s="493"/>
      <c r="G502" s="494" t="s">
        <v>230</v>
      </c>
      <c r="H502" s="495" t="s">
        <v>230</v>
      </c>
      <c r="I502" s="495" t="s">
        <v>230</v>
      </c>
      <c r="J502" s="496" t="s">
        <v>230</v>
      </c>
      <c r="K502" s="493"/>
    </row>
    <row r="503" spans="1:11" ht="11.1" customHeight="1" x14ac:dyDescent="0.3">
      <c r="A503" s="493"/>
      <c r="B503" s="493" t="s">
        <v>594</v>
      </c>
      <c r="C503" s="493" t="s">
        <v>595</v>
      </c>
      <c r="D503" s="493"/>
      <c r="E503" s="493"/>
      <c r="F503" s="493"/>
      <c r="G503" s="494">
        <v>0.7</v>
      </c>
      <c r="H503" s="495">
        <v>21</v>
      </c>
      <c r="I503" s="495">
        <v>50</v>
      </c>
      <c r="J503" s="496">
        <v>13.6</v>
      </c>
      <c r="K503" s="493"/>
    </row>
    <row r="504" spans="1:11" ht="11.1" customHeight="1" x14ac:dyDescent="0.3">
      <c r="A504" s="493"/>
      <c r="B504" s="493" t="s">
        <v>596</v>
      </c>
      <c r="C504" s="493" t="s">
        <v>597</v>
      </c>
      <c r="D504" s="493"/>
      <c r="E504" s="493"/>
      <c r="F504" s="493"/>
      <c r="G504" s="494" t="s">
        <v>230</v>
      </c>
      <c r="H504" s="495" t="s">
        <v>230</v>
      </c>
      <c r="I504" s="495" t="s">
        <v>230</v>
      </c>
      <c r="J504" s="496" t="s">
        <v>230</v>
      </c>
      <c r="K504" s="493"/>
    </row>
    <row r="505" spans="1:11" ht="11.1" customHeight="1" x14ac:dyDescent="0.3">
      <c r="A505" s="493"/>
      <c r="B505" s="493" t="s">
        <v>598</v>
      </c>
      <c r="C505" s="493" t="s">
        <v>599</v>
      </c>
      <c r="D505" s="493"/>
      <c r="E505" s="493"/>
      <c r="F505" s="493"/>
      <c r="G505" s="494" t="s">
        <v>230</v>
      </c>
      <c r="H505" s="495" t="s">
        <v>230</v>
      </c>
      <c r="I505" s="495" t="s">
        <v>230</v>
      </c>
      <c r="J505" s="496" t="s">
        <v>230</v>
      </c>
      <c r="K505" s="493"/>
    </row>
    <row r="506" spans="1:11" ht="11.1" customHeight="1" x14ac:dyDescent="0.3">
      <c r="A506" s="493"/>
      <c r="B506" s="493"/>
      <c r="C506" s="493"/>
      <c r="D506" s="493"/>
      <c r="E506" s="493"/>
      <c r="F506" s="493"/>
      <c r="G506" s="494"/>
      <c r="H506" s="502"/>
      <c r="I506" s="502"/>
      <c r="J506" s="503"/>
      <c r="K506" s="493"/>
    </row>
    <row r="507" spans="1:11" ht="11.1" customHeight="1" x14ac:dyDescent="0.3">
      <c r="A507" s="497">
        <v>9.3000000000000007</v>
      </c>
      <c r="B507" s="493" t="s">
        <v>600</v>
      </c>
      <c r="C507" s="493"/>
      <c r="D507" s="493"/>
      <c r="E507" s="493"/>
      <c r="F507" s="493"/>
      <c r="G507" s="494">
        <v>14.6</v>
      </c>
      <c r="H507" s="495">
        <v>427</v>
      </c>
      <c r="I507" s="495">
        <v>3050</v>
      </c>
      <c r="J507" s="496">
        <v>5.9</v>
      </c>
      <c r="K507" s="493"/>
    </row>
    <row r="508" spans="1:11" ht="11.1" customHeight="1" x14ac:dyDescent="0.3">
      <c r="A508" s="493"/>
      <c r="B508" s="493" t="s">
        <v>601</v>
      </c>
      <c r="C508" s="493" t="s">
        <v>602</v>
      </c>
      <c r="D508" s="493"/>
      <c r="E508" s="493"/>
      <c r="F508" s="493"/>
      <c r="G508" s="494">
        <v>2.8</v>
      </c>
      <c r="H508" s="495">
        <v>81</v>
      </c>
      <c r="I508" s="495">
        <v>1050</v>
      </c>
      <c r="J508" s="496">
        <v>5.7</v>
      </c>
      <c r="K508" s="493"/>
    </row>
    <row r="509" spans="1:11" ht="11.1" customHeight="1" x14ac:dyDescent="0.3">
      <c r="A509" s="493"/>
      <c r="B509" s="493"/>
      <c r="C509" s="493"/>
      <c r="D509" s="493"/>
      <c r="E509" s="493"/>
      <c r="F509" s="493"/>
      <c r="G509" s="494"/>
      <c r="H509" s="502"/>
      <c r="I509" s="502"/>
      <c r="J509" s="503"/>
      <c r="K509" s="493"/>
    </row>
    <row r="510" spans="1:11" ht="11.1" customHeight="1" x14ac:dyDescent="0.3">
      <c r="A510" s="493"/>
      <c r="B510" s="493" t="s">
        <v>603</v>
      </c>
      <c r="C510" s="493" t="s">
        <v>604</v>
      </c>
      <c r="D510" s="493"/>
      <c r="E510" s="493"/>
      <c r="F510" s="493"/>
      <c r="G510" s="494">
        <v>1</v>
      </c>
      <c r="H510" s="495">
        <v>29</v>
      </c>
      <c r="I510" s="495">
        <v>240</v>
      </c>
      <c r="J510" s="496">
        <v>12.1</v>
      </c>
      <c r="K510" s="493"/>
    </row>
    <row r="511" spans="1:11" ht="11.1" customHeight="1" x14ac:dyDescent="0.3">
      <c r="A511" s="493"/>
      <c r="B511" s="493"/>
      <c r="C511" s="493" t="s">
        <v>605</v>
      </c>
      <c r="D511" s="493" t="s">
        <v>606</v>
      </c>
      <c r="E511" s="493"/>
      <c r="F511" s="493"/>
      <c r="G511" s="494">
        <v>0.8</v>
      </c>
      <c r="H511" s="495">
        <v>22</v>
      </c>
      <c r="I511" s="495">
        <v>220</v>
      </c>
      <c r="J511" s="496">
        <v>8.1</v>
      </c>
      <c r="K511" s="493"/>
    </row>
    <row r="512" spans="1:11" ht="11.1" customHeight="1" x14ac:dyDescent="0.3">
      <c r="A512" s="493"/>
      <c r="B512" s="493"/>
      <c r="C512" s="493" t="s">
        <v>607</v>
      </c>
      <c r="D512" s="493" t="s">
        <v>608</v>
      </c>
      <c r="E512" s="493"/>
      <c r="F512" s="493"/>
      <c r="G512" s="494">
        <v>0.2</v>
      </c>
      <c r="H512" s="495">
        <v>7</v>
      </c>
      <c r="I512" s="495">
        <v>30</v>
      </c>
      <c r="J512" s="496">
        <v>43.4</v>
      </c>
      <c r="K512" s="493"/>
    </row>
    <row r="513" spans="1:11" ht="11.1" customHeight="1" x14ac:dyDescent="0.3">
      <c r="A513" s="493"/>
      <c r="B513" s="493"/>
      <c r="C513" s="493"/>
      <c r="D513" s="493"/>
      <c r="E513" s="493"/>
      <c r="F513" s="493"/>
      <c r="G513" s="494"/>
      <c r="H513" s="502"/>
      <c r="I513" s="502"/>
      <c r="J513" s="503"/>
      <c r="K513" s="493"/>
    </row>
    <row r="514" spans="1:11" ht="11.1" customHeight="1" x14ac:dyDescent="0.3">
      <c r="A514" s="493"/>
      <c r="B514" s="493" t="s">
        <v>609</v>
      </c>
      <c r="C514" s="493" t="s">
        <v>610</v>
      </c>
      <c r="D514" s="493"/>
      <c r="E514" s="493"/>
      <c r="F514" s="493"/>
      <c r="G514" s="494">
        <v>1</v>
      </c>
      <c r="H514" s="495">
        <v>29</v>
      </c>
      <c r="I514" s="495">
        <v>260</v>
      </c>
      <c r="J514" s="496">
        <v>58.4</v>
      </c>
      <c r="K514" s="493"/>
    </row>
    <row r="515" spans="1:11" ht="11.1" customHeight="1" x14ac:dyDescent="0.3">
      <c r="A515" s="493"/>
      <c r="B515" s="493"/>
      <c r="C515" s="493"/>
      <c r="D515" s="493"/>
      <c r="E515" s="493"/>
      <c r="F515" s="493"/>
      <c r="G515" s="494"/>
      <c r="H515" s="502"/>
      <c r="I515" s="502"/>
      <c r="J515" s="503"/>
      <c r="K515" s="493"/>
    </row>
    <row r="516" spans="1:11" ht="11.1" customHeight="1" x14ac:dyDescent="0.3">
      <c r="A516" s="493"/>
      <c r="B516" s="493" t="s">
        <v>611</v>
      </c>
      <c r="C516" s="493" t="s">
        <v>612</v>
      </c>
      <c r="D516" s="493"/>
      <c r="E516" s="493"/>
      <c r="F516" s="493"/>
      <c r="G516" s="494">
        <v>3.1</v>
      </c>
      <c r="H516" s="495">
        <v>90</v>
      </c>
      <c r="I516" s="495">
        <v>1510</v>
      </c>
      <c r="J516" s="496">
        <v>7.9</v>
      </c>
      <c r="K516" s="493"/>
    </row>
    <row r="517" spans="1:11" ht="11.1" customHeight="1" x14ac:dyDescent="0.3">
      <c r="A517" s="493"/>
      <c r="B517" s="493"/>
      <c r="C517" s="493" t="s">
        <v>613</v>
      </c>
      <c r="D517" s="493" t="s">
        <v>614</v>
      </c>
      <c r="E517" s="493"/>
      <c r="F517" s="493"/>
      <c r="G517" s="494">
        <v>0.1</v>
      </c>
      <c r="H517" s="495">
        <v>3</v>
      </c>
      <c r="I517" s="495">
        <v>40</v>
      </c>
      <c r="J517" s="496">
        <v>70</v>
      </c>
      <c r="K517" s="493"/>
    </row>
    <row r="518" spans="1:11" ht="11.1" customHeight="1" x14ac:dyDescent="0.3">
      <c r="A518" s="493"/>
      <c r="B518" s="493"/>
      <c r="C518" s="493" t="s">
        <v>615</v>
      </c>
      <c r="D518" s="493" t="s">
        <v>616</v>
      </c>
      <c r="E518" s="493"/>
      <c r="F518" s="493"/>
      <c r="G518" s="494">
        <v>2.8</v>
      </c>
      <c r="H518" s="495">
        <v>82</v>
      </c>
      <c r="I518" s="495">
        <v>1430</v>
      </c>
      <c r="J518" s="496">
        <v>7.8</v>
      </c>
      <c r="K518" s="493"/>
    </row>
    <row r="519" spans="1:11" ht="11.1" customHeight="1" x14ac:dyDescent="0.3">
      <c r="A519" s="493"/>
      <c r="B519" s="493"/>
      <c r="C519" s="493" t="s">
        <v>617</v>
      </c>
      <c r="D519" s="493" t="s">
        <v>618</v>
      </c>
      <c r="E519" s="493"/>
      <c r="F519" s="493"/>
      <c r="G519" s="494">
        <v>0.1</v>
      </c>
      <c r="H519" s="495">
        <v>4</v>
      </c>
      <c r="I519" s="495">
        <v>80</v>
      </c>
      <c r="J519" s="496">
        <v>40</v>
      </c>
      <c r="K519" s="493"/>
    </row>
    <row r="520" spans="1:11" ht="11.1" customHeight="1" x14ac:dyDescent="0.3">
      <c r="A520" s="493"/>
      <c r="B520" s="493"/>
      <c r="C520" s="493" t="s">
        <v>619</v>
      </c>
      <c r="D520" s="493" t="s">
        <v>620</v>
      </c>
      <c r="E520" s="493"/>
      <c r="F520" s="493"/>
      <c r="G520" s="494" t="s">
        <v>1009</v>
      </c>
      <c r="H520" s="495">
        <v>1</v>
      </c>
      <c r="I520" s="495">
        <v>50</v>
      </c>
      <c r="J520" s="496">
        <v>19.899999999999999</v>
      </c>
      <c r="K520" s="493"/>
    </row>
    <row r="521" spans="1:11" ht="11.1" customHeight="1" x14ac:dyDescent="0.3">
      <c r="A521" s="493"/>
      <c r="B521" s="493"/>
      <c r="C521" s="493"/>
      <c r="D521" s="493"/>
      <c r="E521" s="493"/>
      <c r="F521" s="493"/>
      <c r="G521" s="494"/>
      <c r="H521" s="502"/>
      <c r="I521" s="502"/>
      <c r="J521" s="503"/>
      <c r="K521" s="493"/>
    </row>
    <row r="522" spans="1:11" ht="11.1" customHeight="1" x14ac:dyDescent="0.3">
      <c r="A522" s="493"/>
      <c r="B522" s="493" t="s">
        <v>621</v>
      </c>
      <c r="C522" s="493" t="s">
        <v>622</v>
      </c>
      <c r="D522" s="493"/>
      <c r="E522" s="493"/>
      <c r="F522" s="493"/>
      <c r="G522" s="494">
        <v>6.8</v>
      </c>
      <c r="H522" s="495">
        <v>198</v>
      </c>
      <c r="I522" s="495">
        <v>1780</v>
      </c>
      <c r="J522" s="496">
        <v>5.7</v>
      </c>
      <c r="K522" s="493"/>
    </row>
    <row r="523" spans="1:11" ht="11.1" customHeight="1" x14ac:dyDescent="0.3">
      <c r="A523" s="493"/>
      <c r="B523" s="493"/>
      <c r="C523" s="493" t="s">
        <v>623</v>
      </c>
      <c r="D523" s="493" t="s">
        <v>624</v>
      </c>
      <c r="E523" s="493"/>
      <c r="F523" s="493"/>
      <c r="G523" s="494">
        <v>2.8</v>
      </c>
      <c r="H523" s="495">
        <v>83</v>
      </c>
      <c r="I523" s="495">
        <v>1620</v>
      </c>
      <c r="J523" s="496">
        <v>3.5</v>
      </c>
      <c r="K523" s="493"/>
    </row>
    <row r="524" spans="1:11" ht="11.1" customHeight="1" x14ac:dyDescent="0.3">
      <c r="A524" s="493"/>
      <c r="B524" s="493"/>
      <c r="C524" s="493" t="s">
        <v>625</v>
      </c>
      <c r="D524" s="493" t="s">
        <v>626</v>
      </c>
      <c r="E524" s="493"/>
      <c r="F524" s="493"/>
      <c r="G524" s="494">
        <v>1.4</v>
      </c>
      <c r="H524" s="495">
        <v>40</v>
      </c>
      <c r="I524" s="495">
        <v>620</v>
      </c>
      <c r="J524" s="496">
        <v>14.3</v>
      </c>
      <c r="K524" s="493"/>
    </row>
    <row r="525" spans="1:11" ht="11.1" customHeight="1" x14ac:dyDescent="0.3">
      <c r="A525" s="493"/>
      <c r="B525" s="493"/>
      <c r="C525" s="493" t="s">
        <v>627</v>
      </c>
      <c r="D525" s="493" t="s">
        <v>628</v>
      </c>
      <c r="E525" s="493"/>
      <c r="F525" s="493"/>
      <c r="G525" s="494">
        <v>2.6</v>
      </c>
      <c r="H525" s="495">
        <v>75</v>
      </c>
      <c r="I525" s="495">
        <v>270</v>
      </c>
      <c r="J525" s="496">
        <v>11.6</v>
      </c>
      <c r="K525" s="493"/>
    </row>
    <row r="526" spans="1:11" ht="11.1" customHeight="1" x14ac:dyDescent="0.3">
      <c r="A526" s="498"/>
      <c r="B526" s="498"/>
      <c r="C526" s="498"/>
      <c r="D526" s="498"/>
      <c r="E526" s="498"/>
      <c r="F526" s="498"/>
      <c r="G526" s="499"/>
      <c r="H526" s="500"/>
      <c r="I526" s="500"/>
      <c r="J526" s="501"/>
      <c r="K526" s="493"/>
    </row>
    <row r="527" spans="1:11" ht="11.1" customHeight="1" x14ac:dyDescent="0.3">
      <c r="A527" s="493"/>
      <c r="B527" s="493"/>
      <c r="C527" s="493"/>
      <c r="D527" s="493"/>
      <c r="E527" s="493"/>
      <c r="F527" s="493"/>
      <c r="G527" s="494"/>
      <c r="H527" s="502"/>
      <c r="I527" s="502"/>
      <c r="J527" s="503"/>
      <c r="K527" s="493"/>
    </row>
    <row r="528" spans="1:11" ht="11.1" customHeight="1" x14ac:dyDescent="0.3">
      <c r="A528" s="544" t="s">
        <v>111</v>
      </c>
      <c r="B528" s="493"/>
      <c r="C528" s="493"/>
      <c r="D528" s="493"/>
      <c r="E528" s="493"/>
      <c r="F528" s="493"/>
      <c r="G528" s="494"/>
      <c r="H528" s="502"/>
      <c r="I528" s="502"/>
      <c r="J528" s="503"/>
      <c r="K528" s="493"/>
    </row>
    <row r="529" spans="1:11" ht="11.1" customHeight="1" x14ac:dyDescent="0.3">
      <c r="A529" s="544" t="s">
        <v>182</v>
      </c>
      <c r="B529" s="493"/>
      <c r="C529" s="493"/>
      <c r="D529" s="493"/>
      <c r="E529" s="493"/>
      <c r="F529" s="493"/>
      <c r="G529" s="494"/>
      <c r="H529" s="502"/>
      <c r="I529" s="502"/>
      <c r="J529" s="503"/>
      <c r="K529" s="493"/>
    </row>
    <row r="530" spans="1:11" ht="11.1" customHeight="1" x14ac:dyDescent="0.3">
      <c r="A530" s="544" t="s">
        <v>112</v>
      </c>
      <c r="B530" s="493"/>
      <c r="C530" s="493"/>
      <c r="D530" s="493"/>
      <c r="E530" s="493"/>
      <c r="F530" s="493"/>
      <c r="G530" s="494"/>
      <c r="H530" s="502"/>
      <c r="I530" s="502"/>
      <c r="J530" s="503"/>
      <c r="K530" s="493"/>
    </row>
    <row r="531" spans="1:11" ht="11.1" customHeight="1" x14ac:dyDescent="0.3">
      <c r="A531" s="157" t="s">
        <v>629</v>
      </c>
      <c r="B531" s="493"/>
      <c r="C531" s="493"/>
      <c r="D531" s="493"/>
      <c r="E531" s="493"/>
      <c r="F531" s="493"/>
      <c r="G531" s="494"/>
      <c r="H531" s="502"/>
      <c r="I531" s="502"/>
      <c r="J531" s="503"/>
      <c r="K531" s="493"/>
    </row>
    <row r="532" spans="1:11" ht="11.1" customHeight="1" x14ac:dyDescent="0.3">
      <c r="A532" s="157" t="s">
        <v>630</v>
      </c>
      <c r="B532" s="493"/>
      <c r="C532" s="493"/>
      <c r="D532" s="493"/>
      <c r="E532" s="493"/>
      <c r="F532" s="493"/>
      <c r="G532" s="494"/>
      <c r="H532" s="502"/>
      <c r="I532" s="502"/>
      <c r="J532" s="503"/>
      <c r="K532" s="493"/>
    </row>
    <row r="533" spans="1:11" ht="11.1" customHeight="1" x14ac:dyDescent="0.3">
      <c r="A533" s="157" t="s">
        <v>631</v>
      </c>
      <c r="B533" s="493"/>
      <c r="C533" s="493"/>
      <c r="D533" s="493"/>
      <c r="E533" s="493"/>
      <c r="F533" s="493"/>
      <c r="G533" s="494"/>
      <c r="H533" s="502"/>
      <c r="I533" s="502"/>
      <c r="J533" s="503"/>
      <c r="K533" s="493"/>
    </row>
    <row r="534" spans="1:11" ht="11.1" customHeight="1" x14ac:dyDescent="0.3">
      <c r="A534" s="157" t="s">
        <v>632</v>
      </c>
      <c r="B534" s="493"/>
      <c r="C534" s="493"/>
      <c r="D534" s="493"/>
      <c r="E534" s="493"/>
      <c r="F534" s="493"/>
      <c r="G534" s="494"/>
      <c r="H534" s="502"/>
      <c r="I534" s="502"/>
      <c r="J534" s="503"/>
      <c r="K534" s="493"/>
    </row>
    <row r="535" spans="1:11" ht="11.1" customHeight="1" x14ac:dyDescent="0.3">
      <c r="A535" s="157" t="s">
        <v>633</v>
      </c>
    </row>
    <row r="536" spans="1:11" ht="11.1" customHeight="1" x14ac:dyDescent="0.3">
      <c r="A536" s="157" t="s">
        <v>1356</v>
      </c>
    </row>
    <row r="537" spans="1:11" ht="11.1" customHeight="1" x14ac:dyDescent="0.3">
      <c r="A537" s="157" t="s">
        <v>635</v>
      </c>
    </row>
    <row r="538" spans="1:11" ht="11.1" customHeight="1" x14ac:dyDescent="0.3">
      <c r="A538" s="157"/>
    </row>
    <row r="539" spans="1:11" ht="11.1" customHeight="1" x14ac:dyDescent="0.3">
      <c r="A539" s="157"/>
    </row>
    <row r="540" spans="1:11" ht="11.1" customHeight="1" x14ac:dyDescent="0.3">
      <c r="A540" s="446" t="s">
        <v>114</v>
      </c>
      <c r="B540" s="536"/>
      <c r="C540" s="537"/>
      <c r="D540" s="538"/>
      <c r="E540" s="538"/>
      <c r="F540" s="537"/>
      <c r="G540" s="517"/>
      <c r="H540" s="518"/>
      <c r="I540" s="518"/>
      <c r="J540" s="506"/>
      <c r="K540" s="535"/>
    </row>
    <row r="541" spans="1:11" ht="18" customHeight="1" x14ac:dyDescent="0.3">
      <c r="A541" s="507" t="s">
        <v>183</v>
      </c>
      <c r="B541" s="508"/>
      <c r="C541" s="444"/>
      <c r="D541" s="445"/>
      <c r="E541" s="445"/>
      <c r="F541" s="446"/>
      <c r="G541" s="540"/>
      <c r="H541" s="541"/>
      <c r="I541" s="541"/>
      <c r="J541" s="512"/>
      <c r="K541" s="539"/>
    </row>
    <row r="542" spans="1:11" ht="14.4" customHeight="1" x14ac:dyDescent="0.3">
      <c r="A542" s="513" t="s">
        <v>1351</v>
      </c>
      <c r="B542" s="514"/>
      <c r="C542" s="455"/>
      <c r="D542" s="456"/>
      <c r="E542" s="445"/>
      <c r="F542" s="446"/>
      <c r="G542" s="540"/>
      <c r="H542" s="541"/>
      <c r="I542" s="541"/>
      <c r="J542" s="512"/>
      <c r="K542" s="539"/>
    </row>
    <row r="543" spans="1:11" ht="11.1" customHeight="1" x14ac:dyDescent="0.3">
      <c r="A543" s="474"/>
      <c r="B543" s="474"/>
      <c r="C543" s="475"/>
      <c r="D543" s="475"/>
      <c r="E543" s="475"/>
      <c r="F543" s="475"/>
      <c r="G543" s="476"/>
      <c r="H543" s="477"/>
      <c r="I543" s="477"/>
      <c r="J543" s="478"/>
      <c r="K543" s="529"/>
    </row>
    <row r="544" spans="1:11" ht="11.1" customHeight="1" x14ac:dyDescent="0.3">
      <c r="A544" s="464"/>
      <c r="B544" s="464"/>
      <c r="C544" s="465"/>
      <c r="D544" s="465"/>
      <c r="E544" s="465"/>
      <c r="F544" s="465"/>
      <c r="G544" s="517"/>
      <c r="H544" s="518"/>
      <c r="I544" s="518"/>
      <c r="J544" s="519"/>
      <c r="K544" s="529"/>
    </row>
    <row r="545" spans="1:11" ht="11.1" customHeight="1" x14ac:dyDescent="0.3">
      <c r="A545" s="520"/>
      <c r="B545" s="520"/>
      <c r="C545" s="521"/>
      <c r="D545" s="521"/>
      <c r="E545" s="521"/>
      <c r="F545" s="469"/>
      <c r="G545" s="470" t="s">
        <v>116</v>
      </c>
      <c r="H545" s="471" t="s">
        <v>25</v>
      </c>
      <c r="I545" s="471" t="s">
        <v>26</v>
      </c>
      <c r="J545" s="472" t="s">
        <v>117</v>
      </c>
      <c r="K545" s="542"/>
    </row>
    <row r="546" spans="1:11" ht="11.1" customHeight="1" x14ac:dyDescent="0.3">
      <c r="A546" s="520"/>
      <c r="B546" s="520"/>
      <c r="C546" s="521"/>
      <c r="D546" s="521"/>
      <c r="E546" s="521"/>
      <c r="F546" s="469"/>
      <c r="G546" s="473" t="s">
        <v>29</v>
      </c>
      <c r="H546" s="471" t="s">
        <v>27</v>
      </c>
      <c r="I546" s="471" t="s">
        <v>28</v>
      </c>
      <c r="J546" s="472" t="s">
        <v>118</v>
      </c>
      <c r="K546" s="542"/>
    </row>
    <row r="547" spans="1:11" ht="11.1" customHeight="1" x14ac:dyDescent="0.3">
      <c r="A547" s="520"/>
      <c r="B547" s="520"/>
      <c r="C547" s="521"/>
      <c r="D547" s="521"/>
      <c r="E547" s="521"/>
      <c r="F547" s="469"/>
      <c r="G547" s="470" t="s">
        <v>31</v>
      </c>
      <c r="H547" s="471" t="s">
        <v>29</v>
      </c>
      <c r="I547" s="471" t="s">
        <v>30</v>
      </c>
      <c r="J547" s="472" t="s">
        <v>119</v>
      </c>
      <c r="K547" s="542"/>
    </row>
    <row r="548" spans="1:11" ht="11.1" customHeight="1" x14ac:dyDescent="0.3">
      <c r="A548" s="520"/>
      <c r="B548" s="520"/>
      <c r="C548" s="521"/>
      <c r="D548" s="521"/>
      <c r="E548" s="521"/>
      <c r="F548" s="469"/>
      <c r="G548" s="473" t="s">
        <v>32</v>
      </c>
      <c r="H548" s="471" t="s">
        <v>33</v>
      </c>
      <c r="I548" s="471" t="s">
        <v>120</v>
      </c>
      <c r="J548" s="472" t="s">
        <v>121</v>
      </c>
      <c r="K548" s="542"/>
    </row>
    <row r="549" spans="1:11" ht="11.1" customHeight="1" x14ac:dyDescent="0.3">
      <c r="A549" s="474"/>
      <c r="B549" s="474"/>
      <c r="C549" s="475"/>
      <c r="D549" s="475"/>
      <c r="E549" s="475"/>
      <c r="F549" s="475"/>
      <c r="G549" s="476"/>
      <c r="H549" s="477"/>
      <c r="I549" s="477"/>
      <c r="J549" s="478"/>
      <c r="K549" s="529"/>
    </row>
    <row r="550" spans="1:11" ht="11.1" customHeight="1" x14ac:dyDescent="0.3">
      <c r="A550" s="536"/>
      <c r="B550" s="464"/>
      <c r="C550" s="517"/>
      <c r="D550" s="517"/>
      <c r="E550" s="517"/>
      <c r="F550" s="465"/>
      <c r="G550" s="517"/>
      <c r="H550" s="518"/>
      <c r="I550" s="518"/>
      <c r="J550" s="519"/>
      <c r="K550" s="529"/>
    </row>
    <row r="551" spans="1:11" ht="11.1" customHeight="1" x14ac:dyDescent="0.3">
      <c r="A551" s="488" t="s">
        <v>123</v>
      </c>
      <c r="B551" s="522"/>
      <c r="C551" s="523"/>
      <c r="D551" s="524"/>
      <c r="E551" s="524"/>
      <c r="F551" s="525" t="s">
        <v>124</v>
      </c>
      <c r="G551" s="517"/>
      <c r="H551" s="518"/>
      <c r="I551" s="518"/>
      <c r="J551" s="519"/>
      <c r="K551" s="529"/>
    </row>
    <row r="553" spans="1:11" ht="11.1" customHeight="1" x14ac:dyDescent="0.3">
      <c r="A553" s="530">
        <v>9</v>
      </c>
      <c r="B553" s="489" t="s">
        <v>636</v>
      </c>
      <c r="C553" s="489"/>
      <c r="D553" s="489"/>
      <c r="E553" s="489"/>
      <c r="F553" s="489"/>
      <c r="G553" s="490"/>
      <c r="H553" s="531"/>
      <c r="I553" s="531"/>
      <c r="J553" s="532"/>
      <c r="K553" s="489"/>
    </row>
    <row r="554" spans="1:11" ht="11.1" customHeight="1" x14ac:dyDescent="0.3">
      <c r="A554" s="493"/>
      <c r="B554" s="493"/>
      <c r="C554" s="493"/>
      <c r="D554" s="493"/>
      <c r="E554" s="493"/>
      <c r="F554" s="493"/>
      <c r="G554" s="494"/>
      <c r="H554" s="502"/>
      <c r="I554" s="502"/>
      <c r="J554" s="503"/>
      <c r="K554" s="493"/>
    </row>
    <row r="555" spans="1:11" ht="11.1" customHeight="1" x14ac:dyDescent="0.3">
      <c r="A555" s="497">
        <v>9.4</v>
      </c>
      <c r="B555" s="493" t="s">
        <v>637</v>
      </c>
      <c r="C555" s="493"/>
      <c r="D555" s="493"/>
      <c r="E555" s="493"/>
      <c r="F555" s="493"/>
      <c r="G555" s="494">
        <v>17.5</v>
      </c>
      <c r="H555" s="495">
        <v>514</v>
      </c>
      <c r="I555" s="495">
        <v>4270</v>
      </c>
      <c r="J555" s="496">
        <v>2.4</v>
      </c>
      <c r="K555" s="493"/>
    </row>
    <row r="556" spans="1:11" ht="11.1" customHeight="1" x14ac:dyDescent="0.3">
      <c r="A556" s="493"/>
      <c r="B556" s="493" t="s">
        <v>638</v>
      </c>
      <c r="C556" s="493" t="s">
        <v>639</v>
      </c>
      <c r="D556" s="493"/>
      <c r="E556" s="493"/>
      <c r="F556" s="493"/>
      <c r="G556" s="494">
        <v>5.9</v>
      </c>
      <c r="H556" s="495">
        <v>172</v>
      </c>
      <c r="I556" s="495">
        <v>1440</v>
      </c>
      <c r="J556" s="496">
        <v>5.3</v>
      </c>
      <c r="K556" s="493"/>
    </row>
    <row r="557" spans="1:11" ht="11.1" customHeight="1" x14ac:dyDescent="0.3">
      <c r="A557" s="493"/>
      <c r="B557" s="493"/>
      <c r="C557" s="493" t="s">
        <v>640</v>
      </c>
      <c r="D557" s="493" t="s">
        <v>641</v>
      </c>
      <c r="E557" s="493"/>
      <c r="F557" s="493"/>
      <c r="G557" s="494">
        <v>0.5</v>
      </c>
      <c r="H557" s="495">
        <v>14</v>
      </c>
      <c r="I557" s="495">
        <v>110</v>
      </c>
      <c r="J557" s="496">
        <v>14</v>
      </c>
      <c r="K557" s="493"/>
    </row>
    <row r="558" spans="1:11" ht="11.1" customHeight="1" x14ac:dyDescent="0.3">
      <c r="A558" s="493"/>
      <c r="B558" s="493"/>
      <c r="C558" s="493" t="s">
        <v>642</v>
      </c>
      <c r="D558" s="493" t="s">
        <v>643</v>
      </c>
      <c r="E558" s="493"/>
      <c r="F558" s="493"/>
      <c r="G558" s="494">
        <v>1.4</v>
      </c>
      <c r="H558" s="495">
        <v>41</v>
      </c>
      <c r="I558" s="495">
        <v>500</v>
      </c>
      <c r="J558" s="496">
        <v>6.7</v>
      </c>
      <c r="K558" s="493"/>
    </row>
    <row r="559" spans="1:11" ht="11.1" customHeight="1" x14ac:dyDescent="0.3">
      <c r="A559" s="493"/>
      <c r="B559" s="493"/>
      <c r="C559" s="493" t="s">
        <v>644</v>
      </c>
      <c r="D559" s="493" t="s">
        <v>645</v>
      </c>
      <c r="E559" s="493"/>
      <c r="F559" s="493"/>
      <c r="G559" s="494">
        <v>1.9</v>
      </c>
      <c r="H559" s="495">
        <v>56</v>
      </c>
      <c r="I559" s="495">
        <v>760</v>
      </c>
      <c r="J559" s="496">
        <v>7.3</v>
      </c>
      <c r="K559" s="493"/>
    </row>
    <row r="560" spans="1:11" ht="11.1" customHeight="1" x14ac:dyDescent="0.3">
      <c r="A560" s="493"/>
      <c r="B560" s="493"/>
      <c r="C560" s="493" t="s">
        <v>646</v>
      </c>
      <c r="D560" s="493" t="s">
        <v>647</v>
      </c>
      <c r="E560" s="493"/>
      <c r="F560" s="493"/>
      <c r="G560" s="494">
        <v>2</v>
      </c>
      <c r="H560" s="495">
        <v>57</v>
      </c>
      <c r="I560" s="495">
        <v>440</v>
      </c>
      <c r="J560" s="496">
        <v>11.5</v>
      </c>
      <c r="K560" s="493"/>
    </row>
    <row r="561" spans="1:11" ht="11.1" customHeight="1" x14ac:dyDescent="0.3">
      <c r="A561" s="493"/>
      <c r="B561" s="493"/>
      <c r="C561" s="493" t="s">
        <v>648</v>
      </c>
      <c r="D561" s="493" t="s">
        <v>649</v>
      </c>
      <c r="E561" s="493"/>
      <c r="F561" s="493"/>
      <c r="G561" s="494">
        <v>0.1</v>
      </c>
      <c r="H561" s="495">
        <v>3</v>
      </c>
      <c r="I561" s="495">
        <v>20</v>
      </c>
      <c r="J561" s="496">
        <v>14.9</v>
      </c>
      <c r="K561" s="493"/>
    </row>
    <row r="562" spans="1:11" ht="11.1" customHeight="1" x14ac:dyDescent="0.3">
      <c r="A562" s="493"/>
      <c r="B562" s="493"/>
      <c r="C562" s="493"/>
      <c r="D562" s="493"/>
      <c r="E562" s="493"/>
      <c r="F562" s="493"/>
      <c r="G562" s="494"/>
      <c r="H562" s="502"/>
      <c r="I562" s="502"/>
      <c r="J562" s="503"/>
      <c r="K562" s="493"/>
    </row>
    <row r="563" spans="1:11" ht="11.1" customHeight="1" x14ac:dyDescent="0.3">
      <c r="A563" s="493"/>
      <c r="B563" s="493" t="s">
        <v>650</v>
      </c>
      <c r="C563" s="493" t="s">
        <v>651</v>
      </c>
      <c r="D563" s="493"/>
      <c r="E563" s="493"/>
      <c r="F563" s="493"/>
      <c r="G563" s="494">
        <v>2.9</v>
      </c>
      <c r="H563" s="495">
        <v>84</v>
      </c>
      <c r="I563" s="495">
        <v>480</v>
      </c>
      <c r="J563" s="496">
        <v>6.7</v>
      </c>
      <c r="K563" s="493"/>
    </row>
    <row r="564" spans="1:11" ht="11.1" customHeight="1" x14ac:dyDescent="0.3">
      <c r="A564" s="493"/>
      <c r="B564" s="493"/>
      <c r="C564" s="493" t="s">
        <v>652</v>
      </c>
      <c r="D564" s="493" t="s">
        <v>653</v>
      </c>
      <c r="E564" s="493"/>
      <c r="F564" s="493"/>
      <c r="G564" s="494">
        <v>0.4</v>
      </c>
      <c r="H564" s="495">
        <v>11</v>
      </c>
      <c r="I564" s="495">
        <v>170</v>
      </c>
      <c r="J564" s="496">
        <v>6.4</v>
      </c>
      <c r="K564" s="493"/>
    </row>
    <row r="565" spans="1:11" ht="11.1" customHeight="1" x14ac:dyDescent="0.3">
      <c r="A565" s="493"/>
      <c r="B565" s="493"/>
      <c r="C565" s="493" t="s">
        <v>654</v>
      </c>
      <c r="D565" s="493" t="s">
        <v>655</v>
      </c>
      <c r="E565" s="493"/>
      <c r="F565" s="493"/>
      <c r="G565" s="494">
        <v>1.6</v>
      </c>
      <c r="H565" s="495">
        <v>46</v>
      </c>
      <c r="I565" s="495">
        <v>180</v>
      </c>
      <c r="J565" s="496">
        <v>6.5</v>
      </c>
      <c r="K565" s="493"/>
    </row>
    <row r="566" spans="1:11" ht="11.1" customHeight="1" x14ac:dyDescent="0.3">
      <c r="A566" s="493"/>
      <c r="B566" s="493"/>
      <c r="C566" s="493" t="s">
        <v>656</v>
      </c>
      <c r="D566" s="493" t="s">
        <v>657</v>
      </c>
      <c r="E566" s="493"/>
      <c r="F566" s="493"/>
      <c r="G566" s="494">
        <v>0.9</v>
      </c>
      <c r="H566" s="495">
        <v>27</v>
      </c>
      <c r="I566" s="495">
        <v>180</v>
      </c>
      <c r="J566" s="496">
        <v>16.899999999999999</v>
      </c>
      <c r="K566" s="493"/>
    </row>
    <row r="567" spans="1:11" ht="11.1" customHeight="1" x14ac:dyDescent="0.3">
      <c r="A567" s="493"/>
      <c r="B567" s="493"/>
      <c r="C567" s="493"/>
      <c r="D567" s="493"/>
      <c r="E567" s="493"/>
      <c r="F567" s="493"/>
      <c r="G567" s="494"/>
      <c r="H567" s="502"/>
      <c r="I567" s="502"/>
      <c r="J567" s="503"/>
      <c r="K567" s="493"/>
    </row>
    <row r="568" spans="1:11" ht="11.1" customHeight="1" x14ac:dyDescent="0.3">
      <c r="A568" s="493"/>
      <c r="B568" s="493" t="s">
        <v>658</v>
      </c>
      <c r="C568" s="493" t="s">
        <v>659</v>
      </c>
      <c r="D568" s="493"/>
      <c r="E568" s="493"/>
      <c r="F568" s="493"/>
      <c r="G568" s="494">
        <v>5.9</v>
      </c>
      <c r="H568" s="495">
        <v>173</v>
      </c>
      <c r="I568" s="495">
        <v>4180</v>
      </c>
      <c r="J568" s="496">
        <v>1.3</v>
      </c>
      <c r="K568" s="493"/>
    </row>
    <row r="569" spans="1:11" ht="11.1" customHeight="1" x14ac:dyDescent="0.3">
      <c r="A569" s="493"/>
      <c r="B569" s="493"/>
      <c r="C569" s="493" t="s">
        <v>660</v>
      </c>
      <c r="D569" s="493" t="s">
        <v>661</v>
      </c>
      <c r="E569" s="493"/>
      <c r="F569" s="493"/>
      <c r="G569" s="494">
        <v>2.7</v>
      </c>
      <c r="H569" s="495">
        <v>78</v>
      </c>
      <c r="I569" s="495">
        <v>3950</v>
      </c>
      <c r="J569" s="496">
        <v>0.6</v>
      </c>
      <c r="K569" s="493"/>
    </row>
    <row r="570" spans="1:11" ht="11.1" customHeight="1" x14ac:dyDescent="0.3">
      <c r="A570" s="493"/>
      <c r="B570" s="493"/>
      <c r="C570" s="493" t="s">
        <v>662</v>
      </c>
      <c r="D570" s="493" t="s">
        <v>1249</v>
      </c>
      <c r="E570" s="493"/>
      <c r="F570" s="493"/>
      <c r="G570" s="494">
        <v>1.2</v>
      </c>
      <c r="H570" s="495">
        <v>34</v>
      </c>
      <c r="I570" s="495">
        <v>480</v>
      </c>
      <c r="J570" s="496">
        <v>4.9000000000000004</v>
      </c>
      <c r="K570" s="493"/>
    </row>
    <row r="571" spans="1:11" ht="11.1" customHeight="1" x14ac:dyDescent="0.3">
      <c r="A571" s="493"/>
      <c r="B571" s="493"/>
      <c r="C571" s="493" t="s">
        <v>664</v>
      </c>
      <c r="D571" s="493" t="s">
        <v>1251</v>
      </c>
      <c r="E571" s="493"/>
      <c r="F571" s="493"/>
      <c r="G571" s="494" t="s">
        <v>230</v>
      </c>
      <c r="H571" s="495" t="s">
        <v>230</v>
      </c>
      <c r="I571" s="495" t="s">
        <v>230</v>
      </c>
      <c r="J571" s="496" t="s">
        <v>230</v>
      </c>
      <c r="K571" s="493"/>
    </row>
    <row r="572" spans="1:11" ht="11.1" customHeight="1" x14ac:dyDescent="0.3">
      <c r="A572" s="493"/>
      <c r="B572" s="493"/>
      <c r="C572" s="493" t="s">
        <v>666</v>
      </c>
      <c r="D572" s="493" t="s">
        <v>1252</v>
      </c>
      <c r="E572" s="493"/>
      <c r="F572" s="493"/>
      <c r="G572" s="494">
        <v>0.2</v>
      </c>
      <c r="H572" s="495">
        <v>7</v>
      </c>
      <c r="I572" s="495">
        <v>180</v>
      </c>
      <c r="J572" s="496">
        <v>7.7</v>
      </c>
      <c r="K572" s="493"/>
    </row>
    <row r="573" spans="1:11" ht="11.1" customHeight="1" x14ac:dyDescent="0.3">
      <c r="A573" s="493"/>
      <c r="B573" s="493"/>
      <c r="C573" s="493" t="s">
        <v>668</v>
      </c>
      <c r="D573" s="493" t="s">
        <v>669</v>
      </c>
      <c r="E573" s="493"/>
      <c r="F573" s="493"/>
      <c r="G573" s="494" t="s">
        <v>230</v>
      </c>
      <c r="H573" s="495" t="s">
        <v>230</v>
      </c>
      <c r="I573" s="495" t="s">
        <v>230</v>
      </c>
      <c r="J573" s="496" t="s">
        <v>230</v>
      </c>
      <c r="K573" s="493"/>
    </row>
    <row r="574" spans="1:11" ht="11.1" customHeight="1" x14ac:dyDescent="0.3">
      <c r="A574" s="493"/>
      <c r="B574" s="493"/>
      <c r="C574" s="493" t="s">
        <v>670</v>
      </c>
      <c r="D574" s="493" t="s">
        <v>671</v>
      </c>
      <c r="E574" s="493"/>
      <c r="F574" s="493"/>
      <c r="G574" s="494">
        <v>1.8</v>
      </c>
      <c r="H574" s="495">
        <v>54</v>
      </c>
      <c r="I574" s="495">
        <v>1840</v>
      </c>
      <c r="J574" s="496">
        <v>2.2999999999999998</v>
      </c>
      <c r="K574" s="493"/>
    </row>
    <row r="575" spans="1:11" ht="11.1" customHeight="1" x14ac:dyDescent="0.3">
      <c r="A575" s="493"/>
      <c r="B575" s="493"/>
      <c r="C575" s="493"/>
      <c r="D575" s="493"/>
      <c r="E575" s="493"/>
      <c r="F575" s="493"/>
      <c r="G575" s="494"/>
      <c r="H575" s="502"/>
      <c r="I575" s="502"/>
      <c r="J575" s="503"/>
      <c r="K575" s="493"/>
    </row>
    <row r="576" spans="1:11" ht="11.1" customHeight="1" x14ac:dyDescent="0.3">
      <c r="A576" s="493"/>
      <c r="B576" s="493" t="s">
        <v>672</v>
      </c>
      <c r="C576" s="493" t="s">
        <v>673</v>
      </c>
      <c r="D576" s="493"/>
      <c r="E576" s="493"/>
      <c r="F576" s="493"/>
      <c r="G576" s="494">
        <v>1.5</v>
      </c>
      <c r="H576" s="495">
        <v>44</v>
      </c>
      <c r="I576" s="495">
        <v>770</v>
      </c>
      <c r="J576" s="496">
        <v>6.8</v>
      </c>
      <c r="K576" s="493"/>
    </row>
    <row r="577" spans="1:11" ht="11.1" customHeight="1" x14ac:dyDescent="0.3">
      <c r="A577" s="493"/>
      <c r="B577" s="493"/>
      <c r="C577" s="493" t="s">
        <v>674</v>
      </c>
      <c r="D577" s="493" t="s">
        <v>675</v>
      </c>
      <c r="E577" s="493"/>
      <c r="F577" s="493"/>
      <c r="G577" s="494">
        <v>0.6</v>
      </c>
      <c r="H577" s="495">
        <v>18</v>
      </c>
      <c r="I577" s="495">
        <v>230</v>
      </c>
      <c r="J577" s="496">
        <v>8</v>
      </c>
      <c r="K577" s="493"/>
    </row>
    <row r="578" spans="1:11" ht="11.1" customHeight="1" x14ac:dyDescent="0.3">
      <c r="A578" s="493"/>
      <c r="B578" s="493"/>
      <c r="C578" s="493" t="s">
        <v>676</v>
      </c>
      <c r="D578" s="493" t="s">
        <v>677</v>
      </c>
      <c r="E578" s="493"/>
      <c r="F578" s="493"/>
      <c r="G578" s="494">
        <v>0.3</v>
      </c>
      <c r="H578" s="495">
        <v>8</v>
      </c>
      <c r="I578" s="495">
        <v>90</v>
      </c>
      <c r="J578" s="496">
        <v>16.3</v>
      </c>
      <c r="K578" s="493"/>
    </row>
    <row r="579" spans="1:11" ht="11.1" customHeight="1" x14ac:dyDescent="0.3">
      <c r="A579" s="493"/>
      <c r="B579" s="493"/>
      <c r="C579" s="493" t="s">
        <v>678</v>
      </c>
      <c r="D579" s="493" t="s">
        <v>679</v>
      </c>
      <c r="E579" s="493"/>
      <c r="F579" s="493"/>
      <c r="G579" s="494">
        <v>0.6</v>
      </c>
      <c r="H579" s="495">
        <v>18</v>
      </c>
      <c r="I579" s="495">
        <v>530</v>
      </c>
      <c r="J579" s="496">
        <v>13.3</v>
      </c>
      <c r="K579" s="493"/>
    </row>
    <row r="580" spans="1:11" ht="11.1" customHeight="1" x14ac:dyDescent="0.3">
      <c r="A580" s="493"/>
      <c r="B580" s="493"/>
      <c r="C580" s="493"/>
      <c r="D580" s="493"/>
      <c r="E580" s="493"/>
      <c r="F580" s="493"/>
      <c r="G580" s="494"/>
      <c r="H580" s="502"/>
      <c r="I580" s="502"/>
      <c r="J580" s="503"/>
      <c r="K580" s="493"/>
    </row>
    <row r="581" spans="1:11" ht="11.1" customHeight="1" x14ac:dyDescent="0.3">
      <c r="A581" s="493"/>
      <c r="B581" s="493" t="s">
        <v>680</v>
      </c>
      <c r="C581" s="493" t="s">
        <v>681</v>
      </c>
      <c r="D581" s="493"/>
      <c r="E581" s="493"/>
      <c r="F581" s="493"/>
      <c r="G581" s="494"/>
      <c r="H581" s="502"/>
      <c r="I581" s="502"/>
      <c r="J581" s="503"/>
      <c r="K581" s="493"/>
    </row>
    <row r="582" spans="1:11" ht="11.1" customHeight="1" x14ac:dyDescent="0.3">
      <c r="A582" s="493"/>
      <c r="B582" s="493"/>
      <c r="C582" s="493" t="s">
        <v>682</v>
      </c>
      <c r="D582" s="493"/>
      <c r="E582" s="493"/>
      <c r="F582" s="493"/>
      <c r="G582" s="494">
        <v>0.2</v>
      </c>
      <c r="H582" s="495">
        <v>5</v>
      </c>
      <c r="I582" s="495">
        <v>80</v>
      </c>
      <c r="J582" s="496">
        <v>52.6</v>
      </c>
      <c r="K582" s="493"/>
    </row>
    <row r="583" spans="1:11" ht="11.1" customHeight="1" x14ac:dyDescent="0.3">
      <c r="A583" s="493"/>
      <c r="B583" s="493"/>
      <c r="C583" s="493"/>
      <c r="D583" s="493"/>
      <c r="E583" s="493"/>
      <c r="F583" s="493"/>
      <c r="G583" s="494"/>
      <c r="H583" s="502"/>
      <c r="I583" s="502"/>
      <c r="J583" s="503"/>
      <c r="K583" s="493"/>
    </row>
    <row r="584" spans="1:11" ht="11.1" customHeight="1" x14ac:dyDescent="0.3">
      <c r="A584" s="493"/>
      <c r="B584" s="493" t="s">
        <v>683</v>
      </c>
      <c r="C584" s="493" t="s">
        <v>684</v>
      </c>
      <c r="D584" s="493"/>
      <c r="E584" s="493"/>
      <c r="F584" s="493"/>
      <c r="G584" s="494">
        <v>1.2</v>
      </c>
      <c r="H584" s="495">
        <v>36</v>
      </c>
      <c r="I584" s="495">
        <v>890</v>
      </c>
      <c r="J584" s="496">
        <v>4.8</v>
      </c>
      <c r="K584" s="493"/>
    </row>
    <row r="585" spans="1:11" ht="11.1" customHeight="1" x14ac:dyDescent="0.3">
      <c r="A585" s="493"/>
      <c r="B585" s="493"/>
      <c r="C585" s="493" t="s">
        <v>685</v>
      </c>
      <c r="D585" s="493" t="s">
        <v>686</v>
      </c>
      <c r="E585" s="493"/>
      <c r="F585" s="493"/>
      <c r="G585" s="494" t="s">
        <v>230</v>
      </c>
      <c r="H585" s="495" t="s">
        <v>230</v>
      </c>
      <c r="I585" s="495" t="s">
        <v>230</v>
      </c>
      <c r="J585" s="496" t="s">
        <v>230</v>
      </c>
      <c r="K585" s="493"/>
    </row>
    <row r="586" spans="1:11" ht="11.1" customHeight="1" x14ac:dyDescent="0.3">
      <c r="A586" s="493"/>
      <c r="B586" s="493"/>
      <c r="C586" s="493" t="s">
        <v>687</v>
      </c>
      <c r="D586" s="493" t="s">
        <v>688</v>
      </c>
      <c r="E586" s="493"/>
      <c r="F586" s="493"/>
      <c r="G586" s="494">
        <v>0.1</v>
      </c>
      <c r="H586" s="495">
        <v>2</v>
      </c>
      <c r="I586" s="495">
        <v>30</v>
      </c>
      <c r="J586" s="496">
        <v>22.3</v>
      </c>
      <c r="K586" s="493"/>
    </row>
    <row r="587" spans="1:11" ht="11.1" customHeight="1" x14ac:dyDescent="0.3">
      <c r="A587" s="493"/>
      <c r="B587" s="493"/>
      <c r="C587" s="493" t="s">
        <v>689</v>
      </c>
      <c r="D587" s="493" t="s">
        <v>690</v>
      </c>
      <c r="E587" s="493"/>
      <c r="F587" s="493"/>
      <c r="G587" s="494">
        <v>0.9</v>
      </c>
      <c r="H587" s="495">
        <v>27</v>
      </c>
      <c r="I587" s="495">
        <v>790</v>
      </c>
      <c r="J587" s="496">
        <v>4.9000000000000004</v>
      </c>
      <c r="K587" s="493"/>
    </row>
    <row r="588" spans="1:11" ht="11.1" customHeight="1" x14ac:dyDescent="0.3">
      <c r="A588" s="493"/>
      <c r="B588" s="493"/>
      <c r="C588" s="493" t="s">
        <v>691</v>
      </c>
      <c r="D588" s="493" t="s">
        <v>692</v>
      </c>
      <c r="E588" s="493"/>
      <c r="F588" s="493"/>
      <c r="G588" s="494">
        <v>0.2</v>
      </c>
      <c r="H588" s="495">
        <v>6</v>
      </c>
      <c r="I588" s="495">
        <v>130</v>
      </c>
      <c r="J588" s="496">
        <v>14.1</v>
      </c>
      <c r="K588" s="493"/>
    </row>
    <row r="589" spans="1:11" ht="11.1" customHeight="1" x14ac:dyDescent="0.3">
      <c r="A589" s="493"/>
      <c r="B589" s="493"/>
      <c r="C589" s="493"/>
      <c r="D589" s="493"/>
      <c r="E589" s="493"/>
      <c r="F589" s="493"/>
      <c r="G589" s="494"/>
      <c r="H589" s="502"/>
      <c r="I589" s="502"/>
      <c r="J589" s="503"/>
      <c r="K589" s="493"/>
    </row>
    <row r="590" spans="1:11" ht="11.1" customHeight="1" x14ac:dyDescent="0.3">
      <c r="A590" s="497">
        <v>9.5</v>
      </c>
      <c r="B590" s="493" t="s">
        <v>693</v>
      </c>
      <c r="C590" s="493"/>
      <c r="D590" s="493"/>
      <c r="E590" s="493"/>
      <c r="F590" s="493"/>
      <c r="G590" s="494">
        <v>4.0999999999999996</v>
      </c>
      <c r="H590" s="495">
        <v>119</v>
      </c>
      <c r="I590" s="495">
        <v>2830</v>
      </c>
      <c r="J590" s="496">
        <v>2.9</v>
      </c>
      <c r="K590" s="493"/>
    </row>
    <row r="591" spans="1:11" ht="11.1" customHeight="1" x14ac:dyDescent="0.3">
      <c r="A591" s="493"/>
      <c r="B591" s="493" t="s">
        <v>694</v>
      </c>
      <c r="C591" s="493" t="s">
        <v>695</v>
      </c>
      <c r="D591" s="493"/>
      <c r="E591" s="493"/>
      <c r="F591" s="493"/>
      <c r="G591" s="494">
        <v>1</v>
      </c>
      <c r="H591" s="495">
        <v>29</v>
      </c>
      <c r="I591" s="495">
        <v>690</v>
      </c>
      <c r="J591" s="496">
        <v>6</v>
      </c>
      <c r="K591" s="493"/>
    </row>
    <row r="592" spans="1:11" ht="11.1" customHeight="1" x14ac:dyDescent="0.3">
      <c r="A592" s="493"/>
      <c r="B592" s="493" t="s">
        <v>696</v>
      </c>
      <c r="C592" s="493" t="s">
        <v>697</v>
      </c>
      <c r="D592" s="493"/>
      <c r="E592" s="493"/>
      <c r="F592" s="493"/>
      <c r="G592" s="494">
        <v>0.8</v>
      </c>
      <c r="H592" s="495">
        <v>25</v>
      </c>
      <c r="I592" s="495">
        <v>910</v>
      </c>
      <c r="J592" s="496">
        <v>6.1</v>
      </c>
      <c r="K592" s="493"/>
    </row>
    <row r="593" spans="1:11" ht="11.1" customHeight="1" x14ac:dyDescent="0.3">
      <c r="A593" s="493"/>
      <c r="B593" s="493" t="s">
        <v>698</v>
      </c>
      <c r="C593" s="493" t="s">
        <v>699</v>
      </c>
      <c r="D593" s="493"/>
      <c r="E593" s="493"/>
      <c r="F593" s="493"/>
      <c r="G593" s="494">
        <v>1</v>
      </c>
      <c r="H593" s="495">
        <v>30</v>
      </c>
      <c r="I593" s="495">
        <v>1530</v>
      </c>
      <c r="J593" s="496">
        <v>4.2</v>
      </c>
      <c r="K593" s="493"/>
    </row>
    <row r="594" spans="1:11" ht="11.1" customHeight="1" x14ac:dyDescent="0.3">
      <c r="A594" s="493"/>
      <c r="B594" s="493" t="s">
        <v>700</v>
      </c>
      <c r="C594" s="493" t="s">
        <v>701</v>
      </c>
      <c r="D594" s="493"/>
      <c r="E594" s="493"/>
      <c r="F594" s="493"/>
      <c r="G594" s="494">
        <v>0.8</v>
      </c>
      <c r="H594" s="495">
        <v>23</v>
      </c>
      <c r="I594" s="495">
        <v>940</v>
      </c>
      <c r="J594" s="496">
        <v>4.5999999999999996</v>
      </c>
      <c r="K594" s="493"/>
    </row>
    <row r="595" spans="1:11" ht="11.1" customHeight="1" x14ac:dyDescent="0.3">
      <c r="A595" s="493"/>
      <c r="B595" s="493" t="s">
        <v>702</v>
      </c>
      <c r="C595" s="493" t="s">
        <v>703</v>
      </c>
      <c r="D595" s="493"/>
      <c r="E595" s="493"/>
      <c r="F595" s="493"/>
      <c r="G595" s="494">
        <v>0.4</v>
      </c>
      <c r="H595" s="495">
        <v>12</v>
      </c>
      <c r="I595" s="495">
        <v>770</v>
      </c>
      <c r="J595" s="496">
        <v>7.4</v>
      </c>
      <c r="K595" s="493"/>
    </row>
    <row r="596" spans="1:11" ht="11.1" customHeight="1" x14ac:dyDescent="0.3">
      <c r="A596" s="493"/>
      <c r="B596" s="493"/>
      <c r="C596" s="493"/>
      <c r="D596" s="493"/>
      <c r="E596" s="493"/>
      <c r="F596" s="493"/>
      <c r="G596" s="494"/>
      <c r="H596" s="502"/>
      <c r="I596" s="502"/>
      <c r="J596" s="503"/>
      <c r="K596" s="493"/>
    </row>
    <row r="597" spans="1:11" ht="11.1" customHeight="1" x14ac:dyDescent="0.3">
      <c r="A597" s="497">
        <v>9.6</v>
      </c>
      <c r="B597" s="493" t="s">
        <v>1261</v>
      </c>
      <c r="C597" s="493"/>
      <c r="D597" s="493"/>
      <c r="E597" s="493"/>
      <c r="F597" s="493"/>
      <c r="G597" s="494">
        <v>23.8</v>
      </c>
      <c r="H597" s="495">
        <v>697</v>
      </c>
      <c r="I597" s="495">
        <v>750</v>
      </c>
      <c r="J597" s="496">
        <v>3.2</v>
      </c>
      <c r="K597" s="493"/>
    </row>
    <row r="598" spans="1:11" ht="11.1" customHeight="1" x14ac:dyDescent="0.3">
      <c r="A598" s="493"/>
      <c r="B598" s="493" t="s">
        <v>705</v>
      </c>
      <c r="C598" s="493" t="s">
        <v>706</v>
      </c>
      <c r="D598" s="493"/>
      <c r="E598" s="493"/>
      <c r="F598" s="493"/>
      <c r="G598" s="494">
        <v>2.2000000000000002</v>
      </c>
      <c r="H598" s="495">
        <v>64</v>
      </c>
      <c r="I598" s="495">
        <v>170</v>
      </c>
      <c r="J598" s="496">
        <v>8</v>
      </c>
      <c r="K598" s="493"/>
    </row>
    <row r="599" spans="1:11" ht="11.1" customHeight="1" x14ac:dyDescent="0.3">
      <c r="A599" s="493"/>
      <c r="B599" s="493" t="s">
        <v>707</v>
      </c>
      <c r="C599" s="493" t="s">
        <v>708</v>
      </c>
      <c r="D599" s="493"/>
      <c r="E599" s="493"/>
      <c r="F599" s="493"/>
      <c r="G599" s="494">
        <v>21.6</v>
      </c>
      <c r="H599" s="495">
        <v>633</v>
      </c>
      <c r="I599" s="495">
        <v>610</v>
      </c>
      <c r="J599" s="496">
        <v>3.3</v>
      </c>
      <c r="K599" s="493"/>
    </row>
    <row r="600" spans="1:11" ht="11.1" customHeight="1" x14ac:dyDescent="0.3">
      <c r="A600" s="493"/>
      <c r="B600" s="493"/>
      <c r="C600" s="493"/>
      <c r="D600" s="493"/>
      <c r="E600" s="493"/>
      <c r="F600" s="493"/>
      <c r="G600" s="494"/>
      <c r="H600" s="502"/>
      <c r="I600" s="502"/>
      <c r="J600" s="503"/>
      <c r="K600" s="493"/>
    </row>
    <row r="601" spans="1:11" ht="11.1" customHeight="1" x14ac:dyDescent="0.3">
      <c r="A601" s="457"/>
      <c r="B601" s="457"/>
      <c r="C601" s="457"/>
      <c r="D601" s="459"/>
      <c r="E601" s="459"/>
      <c r="F601" s="459"/>
      <c r="G601" s="476"/>
      <c r="H601" s="477"/>
      <c r="I601" s="477"/>
      <c r="J601" s="478"/>
      <c r="K601" s="546"/>
    </row>
    <row r="602" spans="1:11" ht="11.1" customHeight="1" x14ac:dyDescent="0.3">
      <c r="A602" s="530">
        <v>10</v>
      </c>
      <c r="B602" s="489" t="s">
        <v>16</v>
      </c>
      <c r="C602" s="489"/>
      <c r="D602" s="489"/>
      <c r="E602" s="489"/>
      <c r="F602" s="489"/>
      <c r="G602" s="490">
        <v>5.0999999999999996</v>
      </c>
      <c r="H602" s="491">
        <v>150</v>
      </c>
      <c r="I602" s="491">
        <v>180</v>
      </c>
      <c r="J602" s="492">
        <v>24.5</v>
      </c>
      <c r="K602" s="489"/>
    </row>
    <row r="603" spans="1:11" ht="11.1" customHeight="1" x14ac:dyDescent="0.3">
      <c r="A603" s="493"/>
      <c r="B603" s="493"/>
      <c r="C603" s="493"/>
      <c r="D603" s="493"/>
      <c r="E603" s="493"/>
      <c r="F603" s="493"/>
      <c r="G603" s="494"/>
      <c r="H603" s="502"/>
      <c r="I603" s="502"/>
      <c r="J603" s="503"/>
      <c r="K603" s="493"/>
    </row>
    <row r="604" spans="1:11" ht="11.1" customHeight="1" x14ac:dyDescent="0.3">
      <c r="A604" s="497">
        <v>10.1</v>
      </c>
      <c r="B604" s="493" t="s">
        <v>709</v>
      </c>
      <c r="C604" s="493"/>
      <c r="D604" s="493"/>
      <c r="E604" s="493"/>
      <c r="F604" s="493"/>
      <c r="G604" s="494">
        <v>4.7</v>
      </c>
      <c r="H604" s="495">
        <v>137</v>
      </c>
      <c r="I604" s="495">
        <v>150</v>
      </c>
      <c r="J604" s="496">
        <v>26.3</v>
      </c>
      <c r="K604" s="493"/>
    </row>
    <row r="605" spans="1:11" ht="11.1" customHeight="1" x14ac:dyDescent="0.3">
      <c r="A605" s="493"/>
      <c r="B605" s="493" t="s">
        <v>710</v>
      </c>
      <c r="C605" s="493" t="s">
        <v>711</v>
      </c>
      <c r="D605" s="493"/>
      <c r="E605" s="493"/>
      <c r="F605" s="493"/>
      <c r="G605" s="494" t="s">
        <v>230</v>
      </c>
      <c r="H605" s="495" t="s">
        <v>230</v>
      </c>
      <c r="I605" s="495" t="s">
        <v>230</v>
      </c>
      <c r="J605" s="496" t="s">
        <v>230</v>
      </c>
      <c r="K605" s="493"/>
    </row>
    <row r="606" spans="1:11" ht="11.1" customHeight="1" x14ac:dyDescent="0.3">
      <c r="A606" s="493"/>
      <c r="B606" s="493" t="s">
        <v>712</v>
      </c>
      <c r="C606" s="493" t="s">
        <v>713</v>
      </c>
      <c r="D606" s="493"/>
      <c r="E606" s="493"/>
      <c r="F606" s="493"/>
      <c r="G606" s="494" t="s">
        <v>230</v>
      </c>
      <c r="H606" s="495" t="s">
        <v>230</v>
      </c>
      <c r="I606" s="495" t="s">
        <v>230</v>
      </c>
      <c r="J606" s="496" t="s">
        <v>230</v>
      </c>
      <c r="K606" s="493"/>
    </row>
    <row r="607" spans="1:11" ht="11.1" customHeight="1" x14ac:dyDescent="0.3">
      <c r="A607" s="493"/>
      <c r="B607" s="493" t="s">
        <v>714</v>
      </c>
      <c r="C607" s="493" t="s">
        <v>715</v>
      </c>
      <c r="D607" s="493"/>
      <c r="E607" s="493"/>
      <c r="F607" s="493"/>
      <c r="G607" s="494" t="s">
        <v>230</v>
      </c>
      <c r="H607" s="495" t="s">
        <v>230</v>
      </c>
      <c r="I607" s="495" t="s">
        <v>230</v>
      </c>
      <c r="J607" s="496" t="s">
        <v>230</v>
      </c>
      <c r="K607" s="493"/>
    </row>
    <row r="608" spans="1:11" ht="11.1" customHeight="1" x14ac:dyDescent="0.3">
      <c r="A608" s="493"/>
      <c r="B608" s="493" t="s">
        <v>716</v>
      </c>
      <c r="C608" s="493" t="s">
        <v>717</v>
      </c>
      <c r="D608" s="493"/>
      <c r="E608" s="493"/>
      <c r="F608" s="493"/>
      <c r="G608" s="494" t="s">
        <v>230</v>
      </c>
      <c r="H608" s="495" t="s">
        <v>230</v>
      </c>
      <c r="I608" s="495" t="s">
        <v>230</v>
      </c>
      <c r="J608" s="496" t="s">
        <v>230</v>
      </c>
      <c r="K608" s="493"/>
    </row>
    <row r="609" spans="1:11" ht="11.1" customHeight="1" x14ac:dyDescent="0.3">
      <c r="A609" s="493"/>
      <c r="B609" s="493" t="s">
        <v>718</v>
      </c>
      <c r="C609" s="493" t="s">
        <v>719</v>
      </c>
      <c r="D609" s="493"/>
      <c r="E609" s="493"/>
      <c r="F609" s="493"/>
      <c r="G609" s="494" t="s">
        <v>230</v>
      </c>
      <c r="H609" s="495" t="s">
        <v>230</v>
      </c>
      <c r="I609" s="495" t="s">
        <v>230</v>
      </c>
      <c r="J609" s="496" t="s">
        <v>230</v>
      </c>
      <c r="K609" s="493"/>
    </row>
    <row r="610" spans="1:11" ht="11.1" customHeight="1" x14ac:dyDescent="0.3">
      <c r="A610" s="493"/>
      <c r="B610" s="493"/>
      <c r="C610" s="493"/>
      <c r="D610" s="493"/>
      <c r="E610" s="493"/>
      <c r="F610" s="493"/>
      <c r="G610" s="494"/>
      <c r="H610" s="502"/>
      <c r="I610" s="502"/>
      <c r="J610" s="503"/>
      <c r="K610" s="493"/>
    </row>
    <row r="611" spans="1:11" ht="11.1" customHeight="1" x14ac:dyDescent="0.3">
      <c r="A611" s="497">
        <v>10.199999999999999</v>
      </c>
      <c r="B611" s="493" t="s">
        <v>720</v>
      </c>
      <c r="C611" s="493"/>
      <c r="D611" s="493"/>
      <c r="E611" s="493"/>
      <c r="F611" s="493"/>
      <c r="G611" s="494">
        <v>0.5</v>
      </c>
      <c r="H611" s="495">
        <v>13</v>
      </c>
      <c r="I611" s="495">
        <v>40</v>
      </c>
      <c r="J611" s="496">
        <v>21.9</v>
      </c>
      <c r="K611" s="493"/>
    </row>
    <row r="612" spans="1:11" ht="11.1" customHeight="1" x14ac:dyDescent="0.3">
      <c r="A612" s="493"/>
      <c r="B612" s="493" t="s">
        <v>721</v>
      </c>
      <c r="C612" s="493" t="s">
        <v>711</v>
      </c>
      <c r="D612" s="493"/>
      <c r="E612" s="493"/>
      <c r="F612" s="493"/>
      <c r="G612" s="494" t="s">
        <v>230</v>
      </c>
      <c r="H612" s="495" t="s">
        <v>230</v>
      </c>
      <c r="I612" s="495" t="s">
        <v>230</v>
      </c>
      <c r="J612" s="496" t="s">
        <v>230</v>
      </c>
      <c r="K612" s="493"/>
    </row>
    <row r="613" spans="1:11" ht="11.1" customHeight="1" x14ac:dyDescent="0.3">
      <c r="A613" s="493"/>
      <c r="B613" s="493" t="s">
        <v>722</v>
      </c>
      <c r="C613" s="493" t="s">
        <v>713</v>
      </c>
      <c r="D613" s="493"/>
      <c r="E613" s="493"/>
      <c r="F613" s="493"/>
      <c r="G613" s="494" t="s">
        <v>230</v>
      </c>
      <c r="H613" s="495" t="s">
        <v>230</v>
      </c>
      <c r="I613" s="495" t="s">
        <v>230</v>
      </c>
      <c r="J613" s="496" t="s">
        <v>230</v>
      </c>
      <c r="K613" s="493"/>
    </row>
    <row r="614" spans="1:11" ht="11.1" customHeight="1" x14ac:dyDescent="0.3">
      <c r="A614" s="493"/>
      <c r="B614" s="493" t="s">
        <v>723</v>
      </c>
      <c r="C614" s="493" t="s">
        <v>715</v>
      </c>
      <c r="D614" s="493"/>
      <c r="E614" s="493"/>
      <c r="F614" s="493"/>
      <c r="G614" s="494" t="s">
        <v>230</v>
      </c>
      <c r="H614" s="495" t="s">
        <v>230</v>
      </c>
      <c r="I614" s="495" t="s">
        <v>230</v>
      </c>
      <c r="J614" s="496" t="s">
        <v>230</v>
      </c>
      <c r="K614" s="493"/>
    </row>
    <row r="615" spans="1:11" ht="11.1" customHeight="1" x14ac:dyDescent="0.3">
      <c r="A615" s="493"/>
      <c r="B615" s="493" t="s">
        <v>724</v>
      </c>
      <c r="C615" s="493" t="s">
        <v>717</v>
      </c>
      <c r="D615" s="493"/>
      <c r="E615" s="493"/>
      <c r="F615" s="493"/>
      <c r="G615" s="494" t="s">
        <v>230</v>
      </c>
      <c r="H615" s="495" t="s">
        <v>230</v>
      </c>
      <c r="I615" s="495" t="s">
        <v>230</v>
      </c>
      <c r="J615" s="496" t="s">
        <v>230</v>
      </c>
      <c r="K615" s="493"/>
    </row>
    <row r="616" spans="1:11" ht="11.1" customHeight="1" x14ac:dyDescent="0.3">
      <c r="A616" s="493"/>
      <c r="B616" s="493" t="s">
        <v>725</v>
      </c>
      <c r="C616" s="493" t="s">
        <v>719</v>
      </c>
      <c r="D616" s="493"/>
      <c r="E616" s="493"/>
      <c r="F616" s="493"/>
      <c r="G616" s="494" t="s">
        <v>230</v>
      </c>
      <c r="H616" s="495" t="s">
        <v>230</v>
      </c>
      <c r="I616" s="495" t="s">
        <v>230</v>
      </c>
      <c r="J616" s="496" t="s">
        <v>230</v>
      </c>
      <c r="K616" s="493"/>
    </row>
    <row r="617" spans="1:11" ht="11.1" customHeight="1" x14ac:dyDescent="0.3">
      <c r="A617" s="457"/>
      <c r="B617" s="457"/>
      <c r="C617" s="457"/>
      <c r="D617" s="459"/>
      <c r="E617" s="459"/>
      <c r="F617" s="459"/>
      <c r="G617" s="476"/>
      <c r="H617" s="477"/>
      <c r="I617" s="477"/>
      <c r="J617" s="478"/>
      <c r="K617" s="546"/>
    </row>
    <row r="618" spans="1:11" ht="11.1" customHeight="1" x14ac:dyDescent="0.3">
      <c r="A618" s="493"/>
      <c r="B618" s="493"/>
      <c r="C618" s="493"/>
      <c r="D618" s="493"/>
      <c r="E618" s="493"/>
      <c r="F618" s="493"/>
      <c r="G618" s="494"/>
      <c r="H618" s="502"/>
      <c r="I618" s="502"/>
      <c r="J618" s="503"/>
      <c r="K618" s="493"/>
    </row>
    <row r="619" spans="1:11" ht="11.1" customHeight="1" x14ac:dyDescent="0.3">
      <c r="A619" s="544" t="s">
        <v>111</v>
      </c>
      <c r="B619" s="493"/>
      <c r="C619" s="493"/>
      <c r="D619" s="493"/>
      <c r="E619" s="493"/>
      <c r="F619" s="493"/>
      <c r="G619" s="494"/>
      <c r="H619" s="502"/>
      <c r="I619" s="502"/>
      <c r="J619" s="503"/>
      <c r="K619" s="493"/>
    </row>
    <row r="620" spans="1:11" ht="11.1" customHeight="1" x14ac:dyDescent="0.3">
      <c r="A620" s="544" t="s">
        <v>182</v>
      </c>
      <c r="B620" s="493"/>
      <c r="C620" s="493"/>
      <c r="D620" s="493"/>
      <c r="E620" s="493"/>
      <c r="F620" s="493"/>
      <c r="G620" s="494"/>
      <c r="H620" s="502"/>
      <c r="I620" s="502"/>
      <c r="J620" s="503"/>
      <c r="K620" s="493"/>
    </row>
    <row r="621" spans="1:11" ht="11.1" customHeight="1" x14ac:dyDescent="0.3">
      <c r="A621" s="544" t="s">
        <v>112</v>
      </c>
      <c r="B621" s="493"/>
      <c r="C621" s="493"/>
      <c r="D621" s="493"/>
      <c r="E621" s="493"/>
      <c r="F621" s="493"/>
      <c r="G621" s="494"/>
      <c r="H621" s="502"/>
      <c r="I621" s="502"/>
      <c r="J621" s="503"/>
      <c r="K621" s="493"/>
    </row>
    <row r="622" spans="1:11" ht="11.1" customHeight="1" x14ac:dyDescent="0.3">
      <c r="A622" s="547" t="s">
        <v>726</v>
      </c>
      <c r="B622" s="493"/>
      <c r="C622" s="493"/>
      <c r="D622" s="493"/>
      <c r="E622" s="493"/>
      <c r="F622" s="493"/>
      <c r="G622" s="494"/>
      <c r="H622" s="502"/>
      <c r="I622" s="502"/>
      <c r="J622" s="503"/>
      <c r="K622" s="493"/>
    </row>
    <row r="623" spans="1:11" ht="11.1" customHeight="1" x14ac:dyDescent="0.3">
      <c r="A623" s="547" t="s">
        <v>727</v>
      </c>
      <c r="B623" s="493"/>
      <c r="C623" s="493"/>
      <c r="D623" s="493"/>
      <c r="E623" s="493"/>
      <c r="F623" s="493"/>
      <c r="G623" s="494"/>
      <c r="H623" s="502"/>
      <c r="I623" s="502"/>
      <c r="J623" s="503"/>
      <c r="K623" s="493"/>
    </row>
    <row r="624" spans="1:11" ht="11.1" customHeight="1" x14ac:dyDescent="0.3">
      <c r="A624" s="547" t="s">
        <v>728</v>
      </c>
      <c r="B624" s="493"/>
      <c r="C624" s="493"/>
      <c r="D624" s="493"/>
      <c r="E624" s="493"/>
      <c r="F624" s="493"/>
      <c r="G624" s="494"/>
      <c r="H624" s="502"/>
      <c r="I624" s="502"/>
      <c r="J624" s="503"/>
      <c r="K624" s="493"/>
    </row>
    <row r="625" spans="1:11" ht="11.1" customHeight="1" x14ac:dyDescent="0.3">
      <c r="A625" s="544" t="s">
        <v>729</v>
      </c>
      <c r="B625" s="493"/>
      <c r="C625" s="493"/>
      <c r="D625" s="493"/>
      <c r="E625" s="493"/>
      <c r="F625" s="493"/>
      <c r="G625" s="494"/>
      <c r="H625" s="502"/>
      <c r="I625" s="502"/>
      <c r="J625" s="503"/>
      <c r="K625" s="493"/>
    </row>
    <row r="626" spans="1:11" ht="11.1" customHeight="1" x14ac:dyDescent="0.3">
      <c r="A626" s="493"/>
      <c r="B626" s="493"/>
      <c r="C626" s="493"/>
      <c r="D626" s="493"/>
      <c r="E626" s="493"/>
      <c r="F626" s="493"/>
      <c r="G626" s="494"/>
      <c r="H626" s="502"/>
      <c r="I626" s="502"/>
      <c r="J626" s="503"/>
      <c r="K626" s="493"/>
    </row>
    <row r="630" spans="1:11" ht="15.6" customHeight="1" x14ac:dyDescent="0.3">
      <c r="A630" s="446" t="s">
        <v>114</v>
      </c>
      <c r="B630" s="536"/>
      <c r="C630" s="537"/>
      <c r="D630" s="538"/>
      <c r="E630" s="538"/>
      <c r="F630" s="537"/>
      <c r="G630" s="517"/>
      <c r="H630" s="518"/>
      <c r="I630" s="518"/>
      <c r="J630" s="506"/>
      <c r="K630" s="535"/>
    </row>
    <row r="631" spans="1:11" ht="16.2" customHeight="1" x14ac:dyDescent="0.3">
      <c r="A631" s="507" t="s">
        <v>183</v>
      </c>
      <c r="B631" s="508"/>
      <c r="C631" s="444"/>
      <c r="D631" s="445"/>
      <c r="E631" s="445"/>
      <c r="F631" s="446"/>
      <c r="G631" s="540"/>
      <c r="H631" s="541"/>
      <c r="I631" s="541"/>
      <c r="J631" s="512"/>
      <c r="K631" s="539"/>
    </row>
    <row r="632" spans="1:11" ht="13.95" customHeight="1" x14ac:dyDescent="0.3">
      <c r="A632" s="513" t="s">
        <v>1351</v>
      </c>
      <c r="B632" s="514"/>
      <c r="C632" s="455"/>
      <c r="D632" s="456"/>
      <c r="E632" s="445"/>
      <c r="F632" s="446"/>
      <c r="G632" s="540"/>
      <c r="H632" s="541"/>
      <c r="I632" s="541"/>
      <c r="J632" s="512"/>
      <c r="K632" s="539"/>
    </row>
    <row r="633" spans="1:11" ht="11.1" customHeight="1" x14ac:dyDescent="0.3">
      <c r="A633" s="474"/>
      <c r="B633" s="474"/>
      <c r="C633" s="475"/>
      <c r="D633" s="475"/>
      <c r="E633" s="475"/>
      <c r="F633" s="475"/>
      <c r="G633" s="476"/>
      <c r="H633" s="477"/>
      <c r="I633" s="477"/>
      <c r="J633" s="478"/>
      <c r="K633" s="529"/>
    </row>
    <row r="634" spans="1:11" ht="11.1" customHeight="1" x14ac:dyDescent="0.3">
      <c r="A634" s="464"/>
      <c r="B634" s="464"/>
      <c r="C634" s="465"/>
      <c r="D634" s="465"/>
      <c r="E634" s="465"/>
      <c r="F634" s="465"/>
      <c r="G634" s="517"/>
      <c r="H634" s="518"/>
      <c r="I634" s="518"/>
      <c r="J634" s="519"/>
      <c r="K634" s="529"/>
    </row>
    <row r="635" spans="1:11" ht="11.1" customHeight="1" x14ac:dyDescent="0.3">
      <c r="A635" s="520"/>
      <c r="B635" s="520"/>
      <c r="C635" s="521"/>
      <c r="D635" s="521"/>
      <c r="E635" s="521"/>
      <c r="F635" s="469"/>
      <c r="G635" s="470" t="s">
        <v>116</v>
      </c>
      <c r="H635" s="471" t="s">
        <v>25</v>
      </c>
      <c r="I635" s="471" t="s">
        <v>26</v>
      </c>
      <c r="J635" s="472" t="s">
        <v>117</v>
      </c>
      <c r="K635" s="542"/>
    </row>
    <row r="636" spans="1:11" ht="11.1" customHeight="1" x14ac:dyDescent="0.3">
      <c r="A636" s="520"/>
      <c r="B636" s="520"/>
      <c r="C636" s="521"/>
      <c r="D636" s="521"/>
      <c r="E636" s="521"/>
      <c r="F636" s="469"/>
      <c r="G636" s="473" t="s">
        <v>29</v>
      </c>
      <c r="H636" s="471" t="s">
        <v>27</v>
      </c>
      <c r="I636" s="471" t="s">
        <v>28</v>
      </c>
      <c r="J636" s="472" t="s">
        <v>118</v>
      </c>
      <c r="K636" s="542"/>
    </row>
    <row r="637" spans="1:11" ht="11.1" customHeight="1" x14ac:dyDescent="0.3">
      <c r="A637" s="520"/>
      <c r="B637" s="520"/>
      <c r="C637" s="521"/>
      <c r="D637" s="521"/>
      <c r="E637" s="521"/>
      <c r="F637" s="469"/>
      <c r="G637" s="470" t="s">
        <v>31</v>
      </c>
      <c r="H637" s="471" t="s">
        <v>29</v>
      </c>
      <c r="I637" s="471" t="s">
        <v>30</v>
      </c>
      <c r="J637" s="472" t="s">
        <v>119</v>
      </c>
      <c r="K637" s="542"/>
    </row>
    <row r="638" spans="1:11" ht="11.1" customHeight="1" x14ac:dyDescent="0.3">
      <c r="A638" s="520"/>
      <c r="B638" s="520"/>
      <c r="C638" s="521"/>
      <c r="D638" s="521"/>
      <c r="E638" s="521"/>
      <c r="F638" s="469"/>
      <c r="G638" s="473" t="s">
        <v>32</v>
      </c>
      <c r="H638" s="471" t="s">
        <v>33</v>
      </c>
      <c r="I638" s="471" t="s">
        <v>120</v>
      </c>
      <c r="J638" s="472" t="s">
        <v>121</v>
      </c>
      <c r="K638" s="542"/>
    </row>
    <row r="639" spans="1:11" ht="11.1" customHeight="1" x14ac:dyDescent="0.3">
      <c r="A639" s="474"/>
      <c r="B639" s="474"/>
      <c r="C639" s="475"/>
      <c r="D639" s="475"/>
      <c r="E639" s="475"/>
      <c r="F639" s="475"/>
      <c r="G639" s="476"/>
      <c r="H639" s="477"/>
      <c r="I639" s="477"/>
      <c r="J639" s="478"/>
      <c r="K639" s="529"/>
    </row>
    <row r="640" spans="1:11" ht="11.1" customHeight="1" x14ac:dyDescent="0.3">
      <c r="A640" s="536"/>
      <c r="B640" s="464"/>
      <c r="C640" s="517"/>
      <c r="D640" s="517"/>
      <c r="E640" s="517"/>
      <c r="F640" s="465"/>
      <c r="G640" s="517"/>
      <c r="H640" s="518"/>
      <c r="I640" s="518"/>
      <c r="J640" s="519"/>
      <c r="K640" s="529"/>
    </row>
    <row r="641" spans="1:11" ht="11.1" customHeight="1" x14ac:dyDescent="0.3">
      <c r="A641" s="488" t="s">
        <v>123</v>
      </c>
      <c r="B641" s="522"/>
      <c r="C641" s="523"/>
      <c r="D641" s="524"/>
      <c r="E641" s="524"/>
      <c r="F641" s="450" t="s">
        <v>124</v>
      </c>
    </row>
    <row r="642" spans="1:11" ht="11.1" customHeight="1" x14ac:dyDescent="0.3">
      <c r="A642" s="493"/>
      <c r="B642" s="493"/>
      <c r="C642" s="493"/>
      <c r="D642" s="493"/>
      <c r="E642" s="493"/>
      <c r="F642" s="493"/>
      <c r="G642" s="494"/>
      <c r="H642" s="502"/>
      <c r="I642" s="502"/>
      <c r="J642" s="503"/>
      <c r="K642" s="493"/>
    </row>
    <row r="643" spans="1:11" ht="11.1" customHeight="1" x14ac:dyDescent="0.3">
      <c r="A643" s="530">
        <v>11</v>
      </c>
      <c r="B643" s="489" t="s">
        <v>17</v>
      </c>
      <c r="C643" s="489"/>
      <c r="D643" s="489"/>
      <c r="E643" s="489"/>
      <c r="F643" s="489"/>
      <c r="G643" s="490">
        <v>40.5</v>
      </c>
      <c r="H643" s="491">
        <v>1186</v>
      </c>
      <c r="I643" s="491">
        <v>3490</v>
      </c>
      <c r="J643" s="492">
        <v>2</v>
      </c>
      <c r="K643" s="489"/>
    </row>
    <row r="644" spans="1:11" ht="11.1" customHeight="1" x14ac:dyDescent="0.3">
      <c r="A644" s="493"/>
      <c r="B644" s="493"/>
      <c r="C644" s="493"/>
      <c r="D644" s="493"/>
      <c r="E644" s="493"/>
      <c r="F644" s="493"/>
      <c r="G644" s="494"/>
      <c r="H644" s="502"/>
      <c r="I644" s="502"/>
      <c r="J644" s="503"/>
      <c r="K644" s="493"/>
    </row>
    <row r="645" spans="1:11" ht="11.1" customHeight="1" x14ac:dyDescent="0.3">
      <c r="A645" s="497">
        <v>11.1</v>
      </c>
      <c r="B645" s="493" t="s">
        <v>730</v>
      </c>
      <c r="C645" s="493"/>
      <c r="D645" s="493"/>
      <c r="E645" s="493"/>
      <c r="F645" s="493"/>
      <c r="G645" s="494">
        <v>27.8</v>
      </c>
      <c r="H645" s="495">
        <v>814</v>
      </c>
      <c r="I645" s="495">
        <v>3320</v>
      </c>
      <c r="J645" s="496">
        <v>2.2000000000000002</v>
      </c>
      <c r="K645" s="493"/>
    </row>
    <row r="646" spans="1:11" ht="11.1" customHeight="1" x14ac:dyDescent="0.3">
      <c r="A646" s="493"/>
      <c r="B646" s="493" t="s">
        <v>731</v>
      </c>
      <c r="C646" s="493" t="s">
        <v>732</v>
      </c>
      <c r="D646" s="493"/>
      <c r="E646" s="493"/>
      <c r="F646" s="493"/>
      <c r="G646" s="494">
        <v>14</v>
      </c>
      <c r="H646" s="495">
        <v>411</v>
      </c>
      <c r="I646" s="495">
        <v>2500</v>
      </c>
      <c r="J646" s="496">
        <v>2.6</v>
      </c>
      <c r="K646" s="493"/>
    </row>
    <row r="647" spans="1:11" ht="11.1" customHeight="1" x14ac:dyDescent="0.3">
      <c r="A647" s="493"/>
      <c r="B647" s="493" t="s">
        <v>733</v>
      </c>
      <c r="C647" s="493" t="s">
        <v>734</v>
      </c>
      <c r="D647" s="493"/>
      <c r="E647" s="493"/>
      <c r="F647" s="493"/>
      <c r="G647" s="494">
        <v>5.6</v>
      </c>
      <c r="H647" s="495">
        <v>164</v>
      </c>
      <c r="I647" s="495">
        <v>1330</v>
      </c>
      <c r="J647" s="496">
        <v>3.7</v>
      </c>
      <c r="K647" s="493"/>
    </row>
    <row r="648" spans="1:11" ht="11.1" customHeight="1" x14ac:dyDescent="0.3">
      <c r="A648" s="493"/>
      <c r="B648" s="493" t="s">
        <v>735</v>
      </c>
      <c r="C648" s="493" t="s">
        <v>736</v>
      </c>
      <c r="D648" s="493"/>
      <c r="E648" s="493"/>
      <c r="F648" s="493"/>
      <c r="G648" s="494">
        <v>4</v>
      </c>
      <c r="H648" s="495">
        <v>118</v>
      </c>
      <c r="I648" s="495">
        <v>1220</v>
      </c>
      <c r="J648" s="496">
        <v>3.4</v>
      </c>
      <c r="K648" s="493"/>
    </row>
    <row r="649" spans="1:11" ht="11.1" customHeight="1" x14ac:dyDescent="0.3">
      <c r="A649" s="493"/>
      <c r="B649" s="493"/>
      <c r="C649" s="493"/>
      <c r="D649" s="493"/>
      <c r="E649" s="493"/>
      <c r="F649" s="493"/>
      <c r="G649" s="494"/>
      <c r="H649" s="502"/>
      <c r="I649" s="502"/>
      <c r="J649" s="503"/>
      <c r="K649" s="493"/>
    </row>
    <row r="650" spans="1:11" ht="11.1" customHeight="1" x14ac:dyDescent="0.3">
      <c r="A650" s="493"/>
      <c r="B650" s="493" t="s">
        <v>737</v>
      </c>
      <c r="C650" s="493" t="s">
        <v>738</v>
      </c>
      <c r="D650" s="493"/>
      <c r="E650" s="493"/>
      <c r="F650" s="493"/>
      <c r="G650" s="494">
        <v>3.1</v>
      </c>
      <c r="H650" s="495">
        <v>90</v>
      </c>
      <c r="I650" s="495">
        <v>1720</v>
      </c>
      <c r="J650" s="496">
        <v>3.1</v>
      </c>
      <c r="K650" s="493"/>
    </row>
    <row r="651" spans="1:11" ht="11.1" customHeight="1" x14ac:dyDescent="0.3">
      <c r="A651" s="493"/>
      <c r="B651" s="493"/>
      <c r="C651" s="493" t="s">
        <v>739</v>
      </c>
      <c r="D651" s="493" t="s">
        <v>740</v>
      </c>
      <c r="E651" s="493"/>
      <c r="F651" s="493"/>
      <c r="G651" s="494">
        <v>2.4</v>
      </c>
      <c r="H651" s="495">
        <v>70</v>
      </c>
      <c r="I651" s="495">
        <v>1510</v>
      </c>
      <c r="J651" s="496">
        <v>3.4</v>
      </c>
      <c r="K651" s="493"/>
    </row>
    <row r="652" spans="1:11" ht="11.1" customHeight="1" x14ac:dyDescent="0.3">
      <c r="A652" s="493"/>
      <c r="B652" s="493"/>
      <c r="C652" s="493" t="s">
        <v>741</v>
      </c>
      <c r="D652" s="493" t="s">
        <v>742</v>
      </c>
      <c r="E652" s="493"/>
      <c r="F652" s="493"/>
      <c r="G652" s="494">
        <v>0.1</v>
      </c>
      <c r="H652" s="495">
        <v>4</v>
      </c>
      <c r="I652" s="495">
        <v>380</v>
      </c>
      <c r="J652" s="496">
        <v>6</v>
      </c>
      <c r="K652" s="493"/>
    </row>
    <row r="653" spans="1:11" ht="11.1" customHeight="1" x14ac:dyDescent="0.3">
      <c r="A653" s="493"/>
      <c r="B653" s="493"/>
      <c r="C653" s="493" t="s">
        <v>743</v>
      </c>
      <c r="D653" s="493" t="s">
        <v>744</v>
      </c>
      <c r="E653" s="493"/>
      <c r="F653" s="493"/>
      <c r="G653" s="494">
        <v>0.1</v>
      </c>
      <c r="H653" s="495">
        <v>4</v>
      </c>
      <c r="I653" s="495">
        <v>250</v>
      </c>
      <c r="J653" s="496">
        <v>10.1</v>
      </c>
      <c r="K653" s="493"/>
    </row>
    <row r="654" spans="1:11" ht="11.1" customHeight="1" x14ac:dyDescent="0.3">
      <c r="A654" s="493"/>
      <c r="B654" s="493"/>
      <c r="C654" s="493" t="s">
        <v>745</v>
      </c>
      <c r="D654" s="493" t="s">
        <v>110</v>
      </c>
      <c r="E654" s="493"/>
      <c r="F654" s="493"/>
      <c r="G654" s="494">
        <v>0.4</v>
      </c>
      <c r="H654" s="495">
        <v>13</v>
      </c>
      <c r="I654" s="495">
        <v>930</v>
      </c>
      <c r="J654" s="496">
        <v>3.7</v>
      </c>
      <c r="K654" s="493"/>
    </row>
    <row r="655" spans="1:11" ht="11.1" customHeight="1" x14ac:dyDescent="0.3">
      <c r="A655" s="493"/>
      <c r="B655" s="493"/>
      <c r="C655" s="493"/>
      <c r="D655" s="493"/>
      <c r="E655" s="493"/>
      <c r="F655" s="493"/>
      <c r="G655" s="494"/>
      <c r="H655" s="502"/>
      <c r="I655" s="502"/>
      <c r="J655" s="503"/>
      <c r="K655" s="493"/>
    </row>
    <row r="656" spans="1:11" ht="11.1" customHeight="1" x14ac:dyDescent="0.3">
      <c r="A656" s="493"/>
      <c r="B656" s="493" t="s">
        <v>746</v>
      </c>
      <c r="C656" s="493" t="s">
        <v>747</v>
      </c>
      <c r="D656" s="493"/>
      <c r="E656" s="493"/>
      <c r="F656" s="493"/>
      <c r="G656" s="494" t="s">
        <v>1153</v>
      </c>
      <c r="H656" s="495" t="s">
        <v>1293</v>
      </c>
      <c r="I656" s="495">
        <v>20</v>
      </c>
      <c r="J656" s="496">
        <v>26.5</v>
      </c>
      <c r="K656" s="493"/>
    </row>
    <row r="657" spans="1:11" ht="11.1" customHeight="1" x14ac:dyDescent="0.3">
      <c r="A657" s="493"/>
      <c r="B657" s="493"/>
      <c r="C657" s="493"/>
      <c r="D657" s="493"/>
      <c r="E657" s="493"/>
      <c r="F657" s="493"/>
      <c r="G657" s="494"/>
      <c r="H657" s="502"/>
      <c r="I657" s="502"/>
      <c r="J657" s="503"/>
      <c r="K657" s="493"/>
    </row>
    <row r="658" spans="1:11" ht="11.1" customHeight="1" x14ac:dyDescent="0.3">
      <c r="A658" s="493"/>
      <c r="B658" s="493" t="s">
        <v>748</v>
      </c>
      <c r="C658" s="493" t="s">
        <v>749</v>
      </c>
      <c r="D658" s="493"/>
      <c r="E658" s="493"/>
      <c r="F658" s="493"/>
      <c r="G658" s="494">
        <v>0.8</v>
      </c>
      <c r="H658" s="495">
        <v>23</v>
      </c>
      <c r="I658" s="495">
        <v>340</v>
      </c>
      <c r="J658" s="496">
        <v>7.6</v>
      </c>
      <c r="K658" s="493"/>
    </row>
    <row r="659" spans="1:11" ht="11.1" customHeight="1" x14ac:dyDescent="0.3">
      <c r="A659" s="493"/>
      <c r="B659" s="493"/>
      <c r="C659" s="493" t="s">
        <v>750</v>
      </c>
      <c r="D659" s="493" t="s">
        <v>751</v>
      </c>
      <c r="E659" s="493"/>
      <c r="F659" s="493"/>
      <c r="G659" s="494">
        <v>0.5</v>
      </c>
      <c r="H659" s="495">
        <v>16</v>
      </c>
      <c r="I659" s="495">
        <v>170</v>
      </c>
      <c r="J659" s="496">
        <v>10.7</v>
      </c>
      <c r="K659" s="493"/>
    </row>
    <row r="660" spans="1:11" ht="11.1" customHeight="1" x14ac:dyDescent="0.3">
      <c r="A660" s="493"/>
      <c r="B660" s="493"/>
      <c r="C660" s="493" t="s">
        <v>752</v>
      </c>
      <c r="D660" s="493" t="s">
        <v>753</v>
      </c>
      <c r="E660" s="493"/>
      <c r="F660" s="493"/>
      <c r="G660" s="494">
        <v>0.3</v>
      </c>
      <c r="H660" s="495">
        <v>8</v>
      </c>
      <c r="I660" s="495">
        <v>190</v>
      </c>
      <c r="J660" s="496">
        <v>7</v>
      </c>
      <c r="K660" s="493"/>
    </row>
    <row r="661" spans="1:11" ht="11.1" customHeight="1" x14ac:dyDescent="0.3">
      <c r="A661" s="493"/>
      <c r="B661" s="493"/>
      <c r="C661" s="493"/>
      <c r="D661" s="493"/>
      <c r="E661" s="493"/>
      <c r="F661" s="493"/>
      <c r="G661" s="494"/>
      <c r="H661" s="502"/>
      <c r="I661" s="502"/>
      <c r="J661" s="503"/>
      <c r="K661" s="493"/>
    </row>
    <row r="662" spans="1:11" ht="11.1" customHeight="1" x14ac:dyDescent="0.3">
      <c r="A662" s="497">
        <v>11.2</v>
      </c>
      <c r="B662" s="493" t="s">
        <v>754</v>
      </c>
      <c r="C662" s="493"/>
      <c r="D662" s="493"/>
      <c r="E662" s="493"/>
      <c r="F662" s="493"/>
      <c r="G662" s="494">
        <v>12.7</v>
      </c>
      <c r="H662" s="495">
        <v>372</v>
      </c>
      <c r="I662" s="495">
        <v>1310</v>
      </c>
      <c r="J662" s="496">
        <v>3.1</v>
      </c>
      <c r="K662" s="493"/>
    </row>
    <row r="663" spans="1:11" ht="11.1" customHeight="1" x14ac:dyDescent="0.3">
      <c r="A663" s="493"/>
      <c r="B663" s="493" t="s">
        <v>755</v>
      </c>
      <c r="C663" s="493" t="s">
        <v>756</v>
      </c>
      <c r="D663" s="493"/>
      <c r="E663" s="493"/>
      <c r="F663" s="493"/>
      <c r="G663" s="494">
        <v>7.5</v>
      </c>
      <c r="H663" s="495">
        <v>221</v>
      </c>
      <c r="I663" s="495">
        <v>1080</v>
      </c>
      <c r="J663" s="496">
        <v>4.4000000000000004</v>
      </c>
      <c r="K663" s="493"/>
    </row>
    <row r="664" spans="1:11" ht="11.1" customHeight="1" x14ac:dyDescent="0.3">
      <c r="A664" s="493"/>
      <c r="B664" s="493" t="s">
        <v>757</v>
      </c>
      <c r="C664" s="493" t="s">
        <v>758</v>
      </c>
      <c r="D664" s="493"/>
      <c r="E664" s="493"/>
      <c r="F664" s="493"/>
      <c r="G664" s="494">
        <v>4.9000000000000004</v>
      </c>
      <c r="H664" s="495">
        <v>144</v>
      </c>
      <c r="I664" s="495">
        <v>310</v>
      </c>
      <c r="J664" s="496">
        <v>4.2</v>
      </c>
      <c r="K664" s="493"/>
    </row>
    <row r="665" spans="1:11" ht="11.1" customHeight="1" x14ac:dyDescent="0.3">
      <c r="A665" s="493"/>
      <c r="B665" s="493" t="s">
        <v>759</v>
      </c>
      <c r="C665" s="493" t="s">
        <v>760</v>
      </c>
      <c r="D665" s="493"/>
      <c r="E665" s="493"/>
      <c r="F665" s="493"/>
      <c r="G665" s="494" t="s">
        <v>1153</v>
      </c>
      <c r="H665" s="495" t="s">
        <v>1312</v>
      </c>
      <c r="I665" s="495">
        <v>10</v>
      </c>
      <c r="J665" s="496">
        <v>4.8</v>
      </c>
      <c r="K665" s="493"/>
    </row>
    <row r="666" spans="1:11" ht="11.1" customHeight="1" x14ac:dyDescent="0.3">
      <c r="A666" s="493"/>
      <c r="B666" s="493"/>
      <c r="C666" s="493"/>
      <c r="D666" s="493"/>
      <c r="E666" s="493"/>
      <c r="F666" s="493"/>
      <c r="G666" s="494"/>
      <c r="H666" s="502"/>
      <c r="I666" s="502"/>
      <c r="J666" s="503"/>
      <c r="K666" s="493"/>
    </row>
    <row r="667" spans="1:11" ht="11.1" customHeight="1" x14ac:dyDescent="0.3">
      <c r="A667" s="474"/>
      <c r="B667" s="474"/>
      <c r="C667" s="475"/>
      <c r="D667" s="475"/>
      <c r="E667" s="475"/>
      <c r="F667" s="475"/>
      <c r="G667" s="476"/>
      <c r="H667" s="477"/>
      <c r="I667" s="477"/>
      <c r="J667" s="478"/>
      <c r="K667" s="548"/>
    </row>
    <row r="668" spans="1:11" ht="11.1" customHeight="1" x14ac:dyDescent="0.3">
      <c r="A668" s="530">
        <v>12</v>
      </c>
      <c r="B668" s="489" t="s">
        <v>18</v>
      </c>
      <c r="C668" s="489"/>
      <c r="D668" s="489"/>
      <c r="E668" s="489"/>
      <c r="F668" s="489"/>
      <c r="G668" s="490">
        <v>40.299999999999997</v>
      </c>
      <c r="H668" s="491">
        <v>1180</v>
      </c>
      <c r="I668" s="491">
        <v>4370</v>
      </c>
      <c r="J668" s="492">
        <v>2</v>
      </c>
      <c r="K668" s="489"/>
    </row>
    <row r="669" spans="1:11" ht="11.1" customHeight="1" x14ac:dyDescent="0.3">
      <c r="A669" s="493"/>
      <c r="B669" s="493"/>
      <c r="C669" s="493"/>
      <c r="D669" s="493"/>
      <c r="E669" s="493"/>
      <c r="F669" s="493"/>
      <c r="G669" s="494"/>
      <c r="H669" s="502"/>
      <c r="I669" s="502"/>
      <c r="J669" s="503"/>
      <c r="K669" s="493"/>
    </row>
    <row r="670" spans="1:11" ht="11.1" customHeight="1" x14ac:dyDescent="0.3">
      <c r="A670" s="497">
        <v>12.1</v>
      </c>
      <c r="B670" s="493" t="s">
        <v>761</v>
      </c>
      <c r="C670" s="493"/>
      <c r="D670" s="493"/>
      <c r="E670" s="493"/>
      <c r="F670" s="493"/>
      <c r="G670" s="494">
        <v>10.7</v>
      </c>
      <c r="H670" s="495">
        <v>313</v>
      </c>
      <c r="I670" s="495">
        <v>3740</v>
      </c>
      <c r="J670" s="496">
        <v>2.6</v>
      </c>
      <c r="K670" s="493"/>
    </row>
    <row r="671" spans="1:11" ht="11.1" customHeight="1" x14ac:dyDescent="0.3">
      <c r="A671" s="493"/>
      <c r="B671" s="493" t="s">
        <v>762</v>
      </c>
      <c r="C671" s="493" t="s">
        <v>763</v>
      </c>
      <c r="D671" s="493"/>
      <c r="E671" s="493"/>
      <c r="F671" s="493"/>
      <c r="G671" s="494">
        <v>3.2</v>
      </c>
      <c r="H671" s="495">
        <v>94</v>
      </c>
      <c r="I671" s="495">
        <v>750</v>
      </c>
      <c r="J671" s="496">
        <v>5.8</v>
      </c>
      <c r="K671" s="493"/>
    </row>
    <row r="672" spans="1:11" ht="11.1" customHeight="1" x14ac:dyDescent="0.3">
      <c r="A672" s="493"/>
      <c r="B672" s="493" t="s">
        <v>764</v>
      </c>
      <c r="C672" s="493" t="s">
        <v>765</v>
      </c>
      <c r="D672" s="493"/>
      <c r="E672" s="493"/>
      <c r="F672" s="493"/>
      <c r="G672" s="494">
        <v>0.9</v>
      </c>
      <c r="H672" s="495">
        <v>28</v>
      </c>
      <c r="I672" s="495">
        <v>1590</v>
      </c>
      <c r="J672" s="496">
        <v>2.7</v>
      </c>
      <c r="K672" s="493"/>
    </row>
    <row r="673" spans="1:11" ht="11.1" customHeight="1" x14ac:dyDescent="0.3">
      <c r="A673" s="493"/>
      <c r="B673" s="493"/>
      <c r="C673" s="493"/>
      <c r="D673" s="493"/>
      <c r="E673" s="493"/>
      <c r="F673" s="493"/>
      <c r="G673" s="494"/>
      <c r="H673" s="502"/>
      <c r="I673" s="502"/>
      <c r="J673" s="503"/>
      <c r="K673" s="493"/>
    </row>
    <row r="674" spans="1:11" ht="11.1" customHeight="1" x14ac:dyDescent="0.3">
      <c r="A674" s="493"/>
      <c r="B674" s="493" t="s">
        <v>766</v>
      </c>
      <c r="C674" s="493" t="s">
        <v>767</v>
      </c>
      <c r="D674" s="493"/>
      <c r="E674" s="493"/>
      <c r="F674" s="493"/>
      <c r="G674" s="494">
        <v>2.2999999999999998</v>
      </c>
      <c r="H674" s="495">
        <v>67</v>
      </c>
      <c r="I674" s="495">
        <v>3000</v>
      </c>
      <c r="J674" s="496">
        <v>2.2000000000000002</v>
      </c>
      <c r="K674" s="493"/>
    </row>
    <row r="675" spans="1:11" ht="11.1" customHeight="1" x14ac:dyDescent="0.3">
      <c r="A675" s="493"/>
      <c r="B675" s="493"/>
      <c r="C675" s="493" t="s">
        <v>768</v>
      </c>
      <c r="D675" s="493" t="s">
        <v>769</v>
      </c>
      <c r="E675" s="493"/>
      <c r="F675" s="493"/>
      <c r="G675" s="494">
        <v>1.4</v>
      </c>
      <c r="H675" s="495">
        <v>40</v>
      </c>
      <c r="I675" s="495">
        <v>2480</v>
      </c>
      <c r="J675" s="496">
        <v>2.2000000000000002</v>
      </c>
      <c r="K675" s="493"/>
    </row>
    <row r="676" spans="1:11" ht="11.1" customHeight="1" x14ac:dyDescent="0.3">
      <c r="A676" s="493"/>
      <c r="B676" s="493"/>
      <c r="C676" s="493" t="s">
        <v>770</v>
      </c>
      <c r="D676" s="493" t="s">
        <v>771</v>
      </c>
      <c r="E676" s="493"/>
      <c r="F676" s="493"/>
      <c r="G676" s="494">
        <v>0.4</v>
      </c>
      <c r="H676" s="495">
        <v>13</v>
      </c>
      <c r="I676" s="495">
        <v>1330</v>
      </c>
      <c r="J676" s="496">
        <v>4.5</v>
      </c>
      <c r="K676" s="493"/>
    </row>
    <row r="677" spans="1:11" ht="11.1" customHeight="1" x14ac:dyDescent="0.3">
      <c r="A677" s="493"/>
      <c r="B677" s="493"/>
      <c r="C677" s="493" t="s">
        <v>772</v>
      </c>
      <c r="D677" s="493" t="s">
        <v>773</v>
      </c>
      <c r="E677" s="493"/>
      <c r="F677" s="493"/>
      <c r="G677" s="494">
        <v>0.5</v>
      </c>
      <c r="H677" s="495">
        <v>14</v>
      </c>
      <c r="I677" s="495">
        <v>850</v>
      </c>
      <c r="J677" s="496">
        <v>6</v>
      </c>
      <c r="K677" s="493"/>
    </row>
    <row r="678" spans="1:11" ht="11.1" customHeight="1" x14ac:dyDescent="0.3">
      <c r="A678" s="493"/>
      <c r="B678" s="493"/>
      <c r="C678" s="493"/>
      <c r="D678" s="493"/>
      <c r="E678" s="493"/>
      <c r="F678" s="493"/>
      <c r="G678" s="494"/>
      <c r="H678" s="502"/>
      <c r="I678" s="502"/>
      <c r="J678" s="503"/>
      <c r="K678" s="493"/>
    </row>
    <row r="679" spans="1:11" ht="11.1" customHeight="1" x14ac:dyDescent="0.3">
      <c r="A679" s="493"/>
      <c r="B679" s="493" t="s">
        <v>774</v>
      </c>
      <c r="C679" s="493" t="s">
        <v>775</v>
      </c>
      <c r="D679" s="493"/>
      <c r="E679" s="493"/>
      <c r="F679" s="493"/>
      <c r="G679" s="494">
        <v>0.5</v>
      </c>
      <c r="H679" s="495">
        <v>15</v>
      </c>
      <c r="I679" s="495">
        <v>710</v>
      </c>
      <c r="J679" s="496">
        <v>4.5</v>
      </c>
      <c r="K679" s="493"/>
    </row>
    <row r="680" spans="1:11" ht="11.1" customHeight="1" x14ac:dyDescent="0.3">
      <c r="A680" s="493"/>
      <c r="B680" s="493"/>
      <c r="C680" s="493"/>
      <c r="D680" s="493"/>
      <c r="E680" s="493"/>
      <c r="F680" s="493"/>
      <c r="G680" s="494"/>
      <c r="H680" s="502"/>
      <c r="I680" s="502"/>
      <c r="J680" s="503"/>
      <c r="K680" s="493"/>
    </row>
    <row r="681" spans="1:11" ht="11.1" customHeight="1" x14ac:dyDescent="0.3">
      <c r="A681" s="493"/>
      <c r="B681" s="493" t="s">
        <v>776</v>
      </c>
      <c r="C681" s="493" t="s">
        <v>777</v>
      </c>
      <c r="D681" s="493"/>
      <c r="E681" s="493"/>
      <c r="F681" s="493"/>
      <c r="G681" s="494">
        <v>3.7</v>
      </c>
      <c r="H681" s="495">
        <v>110</v>
      </c>
      <c r="I681" s="495">
        <v>2140</v>
      </c>
      <c r="J681" s="496">
        <v>3.8</v>
      </c>
      <c r="K681" s="493"/>
    </row>
    <row r="682" spans="1:11" ht="11.1" customHeight="1" x14ac:dyDescent="0.3">
      <c r="A682" s="493"/>
      <c r="B682" s="493"/>
      <c r="C682" s="493" t="s">
        <v>778</v>
      </c>
      <c r="D682" s="493" t="s">
        <v>779</v>
      </c>
      <c r="E682" s="493"/>
      <c r="F682" s="493"/>
      <c r="G682" s="494">
        <v>0.9</v>
      </c>
      <c r="H682" s="495">
        <v>26</v>
      </c>
      <c r="I682" s="495">
        <v>1090</v>
      </c>
      <c r="J682" s="496">
        <v>4.5999999999999996</v>
      </c>
      <c r="K682" s="493"/>
    </row>
    <row r="683" spans="1:11" ht="11.1" customHeight="1" x14ac:dyDescent="0.3">
      <c r="A683" s="493"/>
      <c r="B683" s="493"/>
      <c r="C683" s="493" t="s">
        <v>780</v>
      </c>
      <c r="D683" s="493" t="s">
        <v>781</v>
      </c>
      <c r="E683" s="493"/>
      <c r="F683" s="493"/>
      <c r="G683" s="494">
        <v>2.7</v>
      </c>
      <c r="H683" s="495">
        <v>78</v>
      </c>
      <c r="I683" s="495">
        <v>1630</v>
      </c>
      <c r="J683" s="496">
        <v>4.2</v>
      </c>
      <c r="K683" s="493"/>
    </row>
    <row r="684" spans="1:11" ht="11.1" customHeight="1" x14ac:dyDescent="0.3">
      <c r="A684" s="493"/>
      <c r="B684" s="493"/>
      <c r="C684" s="493" t="s">
        <v>782</v>
      </c>
      <c r="D684" s="493" t="s">
        <v>783</v>
      </c>
      <c r="E684" s="493"/>
      <c r="F684" s="493"/>
      <c r="G684" s="494">
        <v>0.2</v>
      </c>
      <c r="H684" s="495">
        <v>6</v>
      </c>
      <c r="I684" s="495">
        <v>70</v>
      </c>
      <c r="J684" s="496">
        <v>27.3</v>
      </c>
      <c r="K684" s="493"/>
    </row>
    <row r="685" spans="1:11" ht="11.1" customHeight="1" x14ac:dyDescent="0.3">
      <c r="A685" s="493"/>
      <c r="B685" s="493"/>
      <c r="C685" s="493"/>
      <c r="D685" s="493"/>
      <c r="E685" s="493"/>
      <c r="F685" s="493"/>
      <c r="G685" s="494"/>
      <c r="H685" s="502"/>
      <c r="I685" s="502"/>
      <c r="J685" s="503"/>
      <c r="K685" s="493"/>
    </row>
    <row r="686" spans="1:11" ht="11.1" customHeight="1" x14ac:dyDescent="0.3">
      <c r="A686" s="497">
        <v>12.2</v>
      </c>
      <c r="B686" s="493" t="s">
        <v>784</v>
      </c>
      <c r="C686" s="493"/>
      <c r="D686" s="493"/>
      <c r="E686" s="493"/>
      <c r="F686" s="493"/>
      <c r="G686" s="494">
        <v>2.6</v>
      </c>
      <c r="H686" s="495">
        <v>76</v>
      </c>
      <c r="I686" s="495">
        <v>790</v>
      </c>
      <c r="J686" s="496">
        <v>24.6</v>
      </c>
      <c r="K686" s="493"/>
    </row>
    <row r="687" spans="1:11" ht="11.1" customHeight="1" x14ac:dyDescent="0.3">
      <c r="A687" s="493"/>
      <c r="B687" s="493" t="s">
        <v>785</v>
      </c>
      <c r="C687" s="493" t="s">
        <v>786</v>
      </c>
      <c r="D687" s="493"/>
      <c r="E687" s="493"/>
      <c r="F687" s="493"/>
      <c r="G687" s="494">
        <v>1.6</v>
      </c>
      <c r="H687" s="495">
        <v>47</v>
      </c>
      <c r="I687" s="495">
        <v>530</v>
      </c>
      <c r="J687" s="496">
        <v>35.9</v>
      </c>
      <c r="K687" s="493"/>
    </row>
    <row r="688" spans="1:11" ht="11.1" customHeight="1" x14ac:dyDescent="0.3">
      <c r="A688" s="493"/>
      <c r="B688" s="493" t="s">
        <v>787</v>
      </c>
      <c r="C688" s="493" t="s">
        <v>788</v>
      </c>
      <c r="D688" s="493"/>
      <c r="E688" s="493"/>
      <c r="F688" s="493"/>
      <c r="G688" s="494">
        <v>0.7</v>
      </c>
      <c r="H688" s="495">
        <v>20</v>
      </c>
      <c r="I688" s="495">
        <v>240</v>
      </c>
      <c r="J688" s="496">
        <v>11.6</v>
      </c>
      <c r="K688" s="493"/>
    </row>
    <row r="689" spans="1:11" ht="11.1" customHeight="1" x14ac:dyDescent="0.3">
      <c r="A689" s="493"/>
      <c r="B689" s="493" t="s">
        <v>789</v>
      </c>
      <c r="C689" s="493" t="s">
        <v>790</v>
      </c>
      <c r="D689" s="493"/>
      <c r="E689" s="493"/>
      <c r="F689" s="493"/>
      <c r="G689" s="494">
        <v>0.1</v>
      </c>
      <c r="H689" s="495">
        <v>3</v>
      </c>
      <c r="I689" s="495">
        <v>60</v>
      </c>
      <c r="J689" s="496">
        <v>18.399999999999999</v>
      </c>
      <c r="K689" s="493"/>
    </row>
    <row r="690" spans="1:11" ht="11.1" customHeight="1" x14ac:dyDescent="0.3">
      <c r="A690" s="493"/>
      <c r="B690" s="493" t="s">
        <v>791</v>
      </c>
      <c r="C690" s="493" t="s">
        <v>792</v>
      </c>
      <c r="D690" s="493"/>
      <c r="E690" s="493"/>
      <c r="F690" s="493"/>
      <c r="G690" s="494">
        <v>0.1</v>
      </c>
      <c r="H690" s="495">
        <v>2</v>
      </c>
      <c r="I690" s="495">
        <v>20</v>
      </c>
      <c r="J690" s="496">
        <v>31.7</v>
      </c>
      <c r="K690" s="493"/>
    </row>
    <row r="691" spans="1:11" ht="11.1" customHeight="1" x14ac:dyDescent="0.3">
      <c r="A691" s="493"/>
      <c r="B691" s="493" t="s">
        <v>793</v>
      </c>
      <c r="C691" s="493" t="s">
        <v>794</v>
      </c>
      <c r="D691" s="493"/>
      <c r="E691" s="493"/>
      <c r="F691" s="493"/>
      <c r="G691" s="494" t="s">
        <v>230</v>
      </c>
      <c r="H691" s="495" t="s">
        <v>230</v>
      </c>
      <c r="I691" s="495" t="s">
        <v>230</v>
      </c>
      <c r="J691" s="496" t="s">
        <v>230</v>
      </c>
      <c r="K691" s="493"/>
    </row>
    <row r="692" spans="1:11" ht="11.1" customHeight="1" x14ac:dyDescent="0.3">
      <c r="A692" s="493"/>
      <c r="B692" s="493" t="s">
        <v>795</v>
      </c>
      <c r="C692" s="493" t="s">
        <v>796</v>
      </c>
      <c r="D692" s="493"/>
      <c r="E692" s="493"/>
      <c r="F692" s="493"/>
      <c r="G692" s="494" t="s">
        <v>1190</v>
      </c>
      <c r="H692" s="495" t="s">
        <v>1191</v>
      </c>
      <c r="I692" s="495">
        <v>20</v>
      </c>
      <c r="J692" s="496">
        <v>56.8</v>
      </c>
      <c r="K692" s="493"/>
    </row>
    <row r="693" spans="1:11" ht="11.1" customHeight="1" x14ac:dyDescent="0.3">
      <c r="A693" s="493"/>
      <c r="B693" s="493"/>
      <c r="C693" s="493"/>
      <c r="D693" s="493"/>
      <c r="E693" s="493"/>
      <c r="F693" s="493"/>
      <c r="G693" s="494"/>
      <c r="H693" s="502"/>
      <c r="I693" s="502"/>
      <c r="J693" s="503"/>
      <c r="K693" s="493"/>
    </row>
    <row r="694" spans="1:11" ht="11.1" customHeight="1" x14ac:dyDescent="0.3">
      <c r="A694" s="497">
        <v>12.3</v>
      </c>
      <c r="B694" s="493" t="s">
        <v>797</v>
      </c>
      <c r="C694" s="493"/>
      <c r="D694" s="493"/>
      <c r="E694" s="493"/>
      <c r="F694" s="493"/>
      <c r="G694" s="494">
        <v>2.4</v>
      </c>
      <c r="H694" s="495">
        <v>70</v>
      </c>
      <c r="I694" s="495">
        <v>120</v>
      </c>
      <c r="J694" s="496">
        <v>15.6</v>
      </c>
      <c r="K694" s="493"/>
    </row>
    <row r="695" spans="1:11" ht="11.1" customHeight="1" x14ac:dyDescent="0.3">
      <c r="A695" s="493"/>
      <c r="B695" s="493" t="s">
        <v>798</v>
      </c>
      <c r="C695" s="493" t="s">
        <v>799</v>
      </c>
      <c r="D695" s="493"/>
      <c r="E695" s="493"/>
      <c r="F695" s="493"/>
      <c r="G695" s="494" t="s">
        <v>230</v>
      </c>
      <c r="H695" s="495" t="s">
        <v>230</v>
      </c>
      <c r="I695" s="495" t="s">
        <v>230</v>
      </c>
      <c r="J695" s="496" t="s">
        <v>230</v>
      </c>
      <c r="K695" s="494"/>
    </row>
    <row r="696" spans="1:11" ht="11.1" customHeight="1" x14ac:dyDescent="0.3">
      <c r="A696" s="493"/>
      <c r="B696" s="493" t="s">
        <v>800</v>
      </c>
      <c r="C696" s="493" t="s">
        <v>801</v>
      </c>
      <c r="D696" s="493"/>
      <c r="E696" s="493"/>
      <c r="F696" s="493"/>
      <c r="G696" s="494" t="s">
        <v>1153</v>
      </c>
      <c r="H696" s="495" t="s">
        <v>1154</v>
      </c>
      <c r="I696" s="495">
        <v>20</v>
      </c>
      <c r="J696" s="496">
        <v>86.3</v>
      </c>
      <c r="K696" s="493"/>
    </row>
    <row r="697" spans="1:11" ht="11.1" customHeight="1" x14ac:dyDescent="0.3">
      <c r="A697" s="493"/>
      <c r="B697" s="493" t="s">
        <v>802</v>
      </c>
      <c r="C697" s="493" t="s">
        <v>803</v>
      </c>
      <c r="D697" s="493"/>
      <c r="E697" s="493"/>
      <c r="F697" s="493"/>
      <c r="G697" s="494">
        <v>1</v>
      </c>
      <c r="H697" s="495">
        <v>30</v>
      </c>
      <c r="I697" s="495">
        <v>50</v>
      </c>
      <c r="J697" s="496">
        <v>14.5</v>
      </c>
      <c r="K697" s="493"/>
    </row>
    <row r="698" spans="1:11" ht="11.1" customHeight="1" x14ac:dyDescent="0.3">
      <c r="A698" s="493"/>
      <c r="B698" s="493" t="s">
        <v>804</v>
      </c>
      <c r="C698" s="493" t="s">
        <v>805</v>
      </c>
      <c r="D698" s="493"/>
      <c r="E698" s="493"/>
      <c r="F698" s="493"/>
      <c r="G698" s="494">
        <v>0.9</v>
      </c>
      <c r="H698" s="495">
        <v>27</v>
      </c>
      <c r="I698" s="495">
        <v>60</v>
      </c>
      <c r="J698" s="496">
        <v>21.7</v>
      </c>
      <c r="K698" s="493"/>
    </row>
    <row r="699" spans="1:11" ht="11.1" customHeight="1" x14ac:dyDescent="0.3">
      <c r="A699" s="474"/>
      <c r="B699" s="474"/>
      <c r="C699" s="475"/>
      <c r="D699" s="475"/>
      <c r="E699" s="475"/>
      <c r="F699" s="475"/>
      <c r="G699" s="476"/>
      <c r="H699" s="477"/>
      <c r="I699" s="477"/>
      <c r="J699" s="478"/>
      <c r="K699" s="548"/>
    </row>
    <row r="700" spans="1:11" ht="11.1" customHeight="1" x14ac:dyDescent="0.3">
      <c r="A700" s="493"/>
      <c r="B700" s="493"/>
      <c r="C700" s="493"/>
      <c r="D700" s="493"/>
      <c r="E700" s="493"/>
      <c r="F700" s="493"/>
      <c r="G700" s="494"/>
      <c r="H700" s="502"/>
      <c r="I700" s="502"/>
      <c r="J700" s="503"/>
      <c r="K700" s="493"/>
    </row>
    <row r="701" spans="1:11" ht="11.1" customHeight="1" x14ac:dyDescent="0.3">
      <c r="A701" s="493" t="s">
        <v>111</v>
      </c>
      <c r="B701" s="493"/>
      <c r="C701" s="493"/>
      <c r="D701" s="493"/>
      <c r="E701" s="493"/>
      <c r="F701" s="493"/>
      <c r="G701" s="494"/>
      <c r="H701" s="502"/>
      <c r="I701" s="502"/>
      <c r="J701" s="503"/>
      <c r="K701" s="493"/>
    </row>
    <row r="702" spans="1:11" ht="11.1" customHeight="1" x14ac:dyDescent="0.3">
      <c r="A702" s="493" t="s">
        <v>182</v>
      </c>
      <c r="B702" s="493"/>
      <c r="C702" s="493"/>
      <c r="D702" s="493"/>
      <c r="E702" s="493"/>
      <c r="F702" s="493"/>
      <c r="G702" s="494"/>
      <c r="H702" s="502"/>
      <c r="I702" s="502"/>
      <c r="J702" s="503"/>
      <c r="K702" s="493"/>
    </row>
    <row r="703" spans="1:11" ht="11.1" customHeight="1" x14ac:dyDescent="0.3">
      <c r="A703" s="493" t="s">
        <v>112</v>
      </c>
      <c r="B703" s="493"/>
      <c r="C703" s="493"/>
      <c r="D703" s="493"/>
      <c r="E703" s="493"/>
      <c r="F703" s="493"/>
      <c r="G703" s="494"/>
      <c r="H703" s="502"/>
      <c r="I703" s="502"/>
      <c r="J703" s="503"/>
      <c r="K703" s="493"/>
    </row>
    <row r="704" spans="1:11" ht="11.1" customHeight="1" x14ac:dyDescent="0.3">
      <c r="A704" s="493"/>
      <c r="B704" s="493"/>
      <c r="C704" s="493"/>
      <c r="D704" s="493"/>
      <c r="E704" s="493"/>
      <c r="F704" s="493"/>
      <c r="G704" s="494"/>
      <c r="H704" s="502"/>
      <c r="I704" s="502"/>
      <c r="J704" s="503"/>
      <c r="K704" s="493"/>
    </row>
    <row r="705" spans="1:11" ht="11.1" customHeight="1" x14ac:dyDescent="0.3">
      <c r="A705" s="493"/>
      <c r="B705" s="493"/>
      <c r="C705" s="493"/>
      <c r="D705" s="493"/>
      <c r="E705" s="493"/>
      <c r="F705" s="493"/>
      <c r="G705" s="494"/>
      <c r="H705" s="502"/>
      <c r="I705" s="502"/>
      <c r="J705" s="503"/>
      <c r="K705" s="493"/>
    </row>
    <row r="708" spans="1:11" ht="11.1" customHeight="1" x14ac:dyDescent="0.3">
      <c r="A708" s="446" t="s">
        <v>114</v>
      </c>
      <c r="B708" s="536"/>
      <c r="C708" s="537"/>
      <c r="D708" s="538"/>
      <c r="E708" s="538"/>
      <c r="F708" s="537"/>
      <c r="G708" s="517"/>
      <c r="H708" s="518"/>
      <c r="I708" s="518"/>
      <c r="J708" s="506"/>
      <c r="K708" s="535"/>
    </row>
    <row r="709" spans="1:11" ht="17.399999999999999" customHeight="1" x14ac:dyDescent="0.3">
      <c r="A709" s="507" t="s">
        <v>183</v>
      </c>
      <c r="B709" s="508"/>
      <c r="C709" s="444"/>
      <c r="D709" s="445"/>
      <c r="E709" s="445"/>
      <c r="F709" s="446"/>
      <c r="G709" s="540"/>
      <c r="H709" s="541"/>
      <c r="I709" s="541"/>
      <c r="J709" s="512"/>
      <c r="K709" s="539"/>
    </row>
    <row r="710" spans="1:11" ht="14.4" customHeight="1" x14ac:dyDescent="0.3">
      <c r="A710" s="513" t="s">
        <v>1351</v>
      </c>
      <c r="B710" s="514"/>
      <c r="C710" s="455"/>
      <c r="D710" s="456"/>
      <c r="E710" s="445"/>
      <c r="F710" s="446"/>
      <c r="G710" s="540"/>
      <c r="H710" s="541"/>
      <c r="I710" s="541"/>
      <c r="J710" s="512"/>
      <c r="K710" s="539"/>
    </row>
    <row r="711" spans="1:11" ht="11.1" customHeight="1" x14ac:dyDescent="0.3">
      <c r="A711" s="474"/>
      <c r="B711" s="474"/>
      <c r="C711" s="475"/>
      <c r="D711" s="475"/>
      <c r="E711" s="475"/>
      <c r="F711" s="475"/>
      <c r="G711" s="476"/>
      <c r="H711" s="477"/>
      <c r="I711" s="477"/>
      <c r="J711" s="478"/>
      <c r="K711" s="529"/>
    </row>
    <row r="712" spans="1:11" ht="11.1" customHeight="1" x14ac:dyDescent="0.3">
      <c r="A712" s="464"/>
      <c r="B712" s="464"/>
      <c r="C712" s="465"/>
      <c r="D712" s="465"/>
      <c r="E712" s="465"/>
      <c r="F712" s="465"/>
      <c r="G712" s="517"/>
      <c r="H712" s="518"/>
      <c r="I712" s="518"/>
      <c r="J712" s="519"/>
      <c r="K712" s="529"/>
    </row>
    <row r="713" spans="1:11" ht="11.1" customHeight="1" x14ac:dyDescent="0.3">
      <c r="A713" s="520"/>
      <c r="B713" s="520"/>
      <c r="C713" s="521"/>
      <c r="D713" s="521"/>
      <c r="E713" s="521"/>
      <c r="F713" s="469"/>
      <c r="G713" s="470" t="s">
        <v>116</v>
      </c>
      <c r="H713" s="471" t="s">
        <v>25</v>
      </c>
      <c r="I713" s="471" t="s">
        <v>26</v>
      </c>
      <c r="J713" s="472" t="s">
        <v>117</v>
      </c>
      <c r="K713" s="542"/>
    </row>
    <row r="714" spans="1:11" ht="11.1" customHeight="1" x14ac:dyDescent="0.3">
      <c r="A714" s="520"/>
      <c r="B714" s="520"/>
      <c r="C714" s="521"/>
      <c r="D714" s="521"/>
      <c r="E714" s="521"/>
      <c r="F714" s="469"/>
      <c r="G714" s="473" t="s">
        <v>29</v>
      </c>
      <c r="H714" s="471" t="s">
        <v>27</v>
      </c>
      <c r="I714" s="471" t="s">
        <v>28</v>
      </c>
      <c r="J714" s="472" t="s">
        <v>118</v>
      </c>
      <c r="K714" s="542"/>
    </row>
    <row r="715" spans="1:11" ht="11.1" customHeight="1" x14ac:dyDescent="0.3">
      <c r="A715" s="520"/>
      <c r="B715" s="520"/>
      <c r="C715" s="521"/>
      <c r="D715" s="521"/>
      <c r="E715" s="521"/>
      <c r="F715" s="469"/>
      <c r="G715" s="470" t="s">
        <v>31</v>
      </c>
      <c r="H715" s="471" t="s">
        <v>29</v>
      </c>
      <c r="I715" s="471" t="s">
        <v>30</v>
      </c>
      <c r="J715" s="472" t="s">
        <v>119</v>
      </c>
      <c r="K715" s="542"/>
    </row>
    <row r="716" spans="1:11" ht="11.1" customHeight="1" x14ac:dyDescent="0.3">
      <c r="A716" s="520"/>
      <c r="B716" s="520"/>
      <c r="C716" s="521"/>
      <c r="D716" s="521"/>
      <c r="E716" s="521"/>
      <c r="F716" s="469"/>
      <c r="G716" s="473" t="s">
        <v>32</v>
      </c>
      <c r="H716" s="471" t="s">
        <v>33</v>
      </c>
      <c r="I716" s="471" t="s">
        <v>120</v>
      </c>
      <c r="J716" s="472" t="s">
        <v>121</v>
      </c>
      <c r="K716" s="542"/>
    </row>
    <row r="717" spans="1:11" ht="11.1" customHeight="1" x14ac:dyDescent="0.3">
      <c r="A717" s="474"/>
      <c r="B717" s="474"/>
      <c r="C717" s="475"/>
      <c r="D717" s="475"/>
      <c r="E717" s="475"/>
      <c r="F717" s="475"/>
      <c r="G717" s="476"/>
      <c r="H717" s="477"/>
      <c r="I717" s="477"/>
      <c r="J717" s="478"/>
      <c r="K717" s="529"/>
    </row>
    <row r="718" spans="1:11" ht="11.1" customHeight="1" x14ac:dyDescent="0.3">
      <c r="A718" s="536"/>
      <c r="B718" s="464"/>
      <c r="C718" s="517"/>
      <c r="D718" s="517"/>
      <c r="E718" s="517"/>
      <c r="F718" s="465"/>
      <c r="G718" s="517"/>
      <c r="H718" s="518"/>
      <c r="I718" s="518"/>
      <c r="J718" s="519"/>
      <c r="K718" s="529"/>
    </row>
    <row r="719" spans="1:11" ht="11.1" customHeight="1" x14ac:dyDescent="0.3">
      <c r="A719" s="488" t="s">
        <v>123</v>
      </c>
      <c r="B719" s="522"/>
      <c r="C719" s="523"/>
      <c r="D719" s="524"/>
      <c r="E719" s="524"/>
      <c r="F719" s="525" t="s">
        <v>124</v>
      </c>
      <c r="G719" s="526"/>
      <c r="H719" s="527"/>
      <c r="I719" s="527"/>
      <c r="J719" s="528"/>
      <c r="K719" s="549"/>
    </row>
    <row r="721" spans="1:11" ht="11.1" customHeight="1" x14ac:dyDescent="0.3">
      <c r="A721" s="530">
        <v>12</v>
      </c>
      <c r="B721" s="489" t="s">
        <v>806</v>
      </c>
      <c r="C721" s="489"/>
      <c r="D721" s="489"/>
      <c r="E721" s="489"/>
      <c r="F721" s="489"/>
      <c r="G721" s="490"/>
      <c r="H721" s="531"/>
      <c r="I721" s="531"/>
      <c r="J721" s="532"/>
      <c r="K721" s="489"/>
    </row>
    <row r="722" spans="1:11" ht="11.1" customHeight="1" x14ac:dyDescent="0.3">
      <c r="A722" s="493"/>
      <c r="B722" s="493"/>
      <c r="C722" s="493"/>
      <c r="D722" s="493"/>
      <c r="E722" s="493"/>
      <c r="F722" s="493"/>
      <c r="G722" s="494"/>
      <c r="H722" s="502"/>
      <c r="I722" s="502"/>
      <c r="J722" s="503"/>
      <c r="K722" s="493"/>
    </row>
    <row r="723" spans="1:11" ht="11.1" customHeight="1" x14ac:dyDescent="0.3">
      <c r="A723" s="497">
        <v>12.4</v>
      </c>
      <c r="B723" s="493" t="s">
        <v>807</v>
      </c>
      <c r="C723" s="493"/>
      <c r="D723" s="493"/>
      <c r="E723" s="493"/>
      <c r="F723" s="493"/>
      <c r="G723" s="494">
        <v>18.5</v>
      </c>
      <c r="H723" s="495">
        <v>541</v>
      </c>
      <c r="I723" s="495">
        <v>4090</v>
      </c>
      <c r="J723" s="496">
        <v>1.7</v>
      </c>
      <c r="K723" s="493"/>
    </row>
    <row r="724" spans="1:11" ht="11.1" customHeight="1" x14ac:dyDescent="0.3">
      <c r="A724" s="493"/>
      <c r="B724" s="493" t="s">
        <v>808</v>
      </c>
      <c r="C724" s="493" t="s">
        <v>809</v>
      </c>
      <c r="D724" s="493"/>
      <c r="E724" s="493"/>
      <c r="F724" s="493"/>
      <c r="G724" s="494">
        <v>5.3</v>
      </c>
      <c r="H724" s="495">
        <v>154</v>
      </c>
      <c r="I724" s="495">
        <v>3570</v>
      </c>
      <c r="J724" s="496">
        <v>2.2000000000000002</v>
      </c>
      <c r="K724" s="493"/>
    </row>
    <row r="725" spans="1:11" ht="11.1" customHeight="1" x14ac:dyDescent="0.3">
      <c r="A725" s="493"/>
      <c r="B725" s="493"/>
      <c r="C725" s="493" t="s">
        <v>810</v>
      </c>
      <c r="D725" s="493" t="s">
        <v>811</v>
      </c>
      <c r="E725" s="493"/>
      <c r="F725" s="493"/>
      <c r="G725" s="494">
        <v>2.6</v>
      </c>
      <c r="H725" s="495">
        <v>75</v>
      </c>
      <c r="I725" s="495">
        <v>2980</v>
      </c>
      <c r="J725" s="496">
        <v>2.5</v>
      </c>
      <c r="K725" s="493"/>
    </row>
    <row r="726" spans="1:11" ht="11.1" customHeight="1" x14ac:dyDescent="0.3">
      <c r="A726" s="493"/>
      <c r="B726" s="493"/>
      <c r="C726" s="493" t="s">
        <v>812</v>
      </c>
      <c r="D726" s="493" t="s">
        <v>813</v>
      </c>
      <c r="E726" s="493"/>
      <c r="F726" s="493"/>
      <c r="G726" s="494">
        <v>2.2999999999999998</v>
      </c>
      <c r="H726" s="495">
        <v>69</v>
      </c>
      <c r="I726" s="495">
        <v>3390</v>
      </c>
      <c r="J726" s="496">
        <v>2.6</v>
      </c>
      <c r="K726" s="493"/>
    </row>
    <row r="727" spans="1:11" ht="11.1" customHeight="1" x14ac:dyDescent="0.3">
      <c r="A727" s="493"/>
      <c r="B727" s="493"/>
      <c r="C727" s="493" t="s">
        <v>814</v>
      </c>
      <c r="D727" s="493" t="s">
        <v>1302</v>
      </c>
      <c r="E727" s="493"/>
      <c r="F727" s="493"/>
      <c r="G727" s="494">
        <v>0.4</v>
      </c>
      <c r="H727" s="495">
        <v>10</v>
      </c>
      <c r="I727" s="495">
        <v>370</v>
      </c>
      <c r="J727" s="496">
        <v>2.8</v>
      </c>
      <c r="K727" s="493"/>
    </row>
    <row r="728" spans="1:11" ht="11.1" customHeight="1" x14ac:dyDescent="0.3">
      <c r="A728" s="493"/>
      <c r="B728" s="493"/>
      <c r="C728" s="493"/>
      <c r="D728" s="493"/>
      <c r="E728" s="493"/>
      <c r="F728" s="493"/>
      <c r="G728" s="494"/>
      <c r="H728" s="502"/>
      <c r="I728" s="502"/>
      <c r="J728" s="503"/>
      <c r="K728" s="493"/>
    </row>
    <row r="729" spans="1:11" ht="11.1" customHeight="1" x14ac:dyDescent="0.3">
      <c r="A729" s="493"/>
      <c r="B729" s="493" t="s">
        <v>816</v>
      </c>
      <c r="C729" s="493" t="s">
        <v>1303</v>
      </c>
      <c r="D729" s="493"/>
      <c r="E729" s="493"/>
      <c r="F729" s="493"/>
      <c r="G729" s="494">
        <v>2.2000000000000002</v>
      </c>
      <c r="H729" s="495">
        <v>64</v>
      </c>
      <c r="I729" s="495">
        <v>750</v>
      </c>
      <c r="J729" s="496">
        <v>8.3000000000000007</v>
      </c>
      <c r="K729" s="493"/>
    </row>
    <row r="730" spans="1:11" ht="11.1" customHeight="1" x14ac:dyDescent="0.3">
      <c r="A730" s="493"/>
      <c r="B730" s="493"/>
      <c r="C730" s="493"/>
      <c r="D730" s="493"/>
      <c r="E730" s="493"/>
      <c r="F730" s="493"/>
      <c r="G730" s="494"/>
      <c r="H730" s="502"/>
      <c r="I730" s="502"/>
      <c r="J730" s="503"/>
      <c r="K730" s="493"/>
    </row>
    <row r="731" spans="1:11" ht="11.1" customHeight="1" x14ac:dyDescent="0.3">
      <c r="A731" s="493"/>
      <c r="B731" s="493" t="s">
        <v>818</v>
      </c>
      <c r="C731" s="493" t="s">
        <v>819</v>
      </c>
      <c r="D731" s="493"/>
      <c r="E731" s="493"/>
      <c r="F731" s="493"/>
      <c r="G731" s="494">
        <v>10.3</v>
      </c>
      <c r="H731" s="495">
        <v>301</v>
      </c>
      <c r="I731" s="495">
        <v>3580</v>
      </c>
      <c r="J731" s="496">
        <v>1.8</v>
      </c>
      <c r="K731" s="493"/>
    </row>
    <row r="732" spans="1:11" ht="11.1" customHeight="1" x14ac:dyDescent="0.3">
      <c r="A732" s="493"/>
      <c r="B732" s="493"/>
      <c r="C732" s="493" t="s">
        <v>820</v>
      </c>
      <c r="D732" s="493" t="s">
        <v>821</v>
      </c>
      <c r="E732" s="493"/>
      <c r="F732" s="493"/>
      <c r="G732" s="494">
        <v>10.3</v>
      </c>
      <c r="H732" s="495">
        <v>301</v>
      </c>
      <c r="I732" s="495">
        <v>3580</v>
      </c>
      <c r="J732" s="496">
        <v>1.8</v>
      </c>
      <c r="K732" s="493"/>
    </row>
    <row r="733" spans="1:11" ht="11.1" customHeight="1" x14ac:dyDescent="0.3">
      <c r="A733" s="493"/>
      <c r="B733" s="493"/>
      <c r="C733" s="493" t="s">
        <v>822</v>
      </c>
      <c r="D733" s="493" t="s">
        <v>823</v>
      </c>
      <c r="E733" s="493"/>
      <c r="F733" s="493"/>
      <c r="G733" s="494" t="s">
        <v>230</v>
      </c>
      <c r="H733" s="495" t="s">
        <v>230</v>
      </c>
      <c r="I733" s="495" t="s">
        <v>230</v>
      </c>
      <c r="J733" s="496" t="s">
        <v>230</v>
      </c>
      <c r="K733" s="493"/>
    </row>
    <row r="734" spans="1:11" ht="11.1" customHeight="1" x14ac:dyDescent="0.3">
      <c r="A734" s="493"/>
      <c r="B734" s="493"/>
      <c r="C734" s="493"/>
      <c r="D734" s="493"/>
      <c r="E734" s="493"/>
      <c r="F734" s="493"/>
      <c r="G734" s="494"/>
      <c r="H734" s="502"/>
      <c r="I734" s="502"/>
      <c r="J734" s="503"/>
      <c r="K734" s="493"/>
    </row>
    <row r="735" spans="1:11" ht="11.1" customHeight="1" x14ac:dyDescent="0.3">
      <c r="A735" s="493"/>
      <c r="B735" s="493" t="s">
        <v>824</v>
      </c>
      <c r="C735" s="493" t="s">
        <v>1306</v>
      </c>
      <c r="D735" s="493"/>
      <c r="E735" s="493"/>
      <c r="F735" s="493"/>
      <c r="G735" s="494">
        <v>0.8</v>
      </c>
      <c r="H735" s="495">
        <v>22</v>
      </c>
      <c r="I735" s="495">
        <v>640</v>
      </c>
      <c r="J735" s="496">
        <v>4.5999999999999996</v>
      </c>
      <c r="K735" s="493"/>
    </row>
    <row r="736" spans="1:11" ht="11.1" customHeight="1" x14ac:dyDescent="0.3">
      <c r="A736" s="493"/>
      <c r="B736" s="493"/>
      <c r="C736" s="493"/>
      <c r="D736" s="493"/>
      <c r="E736" s="493"/>
      <c r="F736" s="493"/>
      <c r="G736" s="494"/>
      <c r="H736" s="502"/>
      <c r="I736" s="502"/>
      <c r="J736" s="503"/>
      <c r="K736" s="493"/>
    </row>
    <row r="737" spans="1:11" ht="11.1" customHeight="1" x14ac:dyDescent="0.3">
      <c r="A737" s="497">
        <v>12.5</v>
      </c>
      <c r="B737" s="493" t="s">
        <v>432</v>
      </c>
      <c r="C737" s="493"/>
      <c r="D737" s="493"/>
      <c r="E737" s="493"/>
      <c r="F737" s="493"/>
      <c r="G737" s="494">
        <v>6.2</v>
      </c>
      <c r="H737" s="495">
        <v>180</v>
      </c>
      <c r="I737" s="495">
        <v>1610</v>
      </c>
      <c r="J737" s="496">
        <v>7.7</v>
      </c>
      <c r="K737" s="493"/>
    </row>
    <row r="738" spans="1:11" ht="11.1" customHeight="1" x14ac:dyDescent="0.3">
      <c r="A738" s="493"/>
      <c r="B738" s="493" t="s">
        <v>826</v>
      </c>
      <c r="C738" s="493" t="s">
        <v>827</v>
      </c>
      <c r="D738" s="493"/>
      <c r="E738" s="493"/>
      <c r="F738" s="493"/>
      <c r="G738" s="494">
        <v>3.1</v>
      </c>
      <c r="H738" s="495">
        <v>91</v>
      </c>
      <c r="I738" s="495">
        <v>250</v>
      </c>
      <c r="J738" s="496">
        <v>8.6</v>
      </c>
      <c r="K738" s="493"/>
    </row>
    <row r="739" spans="1:11" ht="11.1" customHeight="1" x14ac:dyDescent="0.3">
      <c r="A739" s="493"/>
      <c r="B739" s="493"/>
      <c r="C739" s="493" t="s">
        <v>828</v>
      </c>
      <c r="D739" s="493" t="s">
        <v>829</v>
      </c>
      <c r="E739" s="493"/>
      <c r="F739" s="493"/>
      <c r="G739" s="494">
        <v>0.6</v>
      </c>
      <c r="H739" s="495">
        <v>17</v>
      </c>
      <c r="I739" s="495">
        <v>150</v>
      </c>
      <c r="J739" s="496">
        <v>11.4</v>
      </c>
      <c r="K739" s="493"/>
    </row>
    <row r="740" spans="1:11" ht="11.1" customHeight="1" x14ac:dyDescent="0.3">
      <c r="A740" s="493"/>
      <c r="B740" s="493"/>
      <c r="C740" s="493" t="s">
        <v>830</v>
      </c>
      <c r="D740" s="493" t="s">
        <v>831</v>
      </c>
      <c r="E740" s="493"/>
      <c r="F740" s="493"/>
      <c r="G740" s="494">
        <v>1.2</v>
      </c>
      <c r="H740" s="495">
        <v>34</v>
      </c>
      <c r="I740" s="495">
        <v>70</v>
      </c>
      <c r="J740" s="496">
        <v>12.8</v>
      </c>
      <c r="K740" s="493"/>
    </row>
    <row r="741" spans="1:11" ht="11.1" customHeight="1" x14ac:dyDescent="0.3">
      <c r="A741" s="493"/>
      <c r="B741" s="493"/>
      <c r="C741" s="493" t="s">
        <v>832</v>
      </c>
      <c r="D741" s="493" t="s">
        <v>833</v>
      </c>
      <c r="E741" s="493"/>
      <c r="F741" s="493"/>
      <c r="G741" s="494">
        <v>0.5</v>
      </c>
      <c r="H741" s="495">
        <v>15</v>
      </c>
      <c r="I741" s="495">
        <v>30</v>
      </c>
      <c r="J741" s="496">
        <v>22.3</v>
      </c>
      <c r="K741" s="493"/>
    </row>
    <row r="742" spans="1:11" ht="11.1" customHeight="1" x14ac:dyDescent="0.3">
      <c r="A742" s="493"/>
      <c r="B742" s="493"/>
      <c r="C742" s="493" t="s">
        <v>834</v>
      </c>
      <c r="D742" s="493" t="s">
        <v>835</v>
      </c>
      <c r="E742" s="493"/>
      <c r="F742" s="493"/>
      <c r="G742" s="494">
        <v>0.6</v>
      </c>
      <c r="H742" s="495">
        <v>18</v>
      </c>
      <c r="I742" s="495">
        <v>50</v>
      </c>
      <c r="J742" s="496">
        <v>10.8</v>
      </c>
      <c r="K742" s="493"/>
    </row>
    <row r="743" spans="1:11" ht="11.1" customHeight="1" x14ac:dyDescent="0.3">
      <c r="A743" s="493"/>
      <c r="B743" s="493"/>
      <c r="C743" s="493" t="s">
        <v>836</v>
      </c>
      <c r="D743" s="493" t="s">
        <v>837</v>
      </c>
      <c r="E743" s="493"/>
      <c r="F743" s="493"/>
      <c r="G743" s="494">
        <v>0.3</v>
      </c>
      <c r="H743" s="495">
        <v>8</v>
      </c>
      <c r="I743" s="495">
        <v>30</v>
      </c>
      <c r="J743" s="496">
        <v>18.899999999999999</v>
      </c>
      <c r="K743" s="493"/>
    </row>
    <row r="744" spans="1:11" ht="11.1" customHeight="1" x14ac:dyDescent="0.3">
      <c r="A744" s="493"/>
      <c r="B744" s="493"/>
      <c r="C744" s="493"/>
      <c r="D744" s="493"/>
      <c r="E744" s="493"/>
      <c r="F744" s="493"/>
      <c r="G744" s="494"/>
      <c r="H744" s="502"/>
      <c r="I744" s="502"/>
      <c r="J744" s="503"/>
      <c r="K744" s="493"/>
    </row>
    <row r="745" spans="1:11" ht="11.1" customHeight="1" x14ac:dyDescent="0.3">
      <c r="A745" s="493"/>
      <c r="B745" s="493" t="s">
        <v>838</v>
      </c>
      <c r="C745" s="493" t="s">
        <v>839</v>
      </c>
      <c r="D745" s="493"/>
      <c r="E745" s="493"/>
      <c r="F745" s="493"/>
      <c r="G745" s="494">
        <v>0.6</v>
      </c>
      <c r="H745" s="495">
        <v>17</v>
      </c>
      <c r="I745" s="495">
        <v>1100</v>
      </c>
      <c r="J745" s="496">
        <v>4.4000000000000004</v>
      </c>
      <c r="K745" s="493"/>
    </row>
    <row r="746" spans="1:11" ht="11.1" customHeight="1" x14ac:dyDescent="0.3">
      <c r="A746" s="493"/>
      <c r="B746" s="493"/>
      <c r="C746" s="493" t="s">
        <v>840</v>
      </c>
      <c r="D746" s="493" t="s">
        <v>841</v>
      </c>
      <c r="E746" s="493"/>
      <c r="F746" s="493"/>
      <c r="G746" s="494">
        <v>0.4</v>
      </c>
      <c r="H746" s="495">
        <v>13</v>
      </c>
      <c r="I746" s="495">
        <v>970</v>
      </c>
      <c r="J746" s="496">
        <v>5</v>
      </c>
      <c r="K746" s="493"/>
    </row>
    <row r="747" spans="1:11" ht="11.1" customHeight="1" x14ac:dyDescent="0.3">
      <c r="A747" s="493"/>
      <c r="B747" s="493"/>
      <c r="C747" s="493" t="s">
        <v>842</v>
      </c>
      <c r="D747" s="493" t="s">
        <v>843</v>
      </c>
      <c r="E747" s="493"/>
      <c r="F747" s="493"/>
      <c r="G747" s="494" t="s">
        <v>230</v>
      </c>
      <c r="H747" s="495" t="s">
        <v>230</v>
      </c>
      <c r="I747" s="495" t="s">
        <v>230</v>
      </c>
      <c r="J747" s="496" t="s">
        <v>230</v>
      </c>
      <c r="K747" s="493"/>
    </row>
    <row r="748" spans="1:11" ht="11.1" customHeight="1" x14ac:dyDescent="0.3">
      <c r="A748" s="493"/>
      <c r="B748" s="493"/>
      <c r="C748" s="493" t="s">
        <v>844</v>
      </c>
      <c r="D748" s="493" t="s">
        <v>845</v>
      </c>
      <c r="E748" s="493"/>
      <c r="F748" s="493"/>
      <c r="G748" s="494">
        <v>0.1</v>
      </c>
      <c r="H748" s="495">
        <v>3</v>
      </c>
      <c r="I748" s="495">
        <v>210</v>
      </c>
      <c r="J748" s="496">
        <v>8.3000000000000007</v>
      </c>
      <c r="K748" s="493"/>
    </row>
    <row r="749" spans="1:11" ht="11.1" customHeight="1" x14ac:dyDescent="0.3">
      <c r="A749" s="493"/>
      <c r="B749" s="493"/>
      <c r="C749" s="493" t="s">
        <v>846</v>
      </c>
      <c r="D749" s="493" t="s">
        <v>847</v>
      </c>
      <c r="E749" s="493"/>
      <c r="F749" s="493"/>
      <c r="G749" s="494" t="s">
        <v>230</v>
      </c>
      <c r="H749" s="495" t="s">
        <v>230</v>
      </c>
      <c r="I749" s="495" t="s">
        <v>230</v>
      </c>
      <c r="J749" s="496" t="s">
        <v>230</v>
      </c>
      <c r="K749" s="493"/>
    </row>
    <row r="750" spans="1:11" ht="11.1" customHeight="1" x14ac:dyDescent="0.3">
      <c r="A750" s="493"/>
      <c r="B750" s="493"/>
      <c r="C750" s="493"/>
      <c r="D750" s="493"/>
      <c r="E750" s="493"/>
      <c r="F750" s="493"/>
      <c r="G750" s="494"/>
      <c r="H750" s="502"/>
      <c r="I750" s="502"/>
      <c r="J750" s="503"/>
      <c r="K750" s="493"/>
    </row>
    <row r="751" spans="1:11" ht="11.1" customHeight="1" x14ac:dyDescent="0.3">
      <c r="A751" s="493"/>
      <c r="B751" s="493" t="s">
        <v>848</v>
      </c>
      <c r="C751" s="493" t="s">
        <v>849</v>
      </c>
      <c r="D751" s="493"/>
      <c r="E751" s="493"/>
      <c r="F751" s="493"/>
      <c r="G751" s="494">
        <v>2.5</v>
      </c>
      <c r="H751" s="495">
        <v>72</v>
      </c>
      <c r="I751" s="495">
        <v>560</v>
      </c>
      <c r="J751" s="496">
        <v>15.8</v>
      </c>
      <c r="K751" s="493"/>
    </row>
    <row r="752" spans="1:11" ht="11.1" customHeight="1" x14ac:dyDescent="0.3">
      <c r="A752" s="493"/>
      <c r="B752" s="493"/>
      <c r="C752" s="493" t="s">
        <v>850</v>
      </c>
      <c r="D752" s="493" t="s">
        <v>851</v>
      </c>
      <c r="E752" s="493"/>
      <c r="F752" s="493"/>
      <c r="G752" s="494">
        <v>0.4</v>
      </c>
      <c r="H752" s="495">
        <v>12</v>
      </c>
      <c r="I752" s="495">
        <v>30</v>
      </c>
      <c r="J752" s="496">
        <v>30.5</v>
      </c>
      <c r="K752" s="493"/>
    </row>
    <row r="753" spans="1:11" ht="11.1" customHeight="1" x14ac:dyDescent="0.3">
      <c r="A753" s="493"/>
      <c r="B753" s="493"/>
      <c r="C753" s="493" t="s">
        <v>852</v>
      </c>
      <c r="D753" s="493" t="s">
        <v>853</v>
      </c>
      <c r="E753" s="493"/>
      <c r="F753" s="493"/>
      <c r="G753" s="494">
        <v>0.6</v>
      </c>
      <c r="H753" s="495">
        <v>17</v>
      </c>
      <c r="I753" s="495">
        <v>20</v>
      </c>
      <c r="J753" s="496">
        <v>33.299999999999997</v>
      </c>
      <c r="K753" s="493"/>
    </row>
    <row r="754" spans="1:11" ht="11.1" customHeight="1" x14ac:dyDescent="0.3">
      <c r="A754" s="493"/>
      <c r="B754" s="493"/>
      <c r="C754" s="493" t="s">
        <v>854</v>
      </c>
      <c r="D754" s="493" t="s">
        <v>855</v>
      </c>
      <c r="E754" s="493"/>
      <c r="F754" s="493"/>
      <c r="G754" s="494" t="s">
        <v>1357</v>
      </c>
      <c r="H754" s="495" t="s">
        <v>1358</v>
      </c>
      <c r="I754" s="495">
        <v>20</v>
      </c>
      <c r="J754" s="496">
        <v>47.1</v>
      </c>
      <c r="K754" s="493"/>
    </row>
    <row r="755" spans="1:11" ht="11.1" customHeight="1" x14ac:dyDescent="0.3">
      <c r="A755" s="493"/>
      <c r="B755" s="493"/>
      <c r="C755" s="493" t="s">
        <v>856</v>
      </c>
      <c r="D755" s="493" t="s">
        <v>857</v>
      </c>
      <c r="E755" s="493"/>
      <c r="F755" s="493"/>
      <c r="G755" s="494">
        <v>0.8</v>
      </c>
      <c r="H755" s="495">
        <v>23</v>
      </c>
      <c r="I755" s="495">
        <v>480</v>
      </c>
      <c r="J755" s="496">
        <v>5.2</v>
      </c>
      <c r="K755" s="493"/>
    </row>
    <row r="756" spans="1:11" ht="11.1" customHeight="1" x14ac:dyDescent="0.3">
      <c r="A756" s="493"/>
      <c r="B756" s="493"/>
      <c r="C756" s="493" t="s">
        <v>858</v>
      </c>
      <c r="D756" s="493" t="s">
        <v>859</v>
      </c>
      <c r="E756" s="493"/>
      <c r="F756" s="493"/>
      <c r="G756" s="494" t="s">
        <v>1009</v>
      </c>
      <c r="H756" s="495">
        <v>1</v>
      </c>
      <c r="I756" s="495">
        <v>40</v>
      </c>
      <c r="J756" s="496">
        <v>81</v>
      </c>
      <c r="K756" s="493"/>
    </row>
    <row r="757" spans="1:11" ht="11.1" customHeight="1" x14ac:dyDescent="0.3">
      <c r="A757" s="493"/>
      <c r="B757" s="493"/>
      <c r="C757" s="493"/>
      <c r="D757" s="493"/>
      <c r="E757" s="493"/>
      <c r="F757" s="493"/>
      <c r="G757" s="494"/>
      <c r="H757" s="502"/>
      <c r="I757" s="502"/>
      <c r="J757" s="503"/>
      <c r="K757" s="493"/>
    </row>
    <row r="758" spans="1:11" ht="11.1" customHeight="1" x14ac:dyDescent="0.3">
      <c r="A758" s="474"/>
      <c r="B758" s="474"/>
      <c r="C758" s="475"/>
      <c r="D758" s="475"/>
      <c r="E758" s="475"/>
      <c r="F758" s="475"/>
      <c r="G758" s="476"/>
      <c r="H758" s="477"/>
      <c r="I758" s="477"/>
      <c r="J758" s="478"/>
      <c r="K758" s="548"/>
    </row>
    <row r="759" spans="1:11" ht="11.1" customHeight="1" x14ac:dyDescent="0.3">
      <c r="A759" s="489" t="s">
        <v>860</v>
      </c>
      <c r="B759" s="489" t="s">
        <v>19</v>
      </c>
      <c r="C759" s="489"/>
      <c r="D759" s="489"/>
      <c r="E759" s="489"/>
      <c r="F759" s="489"/>
      <c r="G759" s="490">
        <v>492</v>
      </c>
      <c r="H759" s="491">
        <v>14411</v>
      </c>
      <c r="I759" s="491">
        <v>4460</v>
      </c>
      <c r="J759" s="492">
        <v>1.1000000000000001</v>
      </c>
      <c r="K759" s="493"/>
    </row>
    <row r="760" spans="1:11" ht="11.1" customHeight="1" x14ac:dyDescent="0.3">
      <c r="A760" s="474"/>
      <c r="B760" s="474"/>
      <c r="C760" s="475"/>
      <c r="D760" s="475"/>
      <c r="E760" s="475"/>
      <c r="F760" s="475"/>
      <c r="G760" s="476"/>
      <c r="H760" s="477"/>
      <c r="I760" s="477"/>
      <c r="J760" s="478"/>
      <c r="K760" s="548"/>
    </row>
    <row r="761" spans="1:11" ht="11.1" customHeight="1" x14ac:dyDescent="0.3">
      <c r="A761" s="489"/>
      <c r="B761" s="489"/>
      <c r="C761" s="489"/>
      <c r="D761" s="489"/>
      <c r="E761" s="489"/>
      <c r="F761" s="489"/>
      <c r="G761" s="490"/>
      <c r="H761" s="531"/>
      <c r="I761" s="531"/>
      <c r="J761" s="532"/>
      <c r="K761" s="493"/>
    </row>
    <row r="762" spans="1:11" ht="11.1" customHeight="1" x14ac:dyDescent="0.3">
      <c r="A762" s="530">
        <v>13</v>
      </c>
      <c r="B762" s="489" t="s">
        <v>20</v>
      </c>
      <c r="C762" s="489"/>
      <c r="D762" s="489"/>
      <c r="E762" s="489"/>
      <c r="F762" s="489"/>
      <c r="G762" s="490">
        <v>75.7</v>
      </c>
      <c r="H762" s="491">
        <v>2219</v>
      </c>
      <c r="I762" s="491">
        <v>4310</v>
      </c>
      <c r="J762" s="492">
        <v>3.1</v>
      </c>
      <c r="K762" s="493"/>
    </row>
    <row r="763" spans="1:11" ht="11.1" customHeight="1" x14ac:dyDescent="0.3">
      <c r="A763" s="493"/>
      <c r="B763" s="493"/>
      <c r="C763" s="493"/>
      <c r="D763" s="493"/>
      <c r="E763" s="493"/>
      <c r="F763" s="493"/>
      <c r="G763" s="494"/>
      <c r="H763" s="502"/>
      <c r="I763" s="502"/>
      <c r="J763" s="503"/>
      <c r="K763" s="493"/>
    </row>
    <row r="764" spans="1:11" ht="11.1" customHeight="1" x14ac:dyDescent="0.3">
      <c r="A764" s="497">
        <v>13.1</v>
      </c>
      <c r="B764" s="493" t="s">
        <v>861</v>
      </c>
      <c r="C764" s="493"/>
      <c r="D764" s="493"/>
      <c r="E764" s="493"/>
      <c r="F764" s="493"/>
      <c r="G764" s="494">
        <v>53.3</v>
      </c>
      <c r="H764" s="495">
        <v>1561</v>
      </c>
      <c r="I764" s="495">
        <v>4130</v>
      </c>
      <c r="J764" s="496">
        <v>1.7</v>
      </c>
      <c r="K764" s="493"/>
    </row>
    <row r="765" spans="1:11" ht="11.1" customHeight="1" x14ac:dyDescent="0.3">
      <c r="A765" s="493"/>
      <c r="B765" s="493" t="s">
        <v>862</v>
      </c>
      <c r="C765" s="493" t="s">
        <v>863</v>
      </c>
      <c r="D765" s="493"/>
      <c r="E765" s="493"/>
      <c r="F765" s="493"/>
      <c r="G765" s="494">
        <v>22.5</v>
      </c>
      <c r="H765" s="495">
        <v>658</v>
      </c>
      <c r="I765" s="495">
        <v>1400</v>
      </c>
      <c r="J765" s="496">
        <v>3</v>
      </c>
      <c r="K765" s="493"/>
    </row>
    <row r="766" spans="1:11" ht="11.1" customHeight="1" x14ac:dyDescent="0.3">
      <c r="A766" s="493"/>
      <c r="B766" s="493" t="s">
        <v>864</v>
      </c>
      <c r="C766" s="493" t="s">
        <v>865</v>
      </c>
      <c r="D766" s="493"/>
      <c r="E766" s="493"/>
      <c r="F766" s="493"/>
      <c r="G766" s="494">
        <v>0.8</v>
      </c>
      <c r="H766" s="495">
        <v>22</v>
      </c>
      <c r="I766" s="495">
        <v>440</v>
      </c>
      <c r="J766" s="496">
        <v>5.4</v>
      </c>
      <c r="K766" s="493"/>
    </row>
    <row r="767" spans="1:11" ht="11.1" customHeight="1" x14ac:dyDescent="0.3">
      <c r="A767" s="493"/>
      <c r="B767" s="493" t="s">
        <v>866</v>
      </c>
      <c r="C767" s="493" t="s">
        <v>867</v>
      </c>
      <c r="D767" s="493"/>
      <c r="E767" s="493"/>
      <c r="F767" s="493"/>
      <c r="G767" s="494">
        <v>28.8</v>
      </c>
      <c r="H767" s="495">
        <v>844</v>
      </c>
      <c r="I767" s="495">
        <v>4120</v>
      </c>
      <c r="J767" s="496">
        <v>0.8</v>
      </c>
      <c r="K767" s="493"/>
    </row>
    <row r="768" spans="1:11" ht="11.1" customHeight="1" x14ac:dyDescent="0.3">
      <c r="A768" s="493"/>
      <c r="B768" s="493" t="s">
        <v>868</v>
      </c>
      <c r="C768" s="493" t="s">
        <v>869</v>
      </c>
      <c r="D768" s="493"/>
      <c r="E768" s="493"/>
      <c r="F768" s="493"/>
      <c r="G768" s="494">
        <v>1.3</v>
      </c>
      <c r="H768" s="495">
        <v>37</v>
      </c>
      <c r="I768" s="495">
        <v>30</v>
      </c>
      <c r="J768" s="496">
        <v>28.6</v>
      </c>
      <c r="K768" s="493"/>
    </row>
    <row r="769" spans="1:11" ht="11.1" customHeight="1" x14ac:dyDescent="0.3">
      <c r="A769" s="493"/>
      <c r="B769" s="493"/>
      <c r="C769" s="493"/>
      <c r="D769" s="493"/>
      <c r="E769" s="493"/>
      <c r="F769" s="493"/>
      <c r="G769" s="494"/>
      <c r="H769" s="502"/>
      <c r="I769" s="502"/>
      <c r="J769" s="503"/>
      <c r="K769" s="493"/>
    </row>
    <row r="770" spans="1:11" ht="11.1" customHeight="1" x14ac:dyDescent="0.3">
      <c r="A770" s="497">
        <v>13.2</v>
      </c>
      <c r="B770" s="493" t="s">
        <v>870</v>
      </c>
      <c r="C770" s="493"/>
      <c r="D770" s="493"/>
      <c r="E770" s="493"/>
      <c r="F770" s="493"/>
      <c r="G770" s="494">
        <v>3.8</v>
      </c>
      <c r="H770" s="495">
        <v>111</v>
      </c>
      <c r="I770" s="495">
        <v>3280</v>
      </c>
      <c r="J770" s="496">
        <v>5</v>
      </c>
      <c r="K770" s="493"/>
    </row>
    <row r="771" spans="1:11" ht="11.1" customHeight="1" x14ac:dyDescent="0.3">
      <c r="A771" s="493"/>
      <c r="B771" s="493" t="s">
        <v>871</v>
      </c>
      <c r="C771" s="493" t="s">
        <v>872</v>
      </c>
      <c r="D771" s="493"/>
      <c r="E771" s="493"/>
      <c r="F771" s="493"/>
      <c r="G771" s="494">
        <v>0.3</v>
      </c>
      <c r="H771" s="495">
        <v>10</v>
      </c>
      <c r="I771" s="495">
        <v>60</v>
      </c>
      <c r="J771" s="496">
        <v>51.3</v>
      </c>
      <c r="K771" s="493"/>
    </row>
    <row r="772" spans="1:11" ht="11.1" customHeight="1" x14ac:dyDescent="0.3">
      <c r="A772" s="493"/>
      <c r="B772" s="493" t="s">
        <v>873</v>
      </c>
      <c r="C772" s="493" t="s">
        <v>874</v>
      </c>
      <c r="D772" s="493"/>
      <c r="E772" s="493"/>
      <c r="F772" s="493"/>
      <c r="G772" s="494" t="s">
        <v>1190</v>
      </c>
      <c r="H772" s="495" t="s">
        <v>1191</v>
      </c>
      <c r="I772" s="495">
        <v>10</v>
      </c>
      <c r="J772" s="496">
        <v>25.8</v>
      </c>
      <c r="K772" s="493"/>
    </row>
    <row r="773" spans="1:11" ht="11.1" customHeight="1" x14ac:dyDescent="0.3">
      <c r="A773" s="493"/>
      <c r="B773" s="493" t="s">
        <v>875</v>
      </c>
      <c r="C773" s="493" t="s">
        <v>876</v>
      </c>
      <c r="D773" s="493"/>
      <c r="E773" s="493"/>
      <c r="F773" s="493"/>
      <c r="G773" s="494">
        <v>3.3</v>
      </c>
      <c r="H773" s="495">
        <v>97</v>
      </c>
      <c r="I773" s="495">
        <v>3270</v>
      </c>
      <c r="J773" s="496">
        <v>1.6</v>
      </c>
      <c r="K773" s="493"/>
    </row>
    <row r="774" spans="1:11" ht="11.1" customHeight="1" x14ac:dyDescent="0.3">
      <c r="A774" s="493"/>
      <c r="B774" s="493"/>
      <c r="C774" s="493"/>
      <c r="D774" s="493"/>
      <c r="E774" s="493"/>
      <c r="F774" s="493"/>
      <c r="G774" s="494"/>
      <c r="H774" s="502"/>
      <c r="I774" s="502"/>
      <c r="J774" s="503"/>
      <c r="K774" s="493"/>
    </row>
    <row r="775" spans="1:11" ht="11.1" customHeight="1" x14ac:dyDescent="0.3">
      <c r="A775" s="497">
        <v>13.3</v>
      </c>
      <c r="B775" s="493" t="s">
        <v>877</v>
      </c>
      <c r="C775" s="493"/>
      <c r="D775" s="493"/>
      <c r="E775" s="493"/>
      <c r="F775" s="493"/>
      <c r="G775" s="494">
        <v>5.4</v>
      </c>
      <c r="H775" s="495">
        <v>157</v>
      </c>
      <c r="I775" s="495">
        <v>130</v>
      </c>
      <c r="J775" s="496">
        <v>4.3</v>
      </c>
      <c r="K775" s="493"/>
    </row>
    <row r="776" spans="1:11" ht="11.1" customHeight="1" x14ac:dyDescent="0.3">
      <c r="A776" s="493"/>
      <c r="B776" s="493" t="s">
        <v>878</v>
      </c>
      <c r="C776" s="493" t="s">
        <v>879</v>
      </c>
      <c r="D776" s="493"/>
      <c r="E776" s="493"/>
      <c r="F776" s="493"/>
      <c r="G776" s="494">
        <v>5.4</v>
      </c>
      <c r="H776" s="495">
        <v>157</v>
      </c>
      <c r="I776" s="495">
        <v>130</v>
      </c>
      <c r="J776" s="496">
        <v>4.3</v>
      </c>
      <c r="K776" s="493"/>
    </row>
    <row r="777" spans="1:11" ht="11.1" customHeight="1" x14ac:dyDescent="0.3">
      <c r="A777" s="493"/>
      <c r="B777" s="493" t="s">
        <v>880</v>
      </c>
      <c r="C777" s="493" t="s">
        <v>881</v>
      </c>
      <c r="D777" s="493"/>
      <c r="E777" s="493"/>
      <c r="F777" s="493"/>
      <c r="G777" s="494" t="s">
        <v>367</v>
      </c>
      <c r="H777" s="495" t="s">
        <v>367</v>
      </c>
      <c r="I777" s="495" t="s">
        <v>367</v>
      </c>
      <c r="J777" s="496" t="s">
        <v>367</v>
      </c>
      <c r="K777" s="493"/>
    </row>
    <row r="778" spans="1:11" ht="11.1" customHeight="1" x14ac:dyDescent="0.3">
      <c r="A778" s="474"/>
      <c r="B778" s="474"/>
      <c r="C778" s="475"/>
      <c r="D778" s="475"/>
      <c r="E778" s="475"/>
      <c r="F778" s="475"/>
      <c r="G778" s="476"/>
      <c r="H778" s="477"/>
      <c r="I778" s="477"/>
      <c r="J778" s="478"/>
      <c r="K778" s="549"/>
    </row>
    <row r="779" spans="1:11" ht="11.1" customHeight="1" x14ac:dyDescent="0.3">
      <c r="A779" s="493"/>
      <c r="B779" s="493"/>
      <c r="C779" s="493"/>
      <c r="D779" s="493"/>
      <c r="E779" s="493"/>
      <c r="F779" s="493"/>
      <c r="G779" s="494"/>
      <c r="H779" s="502"/>
      <c r="I779" s="502"/>
      <c r="J779" s="503"/>
      <c r="K779" s="493"/>
    </row>
    <row r="780" spans="1:11" ht="11.1" customHeight="1" x14ac:dyDescent="0.3">
      <c r="A780" s="544" t="s">
        <v>111</v>
      </c>
      <c r="B780" s="493"/>
      <c r="C780" s="493"/>
      <c r="D780" s="493"/>
      <c r="E780" s="493"/>
      <c r="F780" s="493"/>
      <c r="G780" s="494"/>
      <c r="H780" s="502"/>
      <c r="I780" s="502"/>
      <c r="J780" s="503"/>
      <c r="K780" s="493"/>
    </row>
    <row r="781" spans="1:11" ht="11.1" customHeight="1" x14ac:dyDescent="0.3">
      <c r="A781" s="544" t="s">
        <v>182</v>
      </c>
      <c r="B781" s="493"/>
      <c r="C781" s="493"/>
      <c r="D781" s="493"/>
      <c r="E781" s="493"/>
      <c r="F781" s="493"/>
      <c r="G781" s="494"/>
      <c r="H781" s="502"/>
      <c r="I781" s="502"/>
      <c r="J781" s="503"/>
      <c r="K781" s="493"/>
    </row>
    <row r="782" spans="1:11" ht="11.1" customHeight="1" x14ac:dyDescent="0.3">
      <c r="A782" s="544" t="s">
        <v>112</v>
      </c>
      <c r="B782" s="493"/>
      <c r="C782" s="493"/>
      <c r="D782" s="493"/>
      <c r="E782" s="493"/>
      <c r="F782" s="493"/>
      <c r="G782" s="494"/>
      <c r="H782" s="502"/>
      <c r="I782" s="502"/>
      <c r="J782" s="503"/>
      <c r="K782" s="493"/>
    </row>
    <row r="783" spans="1:11" ht="11.1" customHeight="1" x14ac:dyDescent="0.3">
      <c r="A783" s="550" t="s">
        <v>1324</v>
      </c>
      <c r="B783" s="493"/>
      <c r="C783" s="493"/>
      <c r="D783" s="493"/>
      <c r="E783" s="493"/>
      <c r="F783" s="493"/>
      <c r="G783" s="494"/>
      <c r="H783" s="502"/>
      <c r="I783" s="502"/>
      <c r="J783" s="503"/>
      <c r="K783" s="493"/>
    </row>
    <row r="784" spans="1:11" ht="11.1" customHeight="1" x14ac:dyDescent="0.3">
      <c r="A784" s="550" t="s">
        <v>883</v>
      </c>
      <c r="B784" s="493"/>
      <c r="C784" s="493"/>
      <c r="D784" s="493"/>
      <c r="E784" s="493"/>
      <c r="F784" s="493"/>
      <c r="G784" s="494"/>
      <c r="H784" s="502"/>
      <c r="I784" s="502"/>
      <c r="J784" s="503"/>
      <c r="K784" s="493"/>
    </row>
    <row r="785" spans="1:11" ht="11.1" customHeight="1" x14ac:dyDescent="0.3">
      <c r="A785" s="550" t="s">
        <v>1325</v>
      </c>
      <c r="B785" s="493"/>
      <c r="C785" s="493"/>
      <c r="D785" s="493"/>
      <c r="E785" s="493"/>
      <c r="F785" s="493"/>
      <c r="G785" s="494"/>
      <c r="H785" s="502"/>
      <c r="I785" s="502"/>
      <c r="J785" s="503"/>
      <c r="K785" s="493"/>
    </row>
    <row r="786" spans="1:11" ht="11.1" customHeight="1" x14ac:dyDescent="0.3">
      <c r="A786" s="550" t="s">
        <v>885</v>
      </c>
      <c r="B786" s="493"/>
      <c r="C786" s="493"/>
      <c r="D786" s="493"/>
      <c r="E786" s="493"/>
      <c r="F786" s="493"/>
      <c r="G786" s="494"/>
      <c r="H786" s="502"/>
      <c r="I786" s="502"/>
      <c r="J786" s="503"/>
      <c r="K786" s="493"/>
    </row>
    <row r="787" spans="1:11" ht="11.1" customHeight="1" x14ac:dyDescent="0.3">
      <c r="A787" s="550" t="s">
        <v>1326</v>
      </c>
      <c r="B787" s="493"/>
      <c r="C787" s="493"/>
      <c r="D787" s="493"/>
      <c r="E787" s="493"/>
      <c r="F787" s="493"/>
      <c r="G787" s="494"/>
      <c r="H787" s="502"/>
      <c r="I787" s="502"/>
      <c r="J787" s="503"/>
      <c r="K787" s="493"/>
    </row>
    <row r="788" spans="1:11" ht="11.1" customHeight="1" x14ac:dyDescent="0.3">
      <c r="A788" s="550" t="s">
        <v>887</v>
      </c>
      <c r="B788" s="493"/>
      <c r="C788" s="493"/>
      <c r="D788" s="493"/>
      <c r="E788" s="493"/>
      <c r="F788" s="493"/>
      <c r="G788" s="494"/>
      <c r="H788" s="502"/>
      <c r="I788" s="502"/>
      <c r="J788" s="503"/>
      <c r="K788" s="493"/>
    </row>
    <row r="789" spans="1:11" ht="11.1" customHeight="1" x14ac:dyDescent="0.3">
      <c r="A789" s="493"/>
      <c r="B789" s="493"/>
      <c r="C789" s="493"/>
      <c r="D789" s="493"/>
      <c r="E789" s="493"/>
      <c r="F789" s="493"/>
      <c r="G789" s="494"/>
      <c r="H789" s="502"/>
      <c r="I789" s="502"/>
      <c r="J789" s="503"/>
      <c r="K789" s="493"/>
    </row>
    <row r="790" spans="1:11" ht="11.1" customHeight="1" x14ac:dyDescent="0.3">
      <c r="A790" s="493"/>
      <c r="B790" s="493"/>
      <c r="C790" s="493"/>
      <c r="D790" s="493"/>
      <c r="E790" s="493"/>
      <c r="F790" s="493"/>
      <c r="G790" s="494"/>
      <c r="H790" s="502"/>
      <c r="I790" s="502"/>
      <c r="J790" s="503"/>
      <c r="K790" s="493"/>
    </row>
    <row r="793" spans="1:11" ht="11.1" customHeight="1" x14ac:dyDescent="0.3">
      <c r="A793" s="446" t="s">
        <v>114</v>
      </c>
      <c r="B793" s="536"/>
      <c r="C793" s="537"/>
      <c r="D793" s="538"/>
      <c r="E793" s="538"/>
      <c r="F793" s="537"/>
      <c r="G793" s="517"/>
      <c r="H793" s="518"/>
      <c r="I793" s="518"/>
      <c r="J793" s="506"/>
      <c r="K793" s="535"/>
    </row>
    <row r="794" spans="1:11" ht="19.2" customHeight="1" x14ac:dyDescent="0.3">
      <c r="A794" s="507" t="s">
        <v>183</v>
      </c>
      <c r="B794" s="508"/>
      <c r="C794" s="444"/>
      <c r="D794" s="445"/>
      <c r="E794" s="445"/>
      <c r="F794" s="446"/>
      <c r="G794" s="540"/>
      <c r="H794" s="541"/>
      <c r="I794" s="541"/>
      <c r="J794" s="512"/>
      <c r="K794" s="539"/>
    </row>
    <row r="795" spans="1:11" ht="12.6" customHeight="1" x14ac:dyDescent="0.3">
      <c r="A795" s="513" t="s">
        <v>1351</v>
      </c>
      <c r="B795" s="514"/>
      <c r="C795" s="455"/>
      <c r="D795" s="456"/>
      <c r="E795" s="445"/>
      <c r="F795" s="446"/>
      <c r="G795" s="540"/>
      <c r="H795" s="541"/>
      <c r="I795" s="541"/>
      <c r="J795" s="512"/>
      <c r="K795" s="539"/>
    </row>
    <row r="796" spans="1:11" ht="11.1" customHeight="1" x14ac:dyDescent="0.3">
      <c r="A796" s="474"/>
      <c r="B796" s="474"/>
      <c r="C796" s="475"/>
      <c r="D796" s="475"/>
      <c r="E796" s="475"/>
      <c r="F796" s="475"/>
      <c r="G796" s="476"/>
      <c r="H796" s="477"/>
      <c r="I796" s="477"/>
      <c r="J796" s="478"/>
      <c r="K796" s="529"/>
    </row>
    <row r="797" spans="1:11" ht="11.1" customHeight="1" x14ac:dyDescent="0.3">
      <c r="A797" s="464"/>
      <c r="B797" s="464"/>
      <c r="C797" s="465"/>
      <c r="D797" s="465"/>
      <c r="E797" s="465"/>
      <c r="F797" s="465"/>
      <c r="G797" s="517"/>
      <c r="H797" s="518"/>
      <c r="I797" s="518"/>
      <c r="J797" s="519"/>
      <c r="K797" s="529"/>
    </row>
    <row r="798" spans="1:11" ht="11.1" customHeight="1" x14ac:dyDescent="0.3">
      <c r="A798" s="520"/>
      <c r="B798" s="520"/>
      <c r="C798" s="521"/>
      <c r="D798" s="521"/>
      <c r="E798" s="521"/>
      <c r="F798" s="469"/>
      <c r="G798" s="470" t="s">
        <v>116</v>
      </c>
      <c r="H798" s="471" t="s">
        <v>25</v>
      </c>
      <c r="I798" s="471" t="s">
        <v>26</v>
      </c>
      <c r="J798" s="472" t="s">
        <v>117</v>
      </c>
      <c r="K798" s="542"/>
    </row>
    <row r="799" spans="1:11" ht="11.1" customHeight="1" x14ac:dyDescent="0.3">
      <c r="A799" s="520"/>
      <c r="B799" s="520"/>
      <c r="C799" s="521"/>
      <c r="D799" s="521"/>
      <c r="E799" s="521"/>
      <c r="F799" s="469"/>
      <c r="G799" s="473" t="s">
        <v>29</v>
      </c>
      <c r="H799" s="471" t="s">
        <v>27</v>
      </c>
      <c r="I799" s="471" t="s">
        <v>28</v>
      </c>
      <c r="J799" s="472" t="s">
        <v>118</v>
      </c>
      <c r="K799" s="542"/>
    </row>
    <row r="800" spans="1:11" ht="11.1" customHeight="1" x14ac:dyDescent="0.3">
      <c r="A800" s="520"/>
      <c r="B800" s="520"/>
      <c r="C800" s="521"/>
      <c r="D800" s="521"/>
      <c r="E800" s="521"/>
      <c r="F800" s="469"/>
      <c r="G800" s="470" t="s">
        <v>31</v>
      </c>
      <c r="H800" s="471" t="s">
        <v>29</v>
      </c>
      <c r="I800" s="471" t="s">
        <v>30</v>
      </c>
      <c r="J800" s="472" t="s">
        <v>119</v>
      </c>
      <c r="K800" s="542"/>
    </row>
    <row r="801" spans="1:11" ht="11.1" customHeight="1" x14ac:dyDescent="0.3">
      <c r="A801" s="520"/>
      <c r="B801" s="520"/>
      <c r="C801" s="521"/>
      <c r="D801" s="521"/>
      <c r="E801" s="521"/>
      <c r="F801" s="469"/>
      <c r="G801" s="473" t="s">
        <v>32</v>
      </c>
      <c r="H801" s="471" t="s">
        <v>33</v>
      </c>
      <c r="I801" s="471" t="s">
        <v>120</v>
      </c>
      <c r="J801" s="472" t="s">
        <v>121</v>
      </c>
      <c r="K801" s="542"/>
    </row>
    <row r="802" spans="1:11" ht="11.1" customHeight="1" x14ac:dyDescent="0.3">
      <c r="A802" s="474"/>
      <c r="B802" s="474"/>
      <c r="C802" s="475"/>
      <c r="D802" s="475"/>
      <c r="E802" s="475"/>
      <c r="F802" s="475"/>
      <c r="G802" s="476"/>
      <c r="H802" s="477"/>
      <c r="I802" s="477"/>
      <c r="J802" s="478"/>
      <c r="K802" s="529"/>
    </row>
    <row r="803" spans="1:11" ht="11.1" customHeight="1" x14ac:dyDescent="0.3">
      <c r="A803" s="536"/>
      <c r="B803" s="464"/>
      <c r="C803" s="517"/>
      <c r="D803" s="517"/>
      <c r="E803" s="517"/>
      <c r="F803" s="465"/>
      <c r="G803" s="517"/>
      <c r="H803" s="518"/>
      <c r="I803" s="518"/>
      <c r="J803" s="519"/>
      <c r="K803" s="529"/>
    </row>
    <row r="804" spans="1:11" ht="11.1" customHeight="1" x14ac:dyDescent="0.3">
      <c r="A804" s="488" t="s">
        <v>123</v>
      </c>
      <c r="B804" s="522"/>
      <c r="C804" s="523"/>
      <c r="D804" s="524"/>
      <c r="E804" s="524"/>
      <c r="F804" s="525" t="s">
        <v>124</v>
      </c>
      <c r="G804" s="526"/>
      <c r="H804" s="527"/>
      <c r="I804" s="527"/>
      <c r="J804" s="528"/>
      <c r="K804" s="549"/>
    </row>
    <row r="806" spans="1:11" ht="11.1" customHeight="1" x14ac:dyDescent="0.3">
      <c r="A806" s="530">
        <v>13</v>
      </c>
      <c r="B806" s="489" t="s">
        <v>888</v>
      </c>
      <c r="C806" s="489"/>
      <c r="D806" s="489"/>
      <c r="E806" s="489"/>
      <c r="F806" s="489"/>
      <c r="G806" s="490"/>
      <c r="H806" s="531"/>
      <c r="I806" s="531"/>
      <c r="J806" s="532"/>
      <c r="K806" s="489"/>
    </row>
    <row r="807" spans="1:11" ht="11.1" customHeight="1" x14ac:dyDescent="0.3">
      <c r="A807" s="493"/>
      <c r="B807" s="493"/>
      <c r="C807" s="493"/>
      <c r="D807" s="493"/>
      <c r="E807" s="493"/>
      <c r="F807" s="493"/>
      <c r="G807" s="494"/>
      <c r="H807" s="502"/>
      <c r="I807" s="502"/>
      <c r="J807" s="503"/>
      <c r="K807" s="493"/>
    </row>
    <row r="808" spans="1:11" ht="11.1" customHeight="1" x14ac:dyDescent="0.3">
      <c r="A808" s="497">
        <v>13.4</v>
      </c>
      <c r="B808" s="493" t="s">
        <v>889</v>
      </c>
      <c r="C808" s="493"/>
      <c r="D808" s="493"/>
      <c r="E808" s="493"/>
      <c r="F808" s="493"/>
      <c r="G808" s="494">
        <v>13.3</v>
      </c>
      <c r="H808" s="495">
        <v>389</v>
      </c>
      <c r="I808" s="495">
        <v>1960</v>
      </c>
      <c r="J808" s="496">
        <v>15.8</v>
      </c>
      <c r="K808" s="493"/>
    </row>
    <row r="809" spans="1:11" ht="11.1" customHeight="1" x14ac:dyDescent="0.3">
      <c r="A809" s="493"/>
      <c r="B809" s="493" t="s">
        <v>890</v>
      </c>
      <c r="C809" s="493" t="s">
        <v>891</v>
      </c>
      <c r="D809" s="493"/>
      <c r="E809" s="493"/>
      <c r="F809" s="493"/>
      <c r="G809" s="494">
        <v>0.1</v>
      </c>
      <c r="H809" s="495">
        <v>3</v>
      </c>
      <c r="I809" s="495">
        <v>30</v>
      </c>
      <c r="J809" s="496">
        <v>78.7</v>
      </c>
      <c r="K809" s="493"/>
    </row>
    <row r="810" spans="1:11" ht="11.1" customHeight="1" x14ac:dyDescent="0.3">
      <c r="A810" s="493"/>
      <c r="B810" s="493"/>
      <c r="C810" s="493" t="s">
        <v>892</v>
      </c>
      <c r="D810" s="493" t="s">
        <v>893</v>
      </c>
      <c r="E810" s="493"/>
      <c r="F810" s="493"/>
      <c r="G810" s="494">
        <v>0.1</v>
      </c>
      <c r="H810" s="495">
        <v>3</v>
      </c>
      <c r="I810" s="495">
        <v>30</v>
      </c>
      <c r="J810" s="496">
        <v>67.7</v>
      </c>
      <c r="K810" s="493"/>
    </row>
    <row r="811" spans="1:11" ht="11.1" customHeight="1" x14ac:dyDescent="0.3">
      <c r="A811" s="493"/>
      <c r="B811" s="493"/>
      <c r="C811" s="493" t="s">
        <v>894</v>
      </c>
      <c r="D811" s="493" t="s">
        <v>895</v>
      </c>
      <c r="E811" s="493"/>
      <c r="F811" s="493"/>
      <c r="G811" s="494" t="s">
        <v>230</v>
      </c>
      <c r="H811" s="495" t="s">
        <v>230</v>
      </c>
      <c r="I811" s="495" t="s">
        <v>230</v>
      </c>
      <c r="J811" s="496" t="s">
        <v>230</v>
      </c>
      <c r="K811" s="493"/>
    </row>
    <row r="812" spans="1:11" ht="11.1" customHeight="1" x14ac:dyDescent="0.3">
      <c r="A812" s="493"/>
      <c r="B812" s="493"/>
      <c r="C812" s="493"/>
      <c r="D812" s="493"/>
      <c r="E812" s="493"/>
      <c r="F812" s="493"/>
      <c r="G812" s="494"/>
      <c r="H812" s="502"/>
      <c r="I812" s="502"/>
      <c r="J812" s="503"/>
      <c r="K812" s="493"/>
    </row>
    <row r="813" spans="1:11" ht="11.1" customHeight="1" x14ac:dyDescent="0.3">
      <c r="A813" s="493"/>
      <c r="B813" s="493" t="s">
        <v>896</v>
      </c>
      <c r="C813" s="493" t="s">
        <v>897</v>
      </c>
      <c r="D813" s="493"/>
      <c r="E813" s="493"/>
      <c r="F813" s="493"/>
      <c r="G813" s="494">
        <v>12</v>
      </c>
      <c r="H813" s="495">
        <v>352</v>
      </c>
      <c r="I813" s="495">
        <v>1740</v>
      </c>
      <c r="J813" s="496">
        <v>17.5</v>
      </c>
      <c r="K813" s="493"/>
    </row>
    <row r="814" spans="1:11" ht="11.1" customHeight="1" x14ac:dyDescent="0.3">
      <c r="A814" s="493"/>
      <c r="B814" s="493"/>
      <c r="C814" s="493" t="s">
        <v>898</v>
      </c>
      <c r="D814" s="493" t="s">
        <v>899</v>
      </c>
      <c r="E814" s="493"/>
      <c r="F814" s="493"/>
      <c r="G814" s="494">
        <v>4.4000000000000004</v>
      </c>
      <c r="H814" s="495">
        <v>128</v>
      </c>
      <c r="I814" s="495">
        <v>570</v>
      </c>
      <c r="J814" s="496">
        <v>22.5</v>
      </c>
      <c r="K814" s="493"/>
    </row>
    <row r="815" spans="1:11" ht="11.1" customHeight="1" x14ac:dyDescent="0.3">
      <c r="A815" s="493"/>
      <c r="B815" s="493"/>
      <c r="C815" s="493" t="s">
        <v>900</v>
      </c>
      <c r="D815" s="493" t="s">
        <v>901</v>
      </c>
      <c r="E815" s="493"/>
      <c r="F815" s="493"/>
      <c r="G815" s="494">
        <v>2.4</v>
      </c>
      <c r="H815" s="495">
        <v>71</v>
      </c>
      <c r="I815" s="495">
        <v>1210</v>
      </c>
      <c r="J815" s="496">
        <v>20.9</v>
      </c>
      <c r="K815" s="493"/>
    </row>
    <row r="816" spans="1:11" ht="11.1" customHeight="1" x14ac:dyDescent="0.3">
      <c r="A816" s="493"/>
      <c r="B816" s="493"/>
      <c r="C816" s="493" t="s">
        <v>902</v>
      </c>
      <c r="D816" s="493" t="s">
        <v>903</v>
      </c>
      <c r="E816" s="493"/>
      <c r="F816" s="493"/>
      <c r="G816" s="494">
        <v>2.7</v>
      </c>
      <c r="H816" s="495">
        <v>80</v>
      </c>
      <c r="I816" s="495">
        <v>190</v>
      </c>
      <c r="J816" s="496">
        <v>63.8</v>
      </c>
      <c r="K816" s="493"/>
    </row>
    <row r="817" spans="1:11" ht="11.1" customHeight="1" x14ac:dyDescent="0.3">
      <c r="A817" s="493"/>
      <c r="B817" s="493"/>
      <c r="C817" s="493" t="s">
        <v>904</v>
      </c>
      <c r="D817" s="493" t="s">
        <v>905</v>
      </c>
      <c r="E817" s="493"/>
      <c r="F817" s="493"/>
      <c r="G817" s="494">
        <v>2.5</v>
      </c>
      <c r="H817" s="495">
        <v>73</v>
      </c>
      <c r="I817" s="495">
        <v>130</v>
      </c>
      <c r="J817" s="496">
        <v>10.9</v>
      </c>
      <c r="K817" s="493"/>
    </row>
    <row r="818" spans="1:11" ht="11.1" customHeight="1" x14ac:dyDescent="0.3">
      <c r="A818" s="493"/>
      <c r="B818" s="493"/>
      <c r="C818" s="493"/>
      <c r="D818" s="493"/>
      <c r="E818" s="493"/>
      <c r="F818" s="493"/>
      <c r="G818" s="494"/>
      <c r="H818" s="502"/>
      <c r="I818" s="502"/>
      <c r="J818" s="503"/>
      <c r="K818" s="493"/>
    </row>
    <row r="819" spans="1:11" ht="11.1" customHeight="1" x14ac:dyDescent="0.3">
      <c r="A819" s="493"/>
      <c r="B819" s="493" t="s">
        <v>906</v>
      </c>
      <c r="C819" s="493" t="s">
        <v>907</v>
      </c>
      <c r="D819" s="493"/>
      <c r="E819" s="493"/>
      <c r="F819" s="493"/>
      <c r="G819" s="494">
        <v>1.2</v>
      </c>
      <c r="H819" s="495">
        <v>34</v>
      </c>
      <c r="I819" s="495">
        <v>360</v>
      </c>
      <c r="J819" s="496">
        <v>7.5</v>
      </c>
      <c r="K819" s="493"/>
    </row>
    <row r="820" spans="1:11" ht="11.1" customHeight="1" x14ac:dyDescent="0.3">
      <c r="A820" s="493"/>
      <c r="B820" s="493"/>
      <c r="C820" s="493" t="s">
        <v>908</v>
      </c>
      <c r="D820" s="493" t="s">
        <v>909</v>
      </c>
      <c r="E820" s="493"/>
      <c r="F820" s="493"/>
      <c r="G820" s="494" t="s">
        <v>367</v>
      </c>
      <c r="H820" s="495" t="s">
        <v>367</v>
      </c>
      <c r="I820" s="495" t="s">
        <v>367</v>
      </c>
      <c r="J820" s="496" t="s">
        <v>367</v>
      </c>
      <c r="K820" s="493"/>
    </row>
    <row r="821" spans="1:11" ht="11.1" customHeight="1" x14ac:dyDescent="0.3">
      <c r="A821" s="493"/>
      <c r="B821" s="493"/>
      <c r="C821" s="493" t="s">
        <v>910</v>
      </c>
      <c r="D821" s="493" t="s">
        <v>911</v>
      </c>
      <c r="E821" s="493"/>
      <c r="F821" s="493"/>
      <c r="G821" s="494">
        <v>1.2</v>
      </c>
      <c r="H821" s="495">
        <v>34</v>
      </c>
      <c r="I821" s="495">
        <v>360</v>
      </c>
      <c r="J821" s="496">
        <v>7.5</v>
      </c>
      <c r="K821" s="493"/>
    </row>
    <row r="822" spans="1:11" ht="11.1" customHeight="1" x14ac:dyDescent="0.3">
      <c r="A822" s="493"/>
      <c r="B822" s="493"/>
      <c r="C822" s="493"/>
      <c r="D822" s="493"/>
      <c r="E822" s="493"/>
      <c r="F822" s="493"/>
      <c r="G822" s="494"/>
      <c r="H822" s="502"/>
      <c r="I822" s="502"/>
      <c r="J822" s="503"/>
      <c r="K822" s="493"/>
    </row>
    <row r="823" spans="1:11" ht="11.1" customHeight="1" x14ac:dyDescent="0.3">
      <c r="A823" s="474"/>
      <c r="B823" s="474"/>
      <c r="C823" s="475"/>
      <c r="D823" s="475"/>
      <c r="E823" s="475"/>
      <c r="F823" s="475"/>
      <c r="G823" s="476"/>
      <c r="H823" s="477"/>
      <c r="I823" s="477"/>
      <c r="J823" s="478"/>
      <c r="K823" s="548"/>
    </row>
    <row r="824" spans="1:11" ht="11.1" customHeight="1" x14ac:dyDescent="0.3">
      <c r="A824" s="489" t="s">
        <v>21</v>
      </c>
      <c r="B824" s="489"/>
      <c r="C824" s="489"/>
      <c r="D824" s="489"/>
      <c r="E824" s="489"/>
      <c r="F824" s="489"/>
      <c r="G824" s="490">
        <v>567.70000000000005</v>
      </c>
      <c r="H824" s="491">
        <v>16629</v>
      </c>
      <c r="I824" s="491">
        <v>4460</v>
      </c>
      <c r="J824" s="492">
        <v>1.2</v>
      </c>
      <c r="K824" s="489"/>
    </row>
    <row r="825" spans="1:11" ht="11.1" customHeight="1" x14ac:dyDescent="0.3">
      <c r="A825" s="474"/>
      <c r="B825" s="474"/>
      <c r="C825" s="475"/>
      <c r="D825" s="475"/>
      <c r="E825" s="475"/>
      <c r="F825" s="475"/>
      <c r="G825" s="476"/>
      <c r="H825" s="477"/>
      <c r="I825" s="477"/>
      <c r="J825" s="478"/>
      <c r="K825" s="548"/>
    </row>
    <row r="826" spans="1:11" ht="11.1" customHeight="1" x14ac:dyDescent="0.3">
      <c r="A826" s="493"/>
      <c r="B826" s="493"/>
      <c r="C826" s="493"/>
      <c r="D826" s="493"/>
      <c r="E826" s="493"/>
      <c r="F826" s="493"/>
      <c r="G826" s="494"/>
      <c r="H826" s="502"/>
      <c r="I826" s="502"/>
      <c r="J826" s="503"/>
      <c r="K826" s="493"/>
    </row>
    <row r="827" spans="1:11" ht="11.1" customHeight="1" x14ac:dyDescent="0.3">
      <c r="A827" s="530">
        <v>14</v>
      </c>
      <c r="B827" s="489" t="s">
        <v>912</v>
      </c>
      <c r="C827" s="489"/>
      <c r="D827" s="489"/>
      <c r="E827" s="489"/>
      <c r="F827" s="489"/>
      <c r="G827" s="490"/>
      <c r="H827" s="531"/>
      <c r="I827" s="531"/>
      <c r="J827" s="532"/>
      <c r="K827" s="489"/>
    </row>
    <row r="828" spans="1:11" ht="11.1" customHeight="1" x14ac:dyDescent="0.3">
      <c r="A828" s="493"/>
      <c r="B828" s="493"/>
      <c r="C828" s="493"/>
      <c r="D828" s="493"/>
      <c r="E828" s="493"/>
      <c r="F828" s="493"/>
      <c r="G828" s="494"/>
      <c r="H828" s="502"/>
      <c r="I828" s="502"/>
      <c r="J828" s="503"/>
      <c r="K828" s="493"/>
    </row>
    <row r="829" spans="1:11" ht="11.1" customHeight="1" x14ac:dyDescent="0.3">
      <c r="A829" s="497">
        <v>14.1</v>
      </c>
      <c r="B829" s="493" t="s">
        <v>913</v>
      </c>
      <c r="C829" s="493"/>
      <c r="D829" s="493"/>
      <c r="E829" s="493"/>
      <c r="F829" s="493"/>
      <c r="G829" s="494">
        <v>38.1</v>
      </c>
      <c r="H829" s="495">
        <v>1117</v>
      </c>
      <c r="I829" s="495">
        <v>2780</v>
      </c>
      <c r="J829" s="496">
        <v>2.2000000000000002</v>
      </c>
      <c r="K829" s="493"/>
    </row>
    <row r="830" spans="1:11" ht="11.1" customHeight="1" x14ac:dyDescent="0.3">
      <c r="A830" s="493"/>
      <c r="B830" s="493" t="s">
        <v>914</v>
      </c>
      <c r="C830" s="493" t="s">
        <v>915</v>
      </c>
      <c r="D830" s="493"/>
      <c r="E830" s="493"/>
      <c r="F830" s="493"/>
      <c r="G830" s="494">
        <v>3.3</v>
      </c>
      <c r="H830" s="495">
        <v>96</v>
      </c>
      <c r="I830" s="495">
        <v>1330</v>
      </c>
      <c r="J830" s="496">
        <v>4.8</v>
      </c>
      <c r="K830" s="493"/>
    </row>
    <row r="831" spans="1:11" ht="11.1" customHeight="1" x14ac:dyDescent="0.3">
      <c r="A831" s="493"/>
      <c r="B831" s="493" t="s">
        <v>916</v>
      </c>
      <c r="C831" s="493" t="s">
        <v>917</v>
      </c>
      <c r="D831" s="493"/>
      <c r="E831" s="493"/>
      <c r="F831" s="493"/>
      <c r="G831" s="494">
        <v>30.8</v>
      </c>
      <c r="H831" s="495">
        <v>902</v>
      </c>
      <c r="I831" s="495">
        <v>2220</v>
      </c>
      <c r="J831" s="496">
        <v>2.2000000000000002</v>
      </c>
      <c r="K831" s="493"/>
    </row>
    <row r="832" spans="1:11" ht="11.1" customHeight="1" x14ac:dyDescent="0.3">
      <c r="A832" s="493"/>
      <c r="B832" s="493" t="s">
        <v>918</v>
      </c>
      <c r="C832" s="493" t="s">
        <v>919</v>
      </c>
      <c r="D832" s="493"/>
      <c r="E832" s="493"/>
      <c r="F832" s="493"/>
      <c r="G832" s="494">
        <v>4.0999999999999996</v>
      </c>
      <c r="H832" s="495">
        <v>120</v>
      </c>
      <c r="I832" s="495">
        <v>300</v>
      </c>
      <c r="J832" s="496">
        <v>10.199999999999999</v>
      </c>
      <c r="K832" s="493"/>
    </row>
    <row r="833" spans="1:11" ht="11.1" customHeight="1" x14ac:dyDescent="0.3">
      <c r="A833" s="493"/>
      <c r="B833" s="493"/>
      <c r="C833" s="493"/>
      <c r="D833" s="493"/>
      <c r="E833" s="493"/>
      <c r="F833" s="493"/>
      <c r="G833" s="494"/>
      <c r="H833" s="502"/>
      <c r="I833" s="502"/>
      <c r="J833" s="503"/>
      <c r="K833" s="493"/>
    </row>
    <row r="834" spans="1:11" ht="11.1" customHeight="1" x14ac:dyDescent="0.3">
      <c r="A834" s="497">
        <v>14.2</v>
      </c>
      <c r="B834" s="493" t="s">
        <v>920</v>
      </c>
      <c r="C834" s="493"/>
      <c r="D834" s="493"/>
      <c r="E834" s="493"/>
      <c r="F834" s="493"/>
      <c r="G834" s="494">
        <v>2.1</v>
      </c>
      <c r="H834" s="495">
        <v>63</v>
      </c>
      <c r="I834" s="495">
        <v>1290</v>
      </c>
      <c r="J834" s="496">
        <v>3.6</v>
      </c>
      <c r="K834" s="493"/>
    </row>
    <row r="835" spans="1:11" ht="11.1" customHeight="1" x14ac:dyDescent="0.3">
      <c r="A835" s="493"/>
      <c r="B835" s="493"/>
      <c r="C835" s="493"/>
      <c r="D835" s="493"/>
      <c r="E835" s="493"/>
      <c r="F835" s="493"/>
      <c r="G835" s="494"/>
      <c r="H835" s="502"/>
      <c r="I835" s="502"/>
      <c r="J835" s="503"/>
      <c r="K835" s="493"/>
    </row>
    <row r="836" spans="1:11" ht="11.1" customHeight="1" x14ac:dyDescent="0.3">
      <c r="A836" s="497">
        <v>14.3</v>
      </c>
      <c r="B836" s="493" t="s">
        <v>921</v>
      </c>
      <c r="C836" s="493"/>
      <c r="D836" s="493"/>
      <c r="E836" s="493"/>
      <c r="F836" s="493"/>
      <c r="G836" s="494">
        <v>121.1</v>
      </c>
      <c r="H836" s="495">
        <v>3547</v>
      </c>
      <c r="I836" s="495">
        <v>3470</v>
      </c>
      <c r="J836" s="496">
        <v>2.7</v>
      </c>
      <c r="K836" s="493"/>
    </row>
    <row r="837" spans="1:11" ht="11.1" customHeight="1" x14ac:dyDescent="0.3">
      <c r="A837" s="493"/>
      <c r="B837" s="493" t="s">
        <v>922</v>
      </c>
      <c r="C837" s="493" t="s">
        <v>923</v>
      </c>
      <c r="D837" s="493"/>
      <c r="E837" s="493"/>
      <c r="F837" s="493"/>
      <c r="G837" s="494">
        <v>95.1</v>
      </c>
      <c r="H837" s="495">
        <v>2785</v>
      </c>
      <c r="I837" s="495">
        <v>2460</v>
      </c>
      <c r="J837" s="496">
        <v>2.5</v>
      </c>
      <c r="K837" s="493"/>
    </row>
    <row r="838" spans="1:11" ht="11.1" customHeight="1" x14ac:dyDescent="0.3">
      <c r="A838" s="493"/>
      <c r="B838" s="493" t="s">
        <v>924</v>
      </c>
      <c r="C838" s="493" t="s">
        <v>925</v>
      </c>
      <c r="D838" s="493"/>
      <c r="E838" s="493"/>
      <c r="F838" s="493"/>
      <c r="G838" s="494">
        <v>3.8</v>
      </c>
      <c r="H838" s="495">
        <v>111</v>
      </c>
      <c r="I838" s="495">
        <v>160</v>
      </c>
      <c r="J838" s="496">
        <v>36.200000000000003</v>
      </c>
      <c r="K838" s="493"/>
    </row>
    <row r="839" spans="1:11" ht="11.1" customHeight="1" x14ac:dyDescent="0.3">
      <c r="A839" s="493"/>
      <c r="B839" s="493" t="s">
        <v>926</v>
      </c>
      <c r="C839" s="493" t="s">
        <v>927</v>
      </c>
      <c r="D839" s="493"/>
      <c r="E839" s="493"/>
      <c r="F839" s="493"/>
      <c r="G839" s="494">
        <v>5.6</v>
      </c>
      <c r="H839" s="495">
        <v>163</v>
      </c>
      <c r="I839" s="495">
        <v>180</v>
      </c>
      <c r="J839" s="496">
        <v>8.5</v>
      </c>
      <c r="K839" s="493"/>
    </row>
    <row r="840" spans="1:11" ht="11.1" customHeight="1" x14ac:dyDescent="0.3">
      <c r="A840" s="493"/>
      <c r="B840" s="493" t="s">
        <v>928</v>
      </c>
      <c r="C840" s="493" t="s">
        <v>929</v>
      </c>
      <c r="D840" s="493"/>
      <c r="E840" s="493"/>
      <c r="F840" s="493"/>
      <c r="G840" s="494"/>
      <c r="H840" s="502"/>
      <c r="I840" s="502"/>
      <c r="J840" s="503"/>
      <c r="K840" s="493"/>
    </row>
    <row r="841" spans="1:11" ht="11.1" customHeight="1" x14ac:dyDescent="0.3">
      <c r="A841" s="493"/>
      <c r="B841" s="493"/>
      <c r="C841" s="493" t="s">
        <v>930</v>
      </c>
      <c r="D841" s="493"/>
      <c r="E841" s="493"/>
      <c r="F841" s="493"/>
      <c r="G841" s="494">
        <v>14</v>
      </c>
      <c r="H841" s="495">
        <v>412</v>
      </c>
      <c r="I841" s="495">
        <v>1100</v>
      </c>
      <c r="J841" s="496">
        <v>6.9</v>
      </c>
      <c r="K841" s="493"/>
    </row>
    <row r="842" spans="1:11" ht="11.1" customHeight="1" x14ac:dyDescent="0.3">
      <c r="A842" s="493"/>
      <c r="B842" s="493" t="s">
        <v>931</v>
      </c>
      <c r="C842" s="493" t="s">
        <v>932</v>
      </c>
      <c r="D842" s="493"/>
      <c r="E842" s="493"/>
      <c r="F842" s="493"/>
      <c r="G842" s="494">
        <v>3.8</v>
      </c>
      <c r="H842" s="495">
        <v>112</v>
      </c>
      <c r="I842" s="495">
        <v>540</v>
      </c>
      <c r="J842" s="496">
        <v>9.6</v>
      </c>
      <c r="K842" s="493"/>
    </row>
    <row r="843" spans="1:11" ht="11.1" customHeight="1" x14ac:dyDescent="0.3">
      <c r="A843" s="493"/>
      <c r="B843" s="493" t="s">
        <v>933</v>
      </c>
      <c r="C843" s="493" t="s">
        <v>934</v>
      </c>
      <c r="D843" s="493"/>
      <c r="E843" s="493"/>
      <c r="F843" s="493"/>
      <c r="G843" s="494">
        <v>0.2</v>
      </c>
      <c r="H843" s="495">
        <v>6</v>
      </c>
      <c r="I843" s="495">
        <v>20</v>
      </c>
      <c r="J843" s="496">
        <v>28.6</v>
      </c>
      <c r="K843" s="493"/>
    </row>
    <row r="844" spans="1:11" ht="11.1" customHeight="1" x14ac:dyDescent="0.3">
      <c r="A844" s="493"/>
      <c r="B844" s="493" t="s">
        <v>935</v>
      </c>
      <c r="C844" s="493" t="s">
        <v>936</v>
      </c>
      <c r="D844" s="493"/>
      <c r="E844" s="493"/>
      <c r="F844" s="493"/>
      <c r="G844" s="494">
        <v>0.9</v>
      </c>
      <c r="H844" s="495">
        <v>28</v>
      </c>
      <c r="I844" s="495">
        <v>210</v>
      </c>
      <c r="J844" s="496">
        <v>10.4</v>
      </c>
      <c r="K844" s="493"/>
    </row>
    <row r="845" spans="1:11" ht="11.1" customHeight="1" x14ac:dyDescent="0.3">
      <c r="A845" s="493"/>
      <c r="B845" s="493"/>
      <c r="C845" s="493"/>
      <c r="D845" s="493"/>
      <c r="E845" s="493"/>
      <c r="F845" s="493"/>
      <c r="G845" s="494"/>
      <c r="H845" s="502"/>
      <c r="I845" s="502"/>
      <c r="J845" s="503"/>
      <c r="K845" s="493"/>
    </row>
    <row r="846" spans="1:11" ht="11.1" customHeight="1" x14ac:dyDescent="0.3">
      <c r="A846" s="497">
        <v>14.4</v>
      </c>
      <c r="B846" s="493" t="s">
        <v>937</v>
      </c>
      <c r="C846" s="493"/>
      <c r="D846" s="493"/>
      <c r="E846" s="493"/>
      <c r="F846" s="493"/>
      <c r="G846" s="494">
        <v>44.4</v>
      </c>
      <c r="H846" s="495">
        <v>1301</v>
      </c>
      <c r="I846" s="495">
        <v>2480</v>
      </c>
      <c r="J846" s="496">
        <v>1.4</v>
      </c>
      <c r="K846" s="493"/>
    </row>
    <row r="847" spans="1:11" ht="11.1" customHeight="1" x14ac:dyDescent="0.3">
      <c r="A847" s="493"/>
      <c r="B847" s="493" t="s">
        <v>938</v>
      </c>
      <c r="C847" s="493" t="s">
        <v>939</v>
      </c>
      <c r="D847" s="493"/>
      <c r="E847" s="493"/>
      <c r="F847" s="493"/>
      <c r="G847" s="494">
        <v>44.3</v>
      </c>
      <c r="H847" s="495">
        <v>1296</v>
      </c>
      <c r="I847" s="495">
        <v>2450</v>
      </c>
      <c r="J847" s="496">
        <v>1.4</v>
      </c>
      <c r="K847" s="493"/>
    </row>
    <row r="848" spans="1:11" ht="11.1" customHeight="1" x14ac:dyDescent="0.3">
      <c r="A848" s="493"/>
      <c r="B848" s="493" t="s">
        <v>940</v>
      </c>
      <c r="C848" s="493" t="s">
        <v>941</v>
      </c>
      <c r="D848" s="493"/>
      <c r="E848" s="493"/>
      <c r="F848" s="493"/>
      <c r="G848" s="494">
        <v>0.2</v>
      </c>
      <c r="H848" s="495">
        <v>5</v>
      </c>
      <c r="I848" s="495">
        <v>40</v>
      </c>
      <c r="J848" s="496">
        <v>35.9</v>
      </c>
      <c r="K848" s="493"/>
    </row>
    <row r="849" spans="1:11" ht="11.1" customHeight="1" x14ac:dyDescent="0.3">
      <c r="A849" s="493"/>
      <c r="B849" s="493"/>
      <c r="C849" s="493"/>
      <c r="D849" s="493"/>
      <c r="E849" s="493"/>
      <c r="F849" s="493"/>
      <c r="G849" s="494"/>
      <c r="H849" s="502"/>
      <c r="I849" s="502"/>
      <c r="J849" s="503"/>
      <c r="K849" s="493"/>
    </row>
    <row r="850" spans="1:11" ht="11.1" customHeight="1" x14ac:dyDescent="0.3">
      <c r="A850" s="497">
        <v>14.5</v>
      </c>
      <c r="B850" s="493" t="s">
        <v>942</v>
      </c>
      <c r="C850" s="493"/>
      <c r="D850" s="493"/>
      <c r="E850" s="493"/>
      <c r="F850" s="493"/>
      <c r="G850" s="494">
        <v>71.099999999999994</v>
      </c>
      <c r="H850" s="495">
        <v>2083</v>
      </c>
      <c r="I850" s="495">
        <v>1910</v>
      </c>
      <c r="J850" s="496">
        <v>11.2</v>
      </c>
      <c r="K850" s="493"/>
    </row>
    <row r="851" spans="1:11" ht="11.1" customHeight="1" x14ac:dyDescent="0.3">
      <c r="A851" s="493"/>
      <c r="B851" s="493" t="s">
        <v>943</v>
      </c>
      <c r="C851" s="493" t="s">
        <v>944</v>
      </c>
      <c r="D851" s="493"/>
      <c r="E851" s="493"/>
      <c r="F851" s="493"/>
      <c r="G851" s="494" t="s">
        <v>230</v>
      </c>
      <c r="H851" s="495" t="s">
        <v>230</v>
      </c>
      <c r="I851" s="495" t="s">
        <v>230</v>
      </c>
      <c r="J851" s="496" t="s">
        <v>230</v>
      </c>
      <c r="K851" s="493"/>
    </row>
    <row r="852" spans="1:11" ht="11.1" customHeight="1" x14ac:dyDescent="0.3">
      <c r="A852" s="493"/>
      <c r="B852" s="493" t="s">
        <v>945</v>
      </c>
      <c r="C852" s="493" t="s">
        <v>946</v>
      </c>
      <c r="D852" s="493"/>
      <c r="E852" s="493"/>
      <c r="F852" s="493"/>
      <c r="G852" s="494">
        <v>30.6</v>
      </c>
      <c r="H852" s="495">
        <v>896</v>
      </c>
      <c r="I852" s="495">
        <v>1320</v>
      </c>
      <c r="J852" s="496">
        <v>2.6</v>
      </c>
      <c r="K852" s="493"/>
    </row>
    <row r="853" spans="1:11" ht="11.1" customHeight="1" x14ac:dyDescent="0.3">
      <c r="A853" s="493"/>
      <c r="B853" s="493" t="s">
        <v>947</v>
      </c>
      <c r="C853" s="493" t="s">
        <v>948</v>
      </c>
      <c r="D853" s="493"/>
      <c r="E853" s="493"/>
      <c r="F853" s="493"/>
      <c r="G853" s="494">
        <v>1.4</v>
      </c>
      <c r="H853" s="495">
        <v>42</v>
      </c>
      <c r="I853" s="495">
        <v>130</v>
      </c>
      <c r="J853" s="496">
        <v>11.1</v>
      </c>
      <c r="K853" s="493"/>
    </row>
    <row r="854" spans="1:11" ht="11.1" customHeight="1" x14ac:dyDescent="0.3">
      <c r="A854" s="493"/>
      <c r="B854" s="493" t="s">
        <v>949</v>
      </c>
      <c r="C854" s="493" t="s">
        <v>950</v>
      </c>
      <c r="D854" s="493"/>
      <c r="E854" s="493"/>
      <c r="F854" s="493"/>
      <c r="G854" s="494">
        <v>0.9</v>
      </c>
      <c r="H854" s="495">
        <v>27</v>
      </c>
      <c r="I854" s="495">
        <v>50</v>
      </c>
      <c r="J854" s="496">
        <v>48.9</v>
      </c>
      <c r="K854" s="493"/>
    </row>
    <row r="855" spans="1:11" ht="11.1" customHeight="1" x14ac:dyDescent="0.3">
      <c r="A855" s="493"/>
      <c r="B855" s="493" t="s">
        <v>951</v>
      </c>
      <c r="C855" s="493" t="s">
        <v>952</v>
      </c>
      <c r="D855" s="493"/>
      <c r="E855" s="493"/>
      <c r="F855" s="493"/>
      <c r="G855" s="494">
        <v>27.8</v>
      </c>
      <c r="H855" s="495">
        <v>815</v>
      </c>
      <c r="I855" s="495">
        <v>760</v>
      </c>
      <c r="J855" s="496">
        <v>7.3</v>
      </c>
      <c r="K855" s="493"/>
    </row>
    <row r="856" spans="1:11" ht="11.1" customHeight="1" x14ac:dyDescent="0.3">
      <c r="A856" s="493"/>
      <c r="B856" s="493" t="s">
        <v>953</v>
      </c>
      <c r="C856" s="493" t="s">
        <v>954</v>
      </c>
      <c r="D856" s="493"/>
      <c r="E856" s="493"/>
      <c r="F856" s="493"/>
      <c r="G856" s="494">
        <v>0.5</v>
      </c>
      <c r="H856" s="495">
        <v>16</v>
      </c>
      <c r="I856" s="495">
        <v>70</v>
      </c>
      <c r="J856" s="496">
        <v>24.7</v>
      </c>
      <c r="K856" s="493"/>
    </row>
    <row r="857" spans="1:11" ht="11.1" customHeight="1" x14ac:dyDescent="0.3">
      <c r="A857" s="493"/>
      <c r="B857" s="493" t="s">
        <v>955</v>
      </c>
      <c r="C857" s="493" t="s">
        <v>956</v>
      </c>
      <c r="D857" s="493"/>
      <c r="E857" s="493"/>
      <c r="F857" s="493"/>
      <c r="G857" s="494">
        <v>0.4</v>
      </c>
      <c r="H857" s="495">
        <v>10</v>
      </c>
      <c r="I857" s="495">
        <v>30</v>
      </c>
      <c r="J857" s="496">
        <v>98.1</v>
      </c>
      <c r="K857" s="493"/>
    </row>
    <row r="858" spans="1:11" ht="11.1" customHeight="1" x14ac:dyDescent="0.3">
      <c r="A858" s="493"/>
      <c r="B858" s="493" t="s">
        <v>957</v>
      </c>
      <c r="C858" s="493" t="s">
        <v>958</v>
      </c>
      <c r="D858" s="493"/>
      <c r="E858" s="493"/>
      <c r="F858" s="493"/>
      <c r="G858" s="494">
        <v>9.1</v>
      </c>
      <c r="H858" s="495">
        <v>268</v>
      </c>
      <c r="I858" s="495">
        <v>40</v>
      </c>
      <c r="J858" s="496">
        <v>77.8</v>
      </c>
      <c r="K858" s="493"/>
    </row>
    <row r="859" spans="1:11" ht="11.1" customHeight="1" x14ac:dyDescent="0.3">
      <c r="A859" s="493"/>
      <c r="B859" s="493"/>
      <c r="C859" s="493"/>
      <c r="D859" s="493"/>
      <c r="E859" s="493"/>
      <c r="F859" s="493"/>
      <c r="G859" s="494"/>
      <c r="H859" s="502"/>
      <c r="I859" s="502"/>
      <c r="J859" s="503"/>
      <c r="K859" s="493"/>
    </row>
    <row r="860" spans="1:11" ht="11.1" customHeight="1" x14ac:dyDescent="0.3">
      <c r="A860" s="497">
        <v>14.6</v>
      </c>
      <c r="B860" s="493" t="s">
        <v>959</v>
      </c>
      <c r="C860" s="493"/>
      <c r="D860" s="493"/>
      <c r="E860" s="493"/>
      <c r="F860" s="493"/>
      <c r="G860" s="494">
        <v>4.4000000000000004</v>
      </c>
      <c r="H860" s="495">
        <v>128</v>
      </c>
      <c r="I860" s="495">
        <v>390</v>
      </c>
      <c r="J860" s="496">
        <v>9</v>
      </c>
      <c r="K860" s="493"/>
    </row>
    <row r="861" spans="1:11" ht="11.1" customHeight="1" x14ac:dyDescent="0.3">
      <c r="A861" s="493"/>
      <c r="B861" s="493" t="s">
        <v>960</v>
      </c>
      <c r="C861" s="493" t="s">
        <v>961</v>
      </c>
      <c r="D861" s="493"/>
      <c r="E861" s="493"/>
      <c r="F861" s="493"/>
      <c r="G861" s="494">
        <v>3.6</v>
      </c>
      <c r="H861" s="495">
        <v>105</v>
      </c>
      <c r="I861" s="495">
        <v>300</v>
      </c>
      <c r="J861" s="496">
        <v>10.1</v>
      </c>
      <c r="K861" s="493"/>
    </row>
    <row r="862" spans="1:11" ht="11.1" customHeight="1" x14ac:dyDescent="0.3">
      <c r="A862" s="493"/>
      <c r="B862" s="493" t="s">
        <v>962</v>
      </c>
      <c r="C862" s="493" t="s">
        <v>963</v>
      </c>
      <c r="D862" s="493"/>
      <c r="E862" s="493"/>
      <c r="F862" s="493"/>
      <c r="G862" s="494">
        <v>0.7</v>
      </c>
      <c r="H862" s="495">
        <v>21</v>
      </c>
      <c r="I862" s="495">
        <v>60</v>
      </c>
      <c r="J862" s="496">
        <v>16.7</v>
      </c>
      <c r="K862" s="493"/>
    </row>
    <row r="863" spans="1:11" ht="11.1" customHeight="1" x14ac:dyDescent="0.3">
      <c r="A863" s="493"/>
      <c r="B863" s="493" t="s">
        <v>964</v>
      </c>
      <c r="C863" s="493" t="s">
        <v>965</v>
      </c>
      <c r="D863" s="493"/>
      <c r="E863" s="493"/>
      <c r="F863" s="493"/>
      <c r="G863" s="494">
        <v>0.1</v>
      </c>
      <c r="H863" s="495">
        <v>3</v>
      </c>
      <c r="I863" s="495">
        <v>40</v>
      </c>
      <c r="J863" s="496">
        <v>29.1</v>
      </c>
      <c r="K863" s="493"/>
    </row>
    <row r="864" spans="1:11" ht="11.1" customHeight="1" x14ac:dyDescent="0.3">
      <c r="A864" s="493"/>
      <c r="B864" s="493"/>
      <c r="C864" s="493"/>
      <c r="D864" s="493"/>
      <c r="E864" s="493"/>
      <c r="F864" s="493"/>
      <c r="G864" s="494"/>
      <c r="H864" s="502"/>
      <c r="I864" s="502"/>
      <c r="J864" s="503"/>
      <c r="K864" s="493"/>
    </row>
    <row r="865" spans="1:11" ht="11.1" customHeight="1" x14ac:dyDescent="0.3">
      <c r="A865" s="497">
        <v>14.7</v>
      </c>
      <c r="B865" s="493" t="s">
        <v>966</v>
      </c>
      <c r="C865" s="493"/>
      <c r="D865" s="493"/>
      <c r="E865" s="493"/>
      <c r="F865" s="493"/>
      <c r="G865" s="494">
        <v>2.6</v>
      </c>
      <c r="H865" s="495">
        <v>75</v>
      </c>
      <c r="I865" s="495">
        <v>180</v>
      </c>
      <c r="J865" s="496">
        <v>8</v>
      </c>
      <c r="K865" s="493"/>
    </row>
    <row r="866" spans="1:11" ht="11.1" customHeight="1" x14ac:dyDescent="0.3">
      <c r="A866" s="497">
        <v>14.8</v>
      </c>
      <c r="B866" s="493" t="s">
        <v>1350</v>
      </c>
      <c r="C866" s="493"/>
      <c r="D866" s="493"/>
      <c r="E866" s="493"/>
      <c r="F866" s="493"/>
      <c r="G866" s="494">
        <v>0.2</v>
      </c>
      <c r="H866" s="495">
        <v>7</v>
      </c>
      <c r="I866" s="495">
        <v>70</v>
      </c>
      <c r="J866" s="496">
        <v>13.4</v>
      </c>
      <c r="K866" s="493"/>
    </row>
    <row r="867" spans="1:11" ht="11.1" customHeight="1" x14ac:dyDescent="0.3">
      <c r="A867" s="474"/>
      <c r="B867" s="474"/>
      <c r="C867" s="475"/>
      <c r="D867" s="475"/>
      <c r="E867" s="475"/>
      <c r="F867" s="475"/>
      <c r="G867" s="476"/>
      <c r="H867" s="477"/>
      <c r="I867" s="477"/>
      <c r="J867" s="478"/>
      <c r="K867" s="529"/>
    </row>
    <row r="868" spans="1:11" ht="11.1" customHeight="1" x14ac:dyDescent="0.3">
      <c r="A868" s="493"/>
      <c r="B868" s="493"/>
      <c r="C868" s="493"/>
      <c r="D868" s="493"/>
      <c r="E868" s="493"/>
      <c r="F868" s="493"/>
      <c r="G868" s="494"/>
      <c r="H868" s="502"/>
      <c r="I868" s="502"/>
      <c r="J868" s="503"/>
      <c r="K868" s="493"/>
    </row>
    <row r="869" spans="1:11" ht="11.1" customHeight="1" x14ac:dyDescent="0.3">
      <c r="A869" s="493" t="s">
        <v>111</v>
      </c>
      <c r="B869" s="493"/>
      <c r="C869" s="493"/>
      <c r="D869" s="493"/>
      <c r="E869" s="493"/>
      <c r="F869" s="493"/>
      <c r="G869" s="494"/>
      <c r="H869" s="502"/>
      <c r="I869" s="502"/>
      <c r="J869" s="503"/>
      <c r="K869" s="493"/>
    </row>
    <row r="870" spans="1:11" ht="11.1" customHeight="1" x14ac:dyDescent="0.3">
      <c r="A870" s="493" t="s">
        <v>182</v>
      </c>
      <c r="B870" s="493"/>
      <c r="C870" s="493"/>
      <c r="D870" s="493"/>
      <c r="E870" s="493"/>
      <c r="F870" s="493"/>
      <c r="G870" s="494"/>
      <c r="H870" s="502"/>
      <c r="I870" s="502"/>
      <c r="J870" s="503"/>
      <c r="K870" s="493"/>
    </row>
    <row r="871" spans="1:11" ht="11.1" customHeight="1" x14ac:dyDescent="0.3">
      <c r="A871" s="493" t="s">
        <v>112</v>
      </c>
      <c r="B871" s="493"/>
      <c r="C871" s="493"/>
      <c r="D871" s="493"/>
      <c r="E871" s="493"/>
      <c r="F871" s="493"/>
      <c r="G871" s="494"/>
      <c r="H871" s="502"/>
      <c r="I871" s="502"/>
      <c r="J871" s="503"/>
      <c r="K871" s="493"/>
    </row>
    <row r="872" spans="1:11" ht="11.1" customHeight="1" x14ac:dyDescent="0.3">
      <c r="A872" s="493" t="s">
        <v>968</v>
      </c>
      <c r="B872" s="493"/>
      <c r="C872" s="493"/>
      <c r="D872" s="493"/>
      <c r="E872" s="493"/>
      <c r="F872" s="493"/>
      <c r="G872" s="494"/>
      <c r="H872" s="502"/>
      <c r="I872" s="502"/>
      <c r="J872" s="503"/>
      <c r="K872" s="493"/>
    </row>
    <row r="873" spans="1:11" ht="11.1" customHeight="1" x14ac:dyDescent="0.3">
      <c r="A873" s="493"/>
      <c r="B873" s="493"/>
      <c r="C873" s="493"/>
      <c r="D873" s="493"/>
      <c r="E873" s="493"/>
      <c r="F873" s="493"/>
      <c r="G873" s="494"/>
      <c r="H873" s="502"/>
      <c r="I873" s="502"/>
      <c r="J873" s="503"/>
      <c r="K873" s="493"/>
    </row>
    <row r="874" spans="1:11" ht="11.1" customHeight="1" x14ac:dyDescent="0.3">
      <c r="A874" s="493" t="s">
        <v>113</v>
      </c>
      <c r="B874" s="493"/>
      <c r="C874" s="493"/>
      <c r="D874" s="493"/>
      <c r="E874" s="493"/>
      <c r="F874" s="493"/>
      <c r="G874" s="494"/>
      <c r="H874" s="502"/>
      <c r="I874" s="502"/>
      <c r="J874" s="503"/>
      <c r="K874" s="493"/>
    </row>
  </sheetData>
  <hyperlinks>
    <hyperlink ref="M1" location="Contents!A1" display="Back to Contents" xr:uid="{97CBFB26-5C2C-46DD-B655-50CEA930409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70D6-B2C0-4FFA-8AF3-EEED79DB0A29}">
  <dimension ref="A1:N940"/>
  <sheetViews>
    <sheetView workbookViewId="0">
      <selection sqref="A1:XFD1048576"/>
    </sheetView>
  </sheetViews>
  <sheetFormatPr defaultColWidth="9.88671875" defaultRowHeight="12" x14ac:dyDescent="0.2"/>
  <cols>
    <col min="1" max="1" width="4.33203125" style="80" customWidth="1"/>
    <col min="2" max="2" width="4.88671875" style="80" customWidth="1"/>
    <col min="3" max="3" width="5.44140625" style="79" customWidth="1"/>
    <col min="4" max="4" width="5.109375" style="219" customWidth="1"/>
    <col min="5" max="5" width="31.44140625" style="219" customWidth="1"/>
    <col min="6" max="6" width="5.109375" style="219" customWidth="1"/>
    <col min="7" max="7" width="12.109375" style="85" customWidth="1"/>
    <col min="8" max="8" width="11" style="108" customWidth="1"/>
    <col min="9" max="9" width="11" style="109" customWidth="1"/>
    <col min="10" max="10" width="11" style="171" customWidth="1"/>
    <col min="11" max="11" width="11" style="53" customWidth="1"/>
    <col min="12" max="12" width="11.44140625" style="126" customWidth="1"/>
    <col min="13" max="256" width="9.88671875" style="79"/>
    <col min="257" max="257" width="4.33203125" style="79" customWidth="1"/>
    <col min="258" max="258" width="4.88671875" style="79" customWidth="1"/>
    <col min="259" max="260" width="5.44140625" style="79" customWidth="1"/>
    <col min="261" max="261" width="31.44140625" style="79" customWidth="1"/>
    <col min="262" max="262" width="4.88671875" style="79" customWidth="1"/>
    <col min="263" max="263" width="12.109375" style="79" customWidth="1"/>
    <col min="264" max="267" width="11" style="79" customWidth="1"/>
    <col min="268" max="268" width="11.44140625" style="79" customWidth="1"/>
    <col min="269" max="512" width="9.88671875" style="79"/>
    <col min="513" max="513" width="4.33203125" style="79" customWidth="1"/>
    <col min="514" max="514" width="4.88671875" style="79" customWidth="1"/>
    <col min="515" max="516" width="5.44140625" style="79" customWidth="1"/>
    <col min="517" max="517" width="31.44140625" style="79" customWidth="1"/>
    <col min="518" max="518" width="4.88671875" style="79" customWidth="1"/>
    <col min="519" max="519" width="12.109375" style="79" customWidth="1"/>
    <col min="520" max="523" width="11" style="79" customWidth="1"/>
    <col min="524" max="524" width="11.44140625" style="79" customWidth="1"/>
    <col min="525" max="768" width="9.88671875" style="79"/>
    <col min="769" max="769" width="4.33203125" style="79" customWidth="1"/>
    <col min="770" max="770" width="4.88671875" style="79" customWidth="1"/>
    <col min="771" max="772" width="5.44140625" style="79" customWidth="1"/>
    <col min="773" max="773" width="31.44140625" style="79" customWidth="1"/>
    <col min="774" max="774" width="4.88671875" style="79" customWidth="1"/>
    <col min="775" max="775" width="12.109375" style="79" customWidth="1"/>
    <col min="776" max="779" width="11" style="79" customWidth="1"/>
    <col min="780" max="780" width="11.44140625" style="79" customWidth="1"/>
    <col min="781" max="1024" width="9.88671875" style="79"/>
    <col min="1025" max="1025" width="4.33203125" style="79" customWidth="1"/>
    <col min="1026" max="1026" width="4.88671875" style="79" customWidth="1"/>
    <col min="1027" max="1028" width="5.44140625" style="79" customWidth="1"/>
    <col min="1029" max="1029" width="31.44140625" style="79" customWidth="1"/>
    <col min="1030" max="1030" width="4.88671875" style="79" customWidth="1"/>
    <col min="1031" max="1031" width="12.109375" style="79" customWidth="1"/>
    <col min="1032" max="1035" width="11" style="79" customWidth="1"/>
    <col min="1036" max="1036" width="11.44140625" style="79" customWidth="1"/>
    <col min="1037" max="1280" width="9.88671875" style="79"/>
    <col min="1281" max="1281" width="4.33203125" style="79" customWidth="1"/>
    <col min="1282" max="1282" width="4.88671875" style="79" customWidth="1"/>
    <col min="1283" max="1284" width="5.44140625" style="79" customWidth="1"/>
    <col min="1285" max="1285" width="31.44140625" style="79" customWidth="1"/>
    <col min="1286" max="1286" width="4.88671875" style="79" customWidth="1"/>
    <col min="1287" max="1287" width="12.109375" style="79" customWidth="1"/>
    <col min="1288" max="1291" width="11" style="79" customWidth="1"/>
    <col min="1292" max="1292" width="11.44140625" style="79" customWidth="1"/>
    <col min="1293" max="1536" width="9.88671875" style="79"/>
    <col min="1537" max="1537" width="4.33203125" style="79" customWidth="1"/>
    <col min="1538" max="1538" width="4.88671875" style="79" customWidth="1"/>
    <col min="1539" max="1540" width="5.44140625" style="79" customWidth="1"/>
    <col min="1541" max="1541" width="31.44140625" style="79" customWidth="1"/>
    <col min="1542" max="1542" width="4.88671875" style="79" customWidth="1"/>
    <col min="1543" max="1543" width="12.109375" style="79" customWidth="1"/>
    <col min="1544" max="1547" width="11" style="79" customWidth="1"/>
    <col min="1548" max="1548" width="11.44140625" style="79" customWidth="1"/>
    <col min="1549" max="1792" width="9.88671875" style="79"/>
    <col min="1793" max="1793" width="4.33203125" style="79" customWidth="1"/>
    <col min="1794" max="1794" width="4.88671875" style="79" customWidth="1"/>
    <col min="1795" max="1796" width="5.44140625" style="79" customWidth="1"/>
    <col min="1797" max="1797" width="31.44140625" style="79" customWidth="1"/>
    <col min="1798" max="1798" width="4.88671875" style="79" customWidth="1"/>
    <col min="1799" max="1799" width="12.109375" style="79" customWidth="1"/>
    <col min="1800" max="1803" width="11" style="79" customWidth="1"/>
    <col min="1804" max="1804" width="11.44140625" style="79" customWidth="1"/>
    <col min="1805" max="2048" width="9.88671875" style="79"/>
    <col min="2049" max="2049" width="4.33203125" style="79" customWidth="1"/>
    <col min="2050" max="2050" width="4.88671875" style="79" customWidth="1"/>
    <col min="2051" max="2052" width="5.44140625" style="79" customWidth="1"/>
    <col min="2053" max="2053" width="31.44140625" style="79" customWidth="1"/>
    <col min="2054" max="2054" width="4.88671875" style="79" customWidth="1"/>
    <col min="2055" max="2055" width="12.109375" style="79" customWidth="1"/>
    <col min="2056" max="2059" width="11" style="79" customWidth="1"/>
    <col min="2060" max="2060" width="11.44140625" style="79" customWidth="1"/>
    <col min="2061" max="2304" width="9.88671875" style="79"/>
    <col min="2305" max="2305" width="4.33203125" style="79" customWidth="1"/>
    <col min="2306" max="2306" width="4.88671875" style="79" customWidth="1"/>
    <col min="2307" max="2308" width="5.44140625" style="79" customWidth="1"/>
    <col min="2309" max="2309" width="31.44140625" style="79" customWidth="1"/>
    <col min="2310" max="2310" width="4.88671875" style="79" customWidth="1"/>
    <col min="2311" max="2311" width="12.109375" style="79" customWidth="1"/>
    <col min="2312" max="2315" width="11" style="79" customWidth="1"/>
    <col min="2316" max="2316" width="11.44140625" style="79" customWidth="1"/>
    <col min="2317" max="2560" width="9.88671875" style="79"/>
    <col min="2561" max="2561" width="4.33203125" style="79" customWidth="1"/>
    <col min="2562" max="2562" width="4.88671875" style="79" customWidth="1"/>
    <col min="2563" max="2564" width="5.44140625" style="79" customWidth="1"/>
    <col min="2565" max="2565" width="31.44140625" style="79" customWidth="1"/>
    <col min="2566" max="2566" width="4.88671875" style="79" customWidth="1"/>
    <col min="2567" max="2567" width="12.109375" style="79" customWidth="1"/>
    <col min="2568" max="2571" width="11" style="79" customWidth="1"/>
    <col min="2572" max="2572" width="11.44140625" style="79" customWidth="1"/>
    <col min="2573" max="2816" width="9.88671875" style="79"/>
    <col min="2817" max="2817" width="4.33203125" style="79" customWidth="1"/>
    <col min="2818" max="2818" width="4.88671875" style="79" customWidth="1"/>
    <col min="2819" max="2820" width="5.44140625" style="79" customWidth="1"/>
    <col min="2821" max="2821" width="31.44140625" style="79" customWidth="1"/>
    <col min="2822" max="2822" width="4.88671875" style="79" customWidth="1"/>
    <col min="2823" max="2823" width="12.109375" style="79" customWidth="1"/>
    <col min="2824" max="2827" width="11" style="79" customWidth="1"/>
    <col min="2828" max="2828" width="11.44140625" style="79" customWidth="1"/>
    <col min="2829" max="3072" width="9.88671875" style="79"/>
    <col min="3073" max="3073" width="4.33203125" style="79" customWidth="1"/>
    <col min="3074" max="3074" width="4.88671875" style="79" customWidth="1"/>
    <col min="3075" max="3076" width="5.44140625" style="79" customWidth="1"/>
    <col min="3077" max="3077" width="31.44140625" style="79" customWidth="1"/>
    <col min="3078" max="3078" width="4.88671875" style="79" customWidth="1"/>
    <col min="3079" max="3079" width="12.109375" style="79" customWidth="1"/>
    <col min="3080" max="3083" width="11" style="79" customWidth="1"/>
    <col min="3084" max="3084" width="11.44140625" style="79" customWidth="1"/>
    <col min="3085" max="3328" width="9.88671875" style="79"/>
    <col min="3329" max="3329" width="4.33203125" style="79" customWidth="1"/>
    <col min="3330" max="3330" width="4.88671875" style="79" customWidth="1"/>
    <col min="3331" max="3332" width="5.44140625" style="79" customWidth="1"/>
    <col min="3333" max="3333" width="31.44140625" style="79" customWidth="1"/>
    <col min="3334" max="3334" width="4.88671875" style="79" customWidth="1"/>
    <col min="3335" max="3335" width="12.109375" style="79" customWidth="1"/>
    <col min="3336" max="3339" width="11" style="79" customWidth="1"/>
    <col min="3340" max="3340" width="11.44140625" style="79" customWidth="1"/>
    <col min="3341" max="3584" width="9.88671875" style="79"/>
    <col min="3585" max="3585" width="4.33203125" style="79" customWidth="1"/>
    <col min="3586" max="3586" width="4.88671875" style="79" customWidth="1"/>
    <col min="3587" max="3588" width="5.44140625" style="79" customWidth="1"/>
    <col min="3589" max="3589" width="31.44140625" style="79" customWidth="1"/>
    <col min="3590" max="3590" width="4.88671875" style="79" customWidth="1"/>
    <col min="3591" max="3591" width="12.109375" style="79" customWidth="1"/>
    <col min="3592" max="3595" width="11" style="79" customWidth="1"/>
    <col min="3596" max="3596" width="11.44140625" style="79" customWidth="1"/>
    <col min="3597" max="3840" width="9.88671875" style="79"/>
    <col min="3841" max="3841" width="4.33203125" style="79" customWidth="1"/>
    <col min="3842" max="3842" width="4.88671875" style="79" customWidth="1"/>
    <col min="3843" max="3844" width="5.44140625" style="79" customWidth="1"/>
    <col min="3845" max="3845" width="31.44140625" style="79" customWidth="1"/>
    <col min="3846" max="3846" width="4.88671875" style="79" customWidth="1"/>
    <col min="3847" max="3847" width="12.109375" style="79" customWidth="1"/>
    <col min="3848" max="3851" width="11" style="79" customWidth="1"/>
    <col min="3852" max="3852" width="11.44140625" style="79" customWidth="1"/>
    <col min="3853" max="4096" width="9.88671875" style="79"/>
    <col min="4097" max="4097" width="4.33203125" style="79" customWidth="1"/>
    <col min="4098" max="4098" width="4.88671875" style="79" customWidth="1"/>
    <col min="4099" max="4100" width="5.44140625" style="79" customWidth="1"/>
    <col min="4101" max="4101" width="31.44140625" style="79" customWidth="1"/>
    <col min="4102" max="4102" width="4.88671875" style="79" customWidth="1"/>
    <col min="4103" max="4103" width="12.109375" style="79" customWidth="1"/>
    <col min="4104" max="4107" width="11" style="79" customWidth="1"/>
    <col min="4108" max="4108" width="11.44140625" style="79" customWidth="1"/>
    <col min="4109" max="4352" width="9.88671875" style="79"/>
    <col min="4353" max="4353" width="4.33203125" style="79" customWidth="1"/>
    <col min="4354" max="4354" width="4.88671875" style="79" customWidth="1"/>
    <col min="4355" max="4356" width="5.44140625" style="79" customWidth="1"/>
    <col min="4357" max="4357" width="31.44140625" style="79" customWidth="1"/>
    <col min="4358" max="4358" width="4.88671875" style="79" customWidth="1"/>
    <col min="4359" max="4359" width="12.109375" style="79" customWidth="1"/>
    <col min="4360" max="4363" width="11" style="79" customWidth="1"/>
    <col min="4364" max="4364" width="11.44140625" style="79" customWidth="1"/>
    <col min="4365" max="4608" width="9.88671875" style="79"/>
    <col min="4609" max="4609" width="4.33203125" style="79" customWidth="1"/>
    <col min="4610" max="4610" width="4.88671875" style="79" customWidth="1"/>
    <col min="4611" max="4612" width="5.44140625" style="79" customWidth="1"/>
    <col min="4613" max="4613" width="31.44140625" style="79" customWidth="1"/>
    <col min="4614" max="4614" width="4.88671875" style="79" customWidth="1"/>
    <col min="4615" max="4615" width="12.109375" style="79" customWidth="1"/>
    <col min="4616" max="4619" width="11" style="79" customWidth="1"/>
    <col min="4620" max="4620" width="11.44140625" style="79" customWidth="1"/>
    <col min="4621" max="4864" width="9.88671875" style="79"/>
    <col min="4865" max="4865" width="4.33203125" style="79" customWidth="1"/>
    <col min="4866" max="4866" width="4.88671875" style="79" customWidth="1"/>
    <col min="4867" max="4868" width="5.44140625" style="79" customWidth="1"/>
    <col min="4869" max="4869" width="31.44140625" style="79" customWidth="1"/>
    <col min="4870" max="4870" width="4.88671875" style="79" customWidth="1"/>
    <col min="4871" max="4871" width="12.109375" style="79" customWidth="1"/>
    <col min="4872" max="4875" width="11" style="79" customWidth="1"/>
    <col min="4876" max="4876" width="11.44140625" style="79" customWidth="1"/>
    <col min="4877" max="5120" width="9.88671875" style="79"/>
    <col min="5121" max="5121" width="4.33203125" style="79" customWidth="1"/>
    <col min="5122" max="5122" width="4.88671875" style="79" customWidth="1"/>
    <col min="5123" max="5124" width="5.44140625" style="79" customWidth="1"/>
    <col min="5125" max="5125" width="31.44140625" style="79" customWidth="1"/>
    <col min="5126" max="5126" width="4.88671875" style="79" customWidth="1"/>
    <col min="5127" max="5127" width="12.109375" style="79" customWidth="1"/>
    <col min="5128" max="5131" width="11" style="79" customWidth="1"/>
    <col min="5132" max="5132" width="11.44140625" style="79" customWidth="1"/>
    <col min="5133" max="5376" width="9.88671875" style="79"/>
    <col min="5377" max="5377" width="4.33203125" style="79" customWidth="1"/>
    <col min="5378" max="5378" width="4.88671875" style="79" customWidth="1"/>
    <col min="5379" max="5380" width="5.44140625" style="79" customWidth="1"/>
    <col min="5381" max="5381" width="31.44140625" style="79" customWidth="1"/>
    <col min="5382" max="5382" width="4.88671875" style="79" customWidth="1"/>
    <col min="5383" max="5383" width="12.109375" style="79" customWidth="1"/>
    <col min="5384" max="5387" width="11" style="79" customWidth="1"/>
    <col min="5388" max="5388" width="11.44140625" style="79" customWidth="1"/>
    <col min="5389" max="5632" width="9.88671875" style="79"/>
    <col min="5633" max="5633" width="4.33203125" style="79" customWidth="1"/>
    <col min="5634" max="5634" width="4.88671875" style="79" customWidth="1"/>
    <col min="5635" max="5636" width="5.44140625" style="79" customWidth="1"/>
    <col min="5637" max="5637" width="31.44140625" style="79" customWidth="1"/>
    <col min="5638" max="5638" width="4.88671875" style="79" customWidth="1"/>
    <col min="5639" max="5639" width="12.109375" style="79" customWidth="1"/>
    <col min="5640" max="5643" width="11" style="79" customWidth="1"/>
    <col min="5644" max="5644" width="11.44140625" style="79" customWidth="1"/>
    <col min="5645" max="5888" width="9.88671875" style="79"/>
    <col min="5889" max="5889" width="4.33203125" style="79" customWidth="1"/>
    <col min="5890" max="5890" width="4.88671875" style="79" customWidth="1"/>
    <col min="5891" max="5892" width="5.44140625" style="79" customWidth="1"/>
    <col min="5893" max="5893" width="31.44140625" style="79" customWidth="1"/>
    <col min="5894" max="5894" width="4.88671875" style="79" customWidth="1"/>
    <col min="5895" max="5895" width="12.109375" style="79" customWidth="1"/>
    <col min="5896" max="5899" width="11" style="79" customWidth="1"/>
    <col min="5900" max="5900" width="11.44140625" style="79" customWidth="1"/>
    <col min="5901" max="6144" width="9.88671875" style="79"/>
    <col min="6145" max="6145" width="4.33203125" style="79" customWidth="1"/>
    <col min="6146" max="6146" width="4.88671875" style="79" customWidth="1"/>
    <col min="6147" max="6148" width="5.44140625" style="79" customWidth="1"/>
    <col min="6149" max="6149" width="31.44140625" style="79" customWidth="1"/>
    <col min="6150" max="6150" width="4.88671875" style="79" customWidth="1"/>
    <col min="6151" max="6151" width="12.109375" style="79" customWidth="1"/>
    <col min="6152" max="6155" width="11" style="79" customWidth="1"/>
    <col min="6156" max="6156" width="11.44140625" style="79" customWidth="1"/>
    <col min="6157" max="6400" width="9.88671875" style="79"/>
    <col min="6401" max="6401" width="4.33203125" style="79" customWidth="1"/>
    <col min="6402" max="6402" width="4.88671875" style="79" customWidth="1"/>
    <col min="6403" max="6404" width="5.44140625" style="79" customWidth="1"/>
    <col min="6405" max="6405" width="31.44140625" style="79" customWidth="1"/>
    <col min="6406" max="6406" width="4.88671875" style="79" customWidth="1"/>
    <col min="6407" max="6407" width="12.109375" style="79" customWidth="1"/>
    <col min="6408" max="6411" width="11" style="79" customWidth="1"/>
    <col min="6412" max="6412" width="11.44140625" style="79" customWidth="1"/>
    <col min="6413" max="6656" width="9.88671875" style="79"/>
    <col min="6657" max="6657" width="4.33203125" style="79" customWidth="1"/>
    <col min="6658" max="6658" width="4.88671875" style="79" customWidth="1"/>
    <col min="6659" max="6660" width="5.44140625" style="79" customWidth="1"/>
    <col min="6661" max="6661" width="31.44140625" style="79" customWidth="1"/>
    <col min="6662" max="6662" width="4.88671875" style="79" customWidth="1"/>
    <col min="6663" max="6663" width="12.109375" style="79" customWidth="1"/>
    <col min="6664" max="6667" width="11" style="79" customWidth="1"/>
    <col min="6668" max="6668" width="11.44140625" style="79" customWidth="1"/>
    <col min="6669" max="6912" width="9.88671875" style="79"/>
    <col min="6913" max="6913" width="4.33203125" style="79" customWidth="1"/>
    <col min="6914" max="6914" width="4.88671875" style="79" customWidth="1"/>
    <col min="6915" max="6916" width="5.44140625" style="79" customWidth="1"/>
    <col min="6917" max="6917" width="31.44140625" style="79" customWidth="1"/>
    <col min="6918" max="6918" width="4.88671875" style="79" customWidth="1"/>
    <col min="6919" max="6919" width="12.109375" style="79" customWidth="1"/>
    <col min="6920" max="6923" width="11" style="79" customWidth="1"/>
    <col min="6924" max="6924" width="11.44140625" style="79" customWidth="1"/>
    <col min="6925" max="7168" width="9.88671875" style="79"/>
    <col min="7169" max="7169" width="4.33203125" style="79" customWidth="1"/>
    <col min="7170" max="7170" width="4.88671875" style="79" customWidth="1"/>
    <col min="7171" max="7172" width="5.44140625" style="79" customWidth="1"/>
    <col min="7173" max="7173" width="31.44140625" style="79" customWidth="1"/>
    <col min="7174" max="7174" width="4.88671875" style="79" customWidth="1"/>
    <col min="7175" max="7175" width="12.109375" style="79" customWidth="1"/>
    <col min="7176" max="7179" width="11" style="79" customWidth="1"/>
    <col min="7180" max="7180" width="11.44140625" style="79" customWidth="1"/>
    <col min="7181" max="7424" width="9.88671875" style="79"/>
    <col min="7425" max="7425" width="4.33203125" style="79" customWidth="1"/>
    <col min="7426" max="7426" width="4.88671875" style="79" customWidth="1"/>
    <col min="7427" max="7428" width="5.44140625" style="79" customWidth="1"/>
    <col min="7429" max="7429" width="31.44140625" style="79" customWidth="1"/>
    <col min="7430" max="7430" width="4.88671875" style="79" customWidth="1"/>
    <col min="7431" max="7431" width="12.109375" style="79" customWidth="1"/>
    <col min="7432" max="7435" width="11" style="79" customWidth="1"/>
    <col min="7436" max="7436" width="11.44140625" style="79" customWidth="1"/>
    <col min="7437" max="7680" width="9.88671875" style="79"/>
    <col min="7681" max="7681" width="4.33203125" style="79" customWidth="1"/>
    <col min="7682" max="7682" width="4.88671875" style="79" customWidth="1"/>
    <col min="7683" max="7684" width="5.44140625" style="79" customWidth="1"/>
    <col min="7685" max="7685" width="31.44140625" style="79" customWidth="1"/>
    <col min="7686" max="7686" width="4.88671875" style="79" customWidth="1"/>
    <col min="7687" max="7687" width="12.109375" style="79" customWidth="1"/>
    <col min="7688" max="7691" width="11" style="79" customWidth="1"/>
    <col min="7692" max="7692" width="11.44140625" style="79" customWidth="1"/>
    <col min="7693" max="7936" width="9.88671875" style="79"/>
    <col min="7937" max="7937" width="4.33203125" style="79" customWidth="1"/>
    <col min="7938" max="7938" width="4.88671875" style="79" customWidth="1"/>
    <col min="7939" max="7940" width="5.44140625" style="79" customWidth="1"/>
    <col min="7941" max="7941" width="31.44140625" style="79" customWidth="1"/>
    <col min="7942" max="7942" width="4.88671875" style="79" customWidth="1"/>
    <col min="7943" max="7943" width="12.109375" style="79" customWidth="1"/>
    <col min="7944" max="7947" width="11" style="79" customWidth="1"/>
    <col min="7948" max="7948" width="11.44140625" style="79" customWidth="1"/>
    <col min="7949" max="8192" width="9.88671875" style="79"/>
    <col min="8193" max="8193" width="4.33203125" style="79" customWidth="1"/>
    <col min="8194" max="8194" width="4.88671875" style="79" customWidth="1"/>
    <col min="8195" max="8196" width="5.44140625" style="79" customWidth="1"/>
    <col min="8197" max="8197" width="31.44140625" style="79" customWidth="1"/>
    <col min="8198" max="8198" width="4.88671875" style="79" customWidth="1"/>
    <col min="8199" max="8199" width="12.109375" style="79" customWidth="1"/>
    <col min="8200" max="8203" width="11" style="79" customWidth="1"/>
    <col min="8204" max="8204" width="11.44140625" style="79" customWidth="1"/>
    <col min="8205" max="8448" width="9.88671875" style="79"/>
    <col min="8449" max="8449" width="4.33203125" style="79" customWidth="1"/>
    <col min="8450" max="8450" width="4.88671875" style="79" customWidth="1"/>
    <col min="8451" max="8452" width="5.44140625" style="79" customWidth="1"/>
    <col min="8453" max="8453" width="31.44140625" style="79" customWidth="1"/>
    <col min="8454" max="8454" width="4.88671875" style="79" customWidth="1"/>
    <col min="8455" max="8455" width="12.109375" style="79" customWidth="1"/>
    <col min="8456" max="8459" width="11" style="79" customWidth="1"/>
    <col min="8460" max="8460" width="11.44140625" style="79" customWidth="1"/>
    <col min="8461" max="8704" width="9.88671875" style="79"/>
    <col min="8705" max="8705" width="4.33203125" style="79" customWidth="1"/>
    <col min="8706" max="8706" width="4.88671875" style="79" customWidth="1"/>
    <col min="8707" max="8708" width="5.44140625" style="79" customWidth="1"/>
    <col min="8709" max="8709" width="31.44140625" style="79" customWidth="1"/>
    <col min="8710" max="8710" width="4.88671875" style="79" customWidth="1"/>
    <col min="8711" max="8711" width="12.109375" style="79" customWidth="1"/>
    <col min="8712" max="8715" width="11" style="79" customWidth="1"/>
    <col min="8716" max="8716" width="11.44140625" style="79" customWidth="1"/>
    <col min="8717" max="8960" width="9.88671875" style="79"/>
    <col min="8961" max="8961" width="4.33203125" style="79" customWidth="1"/>
    <col min="8962" max="8962" width="4.88671875" style="79" customWidth="1"/>
    <col min="8963" max="8964" width="5.44140625" style="79" customWidth="1"/>
    <col min="8965" max="8965" width="31.44140625" style="79" customWidth="1"/>
    <col min="8966" max="8966" width="4.88671875" style="79" customWidth="1"/>
    <col min="8967" max="8967" width="12.109375" style="79" customWidth="1"/>
    <col min="8968" max="8971" width="11" style="79" customWidth="1"/>
    <col min="8972" max="8972" width="11.44140625" style="79" customWidth="1"/>
    <col min="8973" max="9216" width="9.88671875" style="79"/>
    <col min="9217" max="9217" width="4.33203125" style="79" customWidth="1"/>
    <col min="9218" max="9218" width="4.88671875" style="79" customWidth="1"/>
    <col min="9219" max="9220" width="5.44140625" style="79" customWidth="1"/>
    <col min="9221" max="9221" width="31.44140625" style="79" customWidth="1"/>
    <col min="9222" max="9222" width="4.88671875" style="79" customWidth="1"/>
    <col min="9223" max="9223" width="12.109375" style="79" customWidth="1"/>
    <col min="9224" max="9227" width="11" style="79" customWidth="1"/>
    <col min="9228" max="9228" width="11.44140625" style="79" customWidth="1"/>
    <col min="9229" max="9472" width="9.88671875" style="79"/>
    <col min="9473" max="9473" width="4.33203125" style="79" customWidth="1"/>
    <col min="9474" max="9474" width="4.88671875" style="79" customWidth="1"/>
    <col min="9475" max="9476" width="5.44140625" style="79" customWidth="1"/>
    <col min="9477" max="9477" width="31.44140625" style="79" customWidth="1"/>
    <col min="9478" max="9478" width="4.88671875" style="79" customWidth="1"/>
    <col min="9479" max="9479" width="12.109375" style="79" customWidth="1"/>
    <col min="9480" max="9483" width="11" style="79" customWidth="1"/>
    <col min="9484" max="9484" width="11.44140625" style="79" customWidth="1"/>
    <col min="9485" max="9728" width="9.88671875" style="79"/>
    <col min="9729" max="9729" width="4.33203125" style="79" customWidth="1"/>
    <col min="9730" max="9730" width="4.88671875" style="79" customWidth="1"/>
    <col min="9731" max="9732" width="5.44140625" style="79" customWidth="1"/>
    <col min="9733" max="9733" width="31.44140625" style="79" customWidth="1"/>
    <col min="9734" max="9734" width="4.88671875" style="79" customWidth="1"/>
    <col min="9735" max="9735" width="12.109375" style="79" customWidth="1"/>
    <col min="9736" max="9739" width="11" style="79" customWidth="1"/>
    <col min="9740" max="9740" width="11.44140625" style="79" customWidth="1"/>
    <col min="9741" max="9984" width="9.88671875" style="79"/>
    <col min="9985" max="9985" width="4.33203125" style="79" customWidth="1"/>
    <col min="9986" max="9986" width="4.88671875" style="79" customWidth="1"/>
    <col min="9987" max="9988" width="5.44140625" style="79" customWidth="1"/>
    <col min="9989" max="9989" width="31.44140625" style="79" customWidth="1"/>
    <col min="9990" max="9990" width="4.88671875" style="79" customWidth="1"/>
    <col min="9991" max="9991" width="12.109375" style="79" customWidth="1"/>
    <col min="9992" max="9995" width="11" style="79" customWidth="1"/>
    <col min="9996" max="9996" width="11.44140625" style="79" customWidth="1"/>
    <col min="9997" max="10240" width="9.88671875" style="79"/>
    <col min="10241" max="10241" width="4.33203125" style="79" customWidth="1"/>
    <col min="10242" max="10242" width="4.88671875" style="79" customWidth="1"/>
    <col min="10243" max="10244" width="5.44140625" style="79" customWidth="1"/>
    <col min="10245" max="10245" width="31.44140625" style="79" customWidth="1"/>
    <col min="10246" max="10246" width="4.88671875" style="79" customWidth="1"/>
    <col min="10247" max="10247" width="12.109375" style="79" customWidth="1"/>
    <col min="10248" max="10251" width="11" style="79" customWidth="1"/>
    <col min="10252" max="10252" width="11.44140625" style="79" customWidth="1"/>
    <col min="10253" max="10496" width="9.88671875" style="79"/>
    <col min="10497" max="10497" width="4.33203125" style="79" customWidth="1"/>
    <col min="10498" max="10498" width="4.88671875" style="79" customWidth="1"/>
    <col min="10499" max="10500" width="5.44140625" style="79" customWidth="1"/>
    <col min="10501" max="10501" width="31.44140625" style="79" customWidth="1"/>
    <col min="10502" max="10502" width="4.88671875" style="79" customWidth="1"/>
    <col min="10503" max="10503" width="12.109375" style="79" customWidth="1"/>
    <col min="10504" max="10507" width="11" style="79" customWidth="1"/>
    <col min="10508" max="10508" width="11.44140625" style="79" customWidth="1"/>
    <col min="10509" max="10752" width="9.88671875" style="79"/>
    <col min="10753" max="10753" width="4.33203125" style="79" customWidth="1"/>
    <col min="10754" max="10754" width="4.88671875" style="79" customWidth="1"/>
    <col min="10755" max="10756" width="5.44140625" style="79" customWidth="1"/>
    <col min="10757" max="10757" width="31.44140625" style="79" customWidth="1"/>
    <col min="10758" max="10758" width="4.88671875" style="79" customWidth="1"/>
    <col min="10759" max="10759" width="12.109375" style="79" customWidth="1"/>
    <col min="10760" max="10763" width="11" style="79" customWidth="1"/>
    <col min="10764" max="10764" width="11.44140625" style="79" customWidth="1"/>
    <col min="10765" max="11008" width="9.88671875" style="79"/>
    <col min="11009" max="11009" width="4.33203125" style="79" customWidth="1"/>
    <col min="11010" max="11010" width="4.88671875" style="79" customWidth="1"/>
    <col min="11011" max="11012" width="5.44140625" style="79" customWidth="1"/>
    <col min="11013" max="11013" width="31.44140625" style="79" customWidth="1"/>
    <col min="11014" max="11014" width="4.88671875" style="79" customWidth="1"/>
    <col min="11015" max="11015" width="12.109375" style="79" customWidth="1"/>
    <col min="11016" max="11019" width="11" style="79" customWidth="1"/>
    <col min="11020" max="11020" width="11.44140625" style="79" customWidth="1"/>
    <col min="11021" max="11264" width="9.88671875" style="79"/>
    <col min="11265" max="11265" width="4.33203125" style="79" customWidth="1"/>
    <col min="11266" max="11266" width="4.88671875" style="79" customWidth="1"/>
    <col min="11267" max="11268" width="5.44140625" style="79" customWidth="1"/>
    <col min="11269" max="11269" width="31.44140625" style="79" customWidth="1"/>
    <col min="11270" max="11270" width="4.88671875" style="79" customWidth="1"/>
    <col min="11271" max="11271" width="12.109375" style="79" customWidth="1"/>
    <col min="11272" max="11275" width="11" style="79" customWidth="1"/>
    <col min="11276" max="11276" width="11.44140625" style="79" customWidth="1"/>
    <col min="11277" max="11520" width="9.88671875" style="79"/>
    <col min="11521" max="11521" width="4.33203125" style="79" customWidth="1"/>
    <col min="11522" max="11522" width="4.88671875" style="79" customWidth="1"/>
    <col min="11523" max="11524" width="5.44140625" style="79" customWidth="1"/>
    <col min="11525" max="11525" width="31.44140625" style="79" customWidth="1"/>
    <col min="11526" max="11526" width="4.88671875" style="79" customWidth="1"/>
    <col min="11527" max="11527" width="12.109375" style="79" customWidth="1"/>
    <col min="11528" max="11531" width="11" style="79" customWidth="1"/>
    <col min="11532" max="11532" width="11.44140625" style="79" customWidth="1"/>
    <col min="11533" max="11776" width="9.88671875" style="79"/>
    <col min="11777" max="11777" width="4.33203125" style="79" customWidth="1"/>
    <col min="11778" max="11778" width="4.88671875" style="79" customWidth="1"/>
    <col min="11779" max="11780" width="5.44140625" style="79" customWidth="1"/>
    <col min="11781" max="11781" width="31.44140625" style="79" customWidth="1"/>
    <col min="11782" max="11782" width="4.88671875" style="79" customWidth="1"/>
    <col min="11783" max="11783" width="12.109375" style="79" customWidth="1"/>
    <col min="11784" max="11787" width="11" style="79" customWidth="1"/>
    <col min="11788" max="11788" width="11.44140625" style="79" customWidth="1"/>
    <col min="11789" max="12032" width="9.88671875" style="79"/>
    <col min="12033" max="12033" width="4.33203125" style="79" customWidth="1"/>
    <col min="12034" max="12034" width="4.88671875" style="79" customWidth="1"/>
    <col min="12035" max="12036" width="5.44140625" style="79" customWidth="1"/>
    <col min="12037" max="12037" width="31.44140625" style="79" customWidth="1"/>
    <col min="12038" max="12038" width="4.88671875" style="79" customWidth="1"/>
    <col min="12039" max="12039" width="12.109375" style="79" customWidth="1"/>
    <col min="12040" max="12043" width="11" style="79" customWidth="1"/>
    <col min="12044" max="12044" width="11.44140625" style="79" customWidth="1"/>
    <col min="12045" max="12288" width="9.88671875" style="79"/>
    <col min="12289" max="12289" width="4.33203125" style="79" customWidth="1"/>
    <col min="12290" max="12290" width="4.88671875" style="79" customWidth="1"/>
    <col min="12291" max="12292" width="5.44140625" style="79" customWidth="1"/>
    <col min="12293" max="12293" width="31.44140625" style="79" customWidth="1"/>
    <col min="12294" max="12294" width="4.88671875" style="79" customWidth="1"/>
    <col min="12295" max="12295" width="12.109375" style="79" customWidth="1"/>
    <col min="12296" max="12299" width="11" style="79" customWidth="1"/>
    <col min="12300" max="12300" width="11.44140625" style="79" customWidth="1"/>
    <col min="12301" max="12544" width="9.88671875" style="79"/>
    <col min="12545" max="12545" width="4.33203125" style="79" customWidth="1"/>
    <col min="12546" max="12546" width="4.88671875" style="79" customWidth="1"/>
    <col min="12547" max="12548" width="5.44140625" style="79" customWidth="1"/>
    <col min="12549" max="12549" width="31.44140625" style="79" customWidth="1"/>
    <col min="12550" max="12550" width="4.88671875" style="79" customWidth="1"/>
    <col min="12551" max="12551" width="12.109375" style="79" customWidth="1"/>
    <col min="12552" max="12555" width="11" style="79" customWidth="1"/>
    <col min="12556" max="12556" width="11.44140625" style="79" customWidth="1"/>
    <col min="12557" max="12800" width="9.88671875" style="79"/>
    <col min="12801" max="12801" width="4.33203125" style="79" customWidth="1"/>
    <col min="12802" max="12802" width="4.88671875" style="79" customWidth="1"/>
    <col min="12803" max="12804" width="5.44140625" style="79" customWidth="1"/>
    <col min="12805" max="12805" width="31.44140625" style="79" customWidth="1"/>
    <col min="12806" max="12806" width="4.88671875" style="79" customWidth="1"/>
    <col min="12807" max="12807" width="12.109375" style="79" customWidth="1"/>
    <col min="12808" max="12811" width="11" style="79" customWidth="1"/>
    <col min="12812" max="12812" width="11.44140625" style="79" customWidth="1"/>
    <col min="12813" max="13056" width="9.88671875" style="79"/>
    <col min="13057" max="13057" width="4.33203125" style="79" customWidth="1"/>
    <col min="13058" max="13058" width="4.88671875" style="79" customWidth="1"/>
    <col min="13059" max="13060" width="5.44140625" style="79" customWidth="1"/>
    <col min="13061" max="13061" width="31.44140625" style="79" customWidth="1"/>
    <col min="13062" max="13062" width="4.88671875" style="79" customWidth="1"/>
    <col min="13063" max="13063" width="12.109375" style="79" customWidth="1"/>
    <col min="13064" max="13067" width="11" style="79" customWidth="1"/>
    <col min="13068" max="13068" width="11.44140625" style="79" customWidth="1"/>
    <col min="13069" max="13312" width="9.88671875" style="79"/>
    <col min="13313" max="13313" width="4.33203125" style="79" customWidth="1"/>
    <col min="13314" max="13314" width="4.88671875" style="79" customWidth="1"/>
    <col min="13315" max="13316" width="5.44140625" style="79" customWidth="1"/>
    <col min="13317" max="13317" width="31.44140625" style="79" customWidth="1"/>
    <col min="13318" max="13318" width="4.88671875" style="79" customWidth="1"/>
    <col min="13319" max="13319" width="12.109375" style="79" customWidth="1"/>
    <col min="13320" max="13323" width="11" style="79" customWidth="1"/>
    <col min="13324" max="13324" width="11.44140625" style="79" customWidth="1"/>
    <col min="13325" max="13568" width="9.88671875" style="79"/>
    <col min="13569" max="13569" width="4.33203125" style="79" customWidth="1"/>
    <col min="13570" max="13570" width="4.88671875" style="79" customWidth="1"/>
    <col min="13571" max="13572" width="5.44140625" style="79" customWidth="1"/>
    <col min="13573" max="13573" width="31.44140625" style="79" customWidth="1"/>
    <col min="13574" max="13574" width="4.88671875" style="79" customWidth="1"/>
    <col min="13575" max="13575" width="12.109375" style="79" customWidth="1"/>
    <col min="13576" max="13579" width="11" style="79" customWidth="1"/>
    <col min="13580" max="13580" width="11.44140625" style="79" customWidth="1"/>
    <col min="13581" max="13824" width="9.88671875" style="79"/>
    <col min="13825" max="13825" width="4.33203125" style="79" customWidth="1"/>
    <col min="13826" max="13826" width="4.88671875" style="79" customWidth="1"/>
    <col min="13827" max="13828" width="5.44140625" style="79" customWidth="1"/>
    <col min="13829" max="13829" width="31.44140625" style="79" customWidth="1"/>
    <col min="13830" max="13830" width="4.88671875" style="79" customWidth="1"/>
    <col min="13831" max="13831" width="12.109375" style="79" customWidth="1"/>
    <col min="13832" max="13835" width="11" style="79" customWidth="1"/>
    <col min="13836" max="13836" width="11.44140625" style="79" customWidth="1"/>
    <col min="13837" max="14080" width="9.88671875" style="79"/>
    <col min="14081" max="14081" width="4.33203125" style="79" customWidth="1"/>
    <col min="14082" max="14082" width="4.88671875" style="79" customWidth="1"/>
    <col min="14083" max="14084" width="5.44140625" style="79" customWidth="1"/>
    <col min="14085" max="14085" width="31.44140625" style="79" customWidth="1"/>
    <col min="14086" max="14086" width="4.88671875" style="79" customWidth="1"/>
    <col min="14087" max="14087" width="12.109375" style="79" customWidth="1"/>
    <col min="14088" max="14091" width="11" style="79" customWidth="1"/>
    <col min="14092" max="14092" width="11.44140625" style="79" customWidth="1"/>
    <col min="14093" max="14336" width="9.88671875" style="79"/>
    <col min="14337" max="14337" width="4.33203125" style="79" customWidth="1"/>
    <col min="14338" max="14338" width="4.88671875" style="79" customWidth="1"/>
    <col min="14339" max="14340" width="5.44140625" style="79" customWidth="1"/>
    <col min="14341" max="14341" width="31.44140625" style="79" customWidth="1"/>
    <col min="14342" max="14342" width="4.88671875" style="79" customWidth="1"/>
    <col min="14343" max="14343" width="12.109375" style="79" customWidth="1"/>
    <col min="14344" max="14347" width="11" style="79" customWidth="1"/>
    <col min="14348" max="14348" width="11.44140625" style="79" customWidth="1"/>
    <col min="14349" max="14592" width="9.88671875" style="79"/>
    <col min="14593" max="14593" width="4.33203125" style="79" customWidth="1"/>
    <col min="14594" max="14594" width="4.88671875" style="79" customWidth="1"/>
    <col min="14595" max="14596" width="5.44140625" style="79" customWidth="1"/>
    <col min="14597" max="14597" width="31.44140625" style="79" customWidth="1"/>
    <col min="14598" max="14598" width="4.88671875" style="79" customWidth="1"/>
    <col min="14599" max="14599" width="12.109375" style="79" customWidth="1"/>
    <col min="14600" max="14603" width="11" style="79" customWidth="1"/>
    <col min="14604" max="14604" width="11.44140625" style="79" customWidth="1"/>
    <col min="14605" max="14848" width="9.88671875" style="79"/>
    <col min="14849" max="14849" width="4.33203125" style="79" customWidth="1"/>
    <col min="14850" max="14850" width="4.88671875" style="79" customWidth="1"/>
    <col min="14851" max="14852" width="5.44140625" style="79" customWidth="1"/>
    <col min="14853" max="14853" width="31.44140625" style="79" customWidth="1"/>
    <col min="14854" max="14854" width="4.88671875" style="79" customWidth="1"/>
    <col min="14855" max="14855" width="12.109375" style="79" customWidth="1"/>
    <col min="14856" max="14859" width="11" style="79" customWidth="1"/>
    <col min="14860" max="14860" width="11.44140625" style="79" customWidth="1"/>
    <col min="14861" max="15104" width="9.88671875" style="79"/>
    <col min="15105" max="15105" width="4.33203125" style="79" customWidth="1"/>
    <col min="15106" max="15106" width="4.88671875" style="79" customWidth="1"/>
    <col min="15107" max="15108" width="5.44140625" style="79" customWidth="1"/>
    <col min="15109" max="15109" width="31.44140625" style="79" customWidth="1"/>
    <col min="15110" max="15110" width="4.88671875" style="79" customWidth="1"/>
    <col min="15111" max="15111" width="12.109375" style="79" customWidth="1"/>
    <col min="15112" max="15115" width="11" style="79" customWidth="1"/>
    <col min="15116" max="15116" width="11.44140625" style="79" customWidth="1"/>
    <col min="15117" max="15360" width="9.88671875" style="79"/>
    <col min="15361" max="15361" width="4.33203125" style="79" customWidth="1"/>
    <col min="15362" max="15362" width="4.88671875" style="79" customWidth="1"/>
    <col min="15363" max="15364" width="5.44140625" style="79" customWidth="1"/>
    <col min="15365" max="15365" width="31.44140625" style="79" customWidth="1"/>
    <col min="15366" max="15366" width="4.88671875" style="79" customWidth="1"/>
    <col min="15367" max="15367" width="12.109375" style="79" customWidth="1"/>
    <col min="15368" max="15371" width="11" style="79" customWidth="1"/>
    <col min="15372" max="15372" width="11.44140625" style="79" customWidth="1"/>
    <col min="15373" max="15616" width="9.88671875" style="79"/>
    <col min="15617" max="15617" width="4.33203125" style="79" customWidth="1"/>
    <col min="15618" max="15618" width="4.88671875" style="79" customWidth="1"/>
    <col min="15619" max="15620" width="5.44140625" style="79" customWidth="1"/>
    <col min="15621" max="15621" width="31.44140625" style="79" customWidth="1"/>
    <col min="15622" max="15622" width="4.88671875" style="79" customWidth="1"/>
    <col min="15623" max="15623" width="12.109375" style="79" customWidth="1"/>
    <col min="15624" max="15627" width="11" style="79" customWidth="1"/>
    <col min="15628" max="15628" width="11.44140625" style="79" customWidth="1"/>
    <col min="15629" max="15872" width="9.88671875" style="79"/>
    <col min="15873" max="15873" width="4.33203125" style="79" customWidth="1"/>
    <col min="15874" max="15874" width="4.88671875" style="79" customWidth="1"/>
    <col min="15875" max="15876" width="5.44140625" style="79" customWidth="1"/>
    <col min="15877" max="15877" width="31.44140625" style="79" customWidth="1"/>
    <col min="15878" max="15878" width="4.88671875" style="79" customWidth="1"/>
    <col min="15879" max="15879" width="12.109375" style="79" customWidth="1"/>
    <col min="15880" max="15883" width="11" style="79" customWidth="1"/>
    <col min="15884" max="15884" width="11.44140625" style="79" customWidth="1"/>
    <col min="15885" max="16128" width="9.88671875" style="79"/>
    <col min="16129" max="16129" width="4.33203125" style="79" customWidth="1"/>
    <col min="16130" max="16130" width="4.88671875" style="79" customWidth="1"/>
    <col min="16131" max="16132" width="5.44140625" style="79" customWidth="1"/>
    <col min="16133" max="16133" width="31.44140625" style="79" customWidth="1"/>
    <col min="16134" max="16134" width="4.88671875" style="79" customWidth="1"/>
    <col min="16135" max="16135" width="12.109375" style="79" customWidth="1"/>
    <col min="16136" max="16139" width="11" style="79" customWidth="1"/>
    <col min="16140" max="16140" width="11.44140625" style="79" customWidth="1"/>
    <col min="16141" max="16384" width="9.88671875" style="79"/>
  </cols>
  <sheetData>
    <row r="1" spans="1:14" s="31" customFormat="1" ht="15.75" customHeight="1" x14ac:dyDescent="0.3">
      <c r="A1" s="29" t="s">
        <v>114</v>
      </c>
      <c r="B1" s="30"/>
      <c r="D1" s="32"/>
      <c r="E1" s="32"/>
      <c r="G1" s="551"/>
      <c r="H1" s="35"/>
      <c r="I1" s="36"/>
      <c r="J1" s="552"/>
      <c r="K1" s="37"/>
      <c r="L1" s="38"/>
      <c r="N1" s="553" t="s">
        <v>23</v>
      </c>
    </row>
    <row r="2" spans="1:14" s="31" customFormat="1" ht="20.25" customHeight="1" x14ac:dyDescent="0.2">
      <c r="A2" s="554" t="s">
        <v>115</v>
      </c>
      <c r="B2" s="30"/>
      <c r="D2" s="32"/>
      <c r="E2" s="32"/>
      <c r="F2" s="33"/>
      <c r="G2" s="551"/>
      <c r="H2" s="35"/>
      <c r="I2" s="36"/>
      <c r="J2" s="40"/>
      <c r="K2" s="37"/>
      <c r="L2" s="38"/>
    </row>
    <row r="3" spans="1:14" s="31" customFormat="1" ht="15.75" customHeight="1" x14ac:dyDescent="0.25">
      <c r="A3" s="41" t="s">
        <v>1359</v>
      </c>
      <c r="B3" s="42"/>
      <c r="C3" s="43"/>
      <c r="D3" s="44"/>
      <c r="E3" s="32"/>
      <c r="F3" s="33"/>
      <c r="G3" s="551"/>
      <c r="H3" s="35"/>
      <c r="I3" s="36"/>
      <c r="J3" s="40"/>
      <c r="K3" s="37"/>
      <c r="L3" s="38"/>
    </row>
    <row r="4" spans="1:14" s="55" customFormat="1" ht="4.2" customHeight="1" x14ac:dyDescent="0.2">
      <c r="A4" s="555"/>
      <c r="B4" s="556"/>
      <c r="C4" s="557"/>
      <c r="D4" s="558"/>
      <c r="E4" s="558"/>
      <c r="F4" s="558"/>
      <c r="G4" s="559"/>
      <c r="H4" s="560"/>
      <c r="I4" s="561"/>
      <c r="J4" s="562"/>
      <c r="K4" s="53"/>
      <c r="L4" s="54"/>
    </row>
    <row r="5" spans="1:14" s="55" customFormat="1" ht="4.2" customHeight="1" x14ac:dyDescent="0.2">
      <c r="A5" s="56"/>
      <c r="B5" s="81"/>
      <c r="D5" s="84"/>
      <c r="E5" s="84"/>
      <c r="F5" s="84"/>
      <c r="G5" s="563"/>
      <c r="H5" s="250"/>
      <c r="I5" s="251"/>
      <c r="J5" s="252"/>
      <c r="K5" s="53"/>
      <c r="L5" s="54"/>
    </row>
    <row r="6" spans="1:14" s="55" customFormat="1" ht="10.95" customHeight="1" x14ac:dyDescent="0.15">
      <c r="A6" s="56"/>
      <c r="B6" s="56"/>
      <c r="C6" s="57"/>
      <c r="D6" s="58"/>
      <c r="E6" s="58"/>
      <c r="F6" s="59"/>
      <c r="G6" s="60" t="s">
        <v>116</v>
      </c>
      <c r="H6" s="61" t="s">
        <v>25</v>
      </c>
      <c r="I6" s="62" t="s">
        <v>26</v>
      </c>
      <c r="J6" s="63" t="s">
        <v>117</v>
      </c>
      <c r="K6" s="64"/>
      <c r="L6" s="65"/>
    </row>
    <row r="7" spans="1:14" s="55" customFormat="1" ht="10.95" customHeight="1" x14ac:dyDescent="0.15">
      <c r="A7" s="56"/>
      <c r="B7" s="56"/>
      <c r="C7" s="66"/>
      <c r="D7" s="58"/>
      <c r="E7" s="58"/>
      <c r="F7" s="59"/>
      <c r="G7" s="67" t="s">
        <v>29</v>
      </c>
      <c r="H7" s="61" t="s">
        <v>27</v>
      </c>
      <c r="I7" s="62" t="s">
        <v>28</v>
      </c>
      <c r="J7" s="63" t="s">
        <v>118</v>
      </c>
      <c r="K7" s="64"/>
      <c r="L7" s="65"/>
    </row>
    <row r="8" spans="1:14" s="55" customFormat="1" ht="10.95" customHeight="1" x14ac:dyDescent="0.15">
      <c r="A8" s="56"/>
      <c r="B8" s="56"/>
      <c r="C8" s="66"/>
      <c r="D8" s="68"/>
      <c r="E8" s="68"/>
      <c r="F8" s="59"/>
      <c r="G8" s="60" t="s">
        <v>31</v>
      </c>
      <c r="H8" s="61" t="s">
        <v>29</v>
      </c>
      <c r="I8" s="62" t="s">
        <v>30</v>
      </c>
      <c r="J8" s="69" t="s">
        <v>119</v>
      </c>
      <c r="K8" s="64"/>
      <c r="L8" s="65"/>
    </row>
    <row r="9" spans="1:14" s="55" customFormat="1" ht="10.95" customHeight="1" x14ac:dyDescent="0.15">
      <c r="A9" s="56"/>
      <c r="B9" s="56"/>
      <c r="C9" s="66"/>
      <c r="D9" s="58"/>
      <c r="E9" s="58"/>
      <c r="F9" s="59"/>
      <c r="G9" s="67" t="s">
        <v>32</v>
      </c>
      <c r="H9" s="61" t="s">
        <v>33</v>
      </c>
      <c r="I9" s="62" t="s">
        <v>120</v>
      </c>
      <c r="J9" s="70" t="s">
        <v>121</v>
      </c>
      <c r="K9" s="64"/>
      <c r="L9" s="65"/>
    </row>
    <row r="10" spans="1:14" ht="4.2" customHeight="1" x14ac:dyDescent="0.2">
      <c r="A10" s="564"/>
      <c r="B10" s="564"/>
      <c r="C10" s="565"/>
      <c r="D10" s="566"/>
      <c r="E10" s="566"/>
      <c r="F10" s="566"/>
      <c r="G10" s="567"/>
      <c r="H10" s="568"/>
      <c r="I10" s="569"/>
      <c r="J10" s="570"/>
      <c r="K10" s="78"/>
      <c r="L10" s="54"/>
    </row>
    <row r="11" spans="1:14" ht="4.2" customHeight="1" x14ac:dyDescent="0.2">
      <c r="B11" s="81"/>
      <c r="C11" s="82"/>
      <c r="D11" s="83"/>
      <c r="E11" s="83"/>
      <c r="F11" s="84"/>
      <c r="H11" s="86"/>
      <c r="I11" s="87"/>
      <c r="J11" s="88"/>
      <c r="K11" s="78"/>
      <c r="L11" s="54"/>
    </row>
    <row r="12" spans="1:14" s="99" customFormat="1" ht="10.95" customHeight="1" x14ac:dyDescent="0.25">
      <c r="A12" s="89" t="s">
        <v>122</v>
      </c>
      <c r="B12" s="90"/>
      <c r="C12" s="91"/>
      <c r="D12" s="92"/>
      <c r="E12" s="92"/>
      <c r="F12" s="93"/>
      <c r="G12" s="94"/>
      <c r="H12" s="95"/>
      <c r="I12" s="96">
        <v>5630</v>
      </c>
      <c r="J12" s="97"/>
      <c r="K12" s="78"/>
      <c r="L12" s="98"/>
    </row>
    <row r="13" spans="1:14" s="105" customFormat="1" ht="4.2" customHeight="1" x14ac:dyDescent="0.25">
      <c r="A13" s="571"/>
      <c r="B13" s="556"/>
      <c r="C13" s="571"/>
      <c r="D13" s="565"/>
      <c r="E13" s="565"/>
      <c r="F13" s="565"/>
      <c r="G13" s="567"/>
      <c r="H13" s="572"/>
      <c r="I13" s="573"/>
      <c r="J13" s="574"/>
      <c r="K13" s="78"/>
      <c r="L13" s="54"/>
    </row>
    <row r="14" spans="1:14" s="105" customFormat="1" ht="4.2" customHeight="1" x14ac:dyDescent="0.25">
      <c r="A14" s="106"/>
      <c r="B14" s="81"/>
      <c r="C14" s="106"/>
      <c r="D14" s="79"/>
      <c r="E14" s="79"/>
      <c r="F14" s="79"/>
      <c r="G14" s="85"/>
      <c r="H14" s="108"/>
      <c r="I14" s="109"/>
      <c r="J14" s="110"/>
      <c r="K14" s="78"/>
      <c r="L14" s="54"/>
    </row>
    <row r="15" spans="1:14" s="93" customFormat="1" ht="10.95" customHeight="1" x14ac:dyDescent="0.2">
      <c r="A15" s="111" t="s">
        <v>123</v>
      </c>
      <c r="B15" s="112"/>
      <c r="C15" s="113"/>
      <c r="F15" s="114" t="s">
        <v>124</v>
      </c>
      <c r="G15" s="575"/>
      <c r="H15" s="116"/>
      <c r="I15" s="117"/>
      <c r="J15" s="97"/>
      <c r="K15" s="78"/>
      <c r="L15" s="98"/>
    </row>
    <row r="16" spans="1:14" s="118" customFormat="1" ht="4.2" customHeight="1" x14ac:dyDescent="0.2">
      <c r="A16" s="80"/>
      <c r="B16" s="80"/>
      <c r="C16" s="79"/>
      <c r="D16" s="79"/>
      <c r="E16" s="79"/>
      <c r="F16" s="79"/>
      <c r="G16" s="85"/>
      <c r="H16" s="108"/>
      <c r="I16" s="109"/>
      <c r="J16" s="110"/>
      <c r="K16" s="78"/>
      <c r="L16" s="54"/>
    </row>
    <row r="17" spans="1:13" s="128" customFormat="1" ht="12.75" customHeight="1" x14ac:dyDescent="0.25">
      <c r="A17" s="119" t="s">
        <v>34</v>
      </c>
      <c r="B17" s="120" t="s">
        <v>7</v>
      </c>
      <c r="C17" s="121"/>
      <c r="D17" s="122"/>
      <c r="E17" s="122"/>
      <c r="F17" s="121"/>
      <c r="G17" s="576">
        <v>62.2</v>
      </c>
      <c r="H17" s="124">
        <v>1772</v>
      </c>
      <c r="I17" s="124">
        <v>5600</v>
      </c>
      <c r="J17" s="125">
        <v>0.9</v>
      </c>
      <c r="K17" s="78"/>
      <c r="L17" s="126"/>
      <c r="M17" s="127"/>
    </row>
    <row r="18" spans="1:13" ht="6" customHeight="1" x14ac:dyDescent="0.2">
      <c r="A18" s="129"/>
      <c r="B18" s="81"/>
      <c r="D18" s="130"/>
      <c r="E18" s="130"/>
      <c r="F18" s="79"/>
      <c r="G18" s="138"/>
      <c r="H18" s="132"/>
      <c r="I18" s="133"/>
      <c r="J18" s="134"/>
      <c r="K18" s="78"/>
      <c r="L18" s="127"/>
      <c r="M18" s="127"/>
    </row>
    <row r="19" spans="1:13" ht="10.95" customHeight="1" x14ac:dyDescent="0.2">
      <c r="A19" s="80">
        <v>1.1000000000000001</v>
      </c>
      <c r="B19" s="129" t="s">
        <v>35</v>
      </c>
      <c r="D19" s="130"/>
      <c r="E19" s="130"/>
      <c r="F19" s="79"/>
      <c r="G19" s="138">
        <v>56.5</v>
      </c>
      <c r="H19" s="132">
        <v>1611</v>
      </c>
      <c r="I19" s="132">
        <v>5600</v>
      </c>
      <c r="J19" s="135">
        <v>0.9</v>
      </c>
      <c r="K19" s="78"/>
      <c r="M19" s="127"/>
    </row>
    <row r="20" spans="1:13" s="56" customFormat="1" ht="10.95" customHeight="1" x14ac:dyDescent="0.2">
      <c r="B20" s="136" t="s">
        <v>36</v>
      </c>
      <c r="C20" s="56" t="s">
        <v>37</v>
      </c>
      <c r="D20" s="137"/>
      <c r="G20" s="138">
        <v>5.4</v>
      </c>
      <c r="H20" s="132">
        <v>155</v>
      </c>
      <c r="I20" s="132">
        <v>5430</v>
      </c>
      <c r="J20" s="135">
        <v>1.2</v>
      </c>
      <c r="K20" s="78"/>
      <c r="L20" s="126"/>
      <c r="M20" s="127"/>
    </row>
    <row r="21" spans="1:13" s="56" customFormat="1" ht="10.95" customHeight="1" x14ac:dyDescent="0.2">
      <c r="C21" s="56" t="s">
        <v>125</v>
      </c>
      <c r="D21" s="56" t="s">
        <v>126</v>
      </c>
      <c r="G21" s="138">
        <v>0.4</v>
      </c>
      <c r="H21" s="132">
        <v>11</v>
      </c>
      <c r="I21" s="132">
        <v>1660</v>
      </c>
      <c r="J21" s="135">
        <v>4.5</v>
      </c>
      <c r="K21" s="78"/>
      <c r="L21" s="126"/>
      <c r="M21" s="127"/>
    </row>
    <row r="22" spans="1:13" s="56" customFormat="1" ht="10.95" customHeight="1" x14ac:dyDescent="0.2">
      <c r="C22" s="56" t="s">
        <v>127</v>
      </c>
      <c r="D22" s="56" t="s">
        <v>128</v>
      </c>
      <c r="G22" s="138">
        <v>2.5</v>
      </c>
      <c r="H22" s="132">
        <v>70</v>
      </c>
      <c r="I22" s="132">
        <v>5140</v>
      </c>
      <c r="J22" s="135">
        <v>1.3</v>
      </c>
      <c r="K22" s="78"/>
      <c r="L22" s="126"/>
      <c r="M22" s="127"/>
    </row>
    <row r="23" spans="1:13" s="56" customFormat="1" ht="10.95" customHeight="1" x14ac:dyDescent="0.2">
      <c r="C23" s="56" t="s">
        <v>129</v>
      </c>
      <c r="D23" s="56" t="s">
        <v>130</v>
      </c>
      <c r="G23" s="138">
        <v>2.6</v>
      </c>
      <c r="H23" s="132">
        <v>73</v>
      </c>
      <c r="I23" s="132">
        <v>4630</v>
      </c>
      <c r="J23" s="135">
        <v>1.6</v>
      </c>
      <c r="K23" s="78"/>
      <c r="L23" s="126"/>
      <c r="M23" s="127"/>
    </row>
    <row r="24" spans="1:13" s="56" customFormat="1" ht="3" customHeight="1" x14ac:dyDescent="0.2">
      <c r="G24" s="138"/>
      <c r="H24" s="132"/>
      <c r="I24" s="132"/>
      <c r="J24" s="135"/>
      <c r="K24" s="78"/>
      <c r="L24" s="126"/>
      <c r="M24" s="127"/>
    </row>
    <row r="25" spans="1:13" s="56" customFormat="1" ht="10.95" customHeight="1" x14ac:dyDescent="0.2">
      <c r="B25" s="56" t="s">
        <v>38</v>
      </c>
      <c r="C25" s="56" t="s">
        <v>39</v>
      </c>
      <c r="G25" s="138">
        <v>0.4</v>
      </c>
      <c r="H25" s="132">
        <v>13</v>
      </c>
      <c r="I25" s="132">
        <v>2270</v>
      </c>
      <c r="J25" s="135">
        <v>2.8</v>
      </c>
      <c r="K25" s="78"/>
      <c r="L25" s="126"/>
      <c r="M25" s="127"/>
    </row>
    <row r="26" spans="1:13" s="56" customFormat="1" ht="3" customHeight="1" x14ac:dyDescent="0.2">
      <c r="G26" s="138"/>
      <c r="H26" s="132"/>
      <c r="I26" s="132"/>
      <c r="J26" s="135"/>
      <c r="K26" s="78"/>
      <c r="L26" s="126"/>
      <c r="M26" s="127"/>
    </row>
    <row r="27" spans="1:13" s="55" customFormat="1" ht="10.95" customHeight="1" x14ac:dyDescent="0.2">
      <c r="A27" s="56"/>
      <c r="B27" s="56" t="s">
        <v>40</v>
      </c>
      <c r="C27" s="136" t="s">
        <v>41</v>
      </c>
      <c r="E27" s="137"/>
      <c r="G27" s="138">
        <v>4.0999999999999996</v>
      </c>
      <c r="H27" s="132">
        <v>118</v>
      </c>
      <c r="I27" s="132">
        <v>5040</v>
      </c>
      <c r="J27" s="135">
        <v>1.7</v>
      </c>
      <c r="K27" s="78"/>
      <c r="L27" s="126"/>
      <c r="M27" s="127"/>
    </row>
    <row r="28" spans="1:13" s="55" customFormat="1" ht="10.95" customHeight="1" x14ac:dyDescent="0.2">
      <c r="A28" s="56"/>
      <c r="B28" s="56"/>
      <c r="C28" s="136" t="s">
        <v>131</v>
      </c>
      <c r="D28" s="55" t="s">
        <v>132</v>
      </c>
      <c r="E28" s="137"/>
      <c r="G28" s="138">
        <v>2.4</v>
      </c>
      <c r="H28" s="132">
        <v>69</v>
      </c>
      <c r="I28" s="132">
        <v>4710</v>
      </c>
      <c r="J28" s="135">
        <v>1.5</v>
      </c>
      <c r="K28" s="78"/>
      <c r="L28" s="126"/>
      <c r="M28" s="127"/>
    </row>
    <row r="29" spans="1:13" s="55" customFormat="1" ht="10.95" customHeight="1" x14ac:dyDescent="0.2">
      <c r="A29" s="56"/>
      <c r="B29" s="56"/>
      <c r="C29" s="136" t="s">
        <v>133</v>
      </c>
      <c r="D29" s="55" t="s">
        <v>134</v>
      </c>
      <c r="E29" s="137"/>
      <c r="G29" s="138">
        <v>1.7</v>
      </c>
      <c r="H29" s="132">
        <v>49</v>
      </c>
      <c r="I29" s="132">
        <v>3610</v>
      </c>
      <c r="J29" s="135">
        <v>3.1</v>
      </c>
      <c r="K29" s="78"/>
      <c r="L29" s="126"/>
      <c r="M29" s="127"/>
    </row>
    <row r="30" spans="1:13" s="56" customFormat="1" ht="3" customHeight="1" x14ac:dyDescent="0.2">
      <c r="G30" s="138"/>
      <c r="H30" s="132"/>
      <c r="I30" s="132"/>
      <c r="J30" s="135"/>
      <c r="K30" s="78"/>
      <c r="L30" s="126"/>
      <c r="M30" s="127"/>
    </row>
    <row r="31" spans="1:13" s="55" customFormat="1" ht="10.95" customHeight="1" x14ac:dyDescent="0.2">
      <c r="A31" s="56"/>
      <c r="B31" s="56" t="s">
        <v>42</v>
      </c>
      <c r="C31" s="136" t="s">
        <v>43</v>
      </c>
      <c r="E31" s="137"/>
      <c r="G31" s="138">
        <v>1</v>
      </c>
      <c r="H31" s="132">
        <v>28</v>
      </c>
      <c r="I31" s="132">
        <v>2350</v>
      </c>
      <c r="J31" s="135">
        <v>2.2999999999999998</v>
      </c>
      <c r="K31" s="78"/>
      <c r="L31" s="126"/>
      <c r="M31" s="127"/>
    </row>
    <row r="32" spans="1:13" s="84" customFormat="1" ht="10.95" customHeight="1" x14ac:dyDescent="0.2">
      <c r="B32" s="56" t="s">
        <v>44</v>
      </c>
      <c r="C32" s="136" t="s">
        <v>45</v>
      </c>
      <c r="D32" s="55"/>
      <c r="E32" s="137"/>
      <c r="F32" s="55"/>
      <c r="G32" s="138">
        <v>1.8</v>
      </c>
      <c r="H32" s="132">
        <v>50</v>
      </c>
      <c r="I32" s="132">
        <v>2290</v>
      </c>
      <c r="J32" s="135">
        <v>2.9</v>
      </c>
      <c r="K32" s="78"/>
      <c r="L32" s="126"/>
      <c r="M32" s="127"/>
    </row>
    <row r="33" spans="1:13" s="84" customFormat="1" ht="10.95" customHeight="1" x14ac:dyDescent="0.2">
      <c r="B33" s="56" t="s">
        <v>46</v>
      </c>
      <c r="C33" s="136" t="s">
        <v>47</v>
      </c>
      <c r="D33" s="55"/>
      <c r="E33" s="137"/>
      <c r="F33" s="55"/>
      <c r="G33" s="138">
        <v>0.5</v>
      </c>
      <c r="H33" s="132">
        <v>14</v>
      </c>
      <c r="I33" s="132">
        <v>1040</v>
      </c>
      <c r="J33" s="135">
        <v>4</v>
      </c>
      <c r="K33" s="78"/>
      <c r="L33" s="126"/>
      <c r="M33" s="127"/>
    </row>
    <row r="34" spans="1:13" s="84" customFormat="1" ht="10.95" customHeight="1" x14ac:dyDescent="0.2">
      <c r="B34" s="56" t="s">
        <v>48</v>
      </c>
      <c r="C34" s="136" t="s">
        <v>49</v>
      </c>
      <c r="D34" s="55"/>
      <c r="E34" s="137"/>
      <c r="F34" s="55"/>
      <c r="G34" s="138">
        <v>0.5</v>
      </c>
      <c r="H34" s="132">
        <v>14</v>
      </c>
      <c r="I34" s="132">
        <v>600</v>
      </c>
      <c r="J34" s="135">
        <v>6</v>
      </c>
      <c r="K34" s="78"/>
      <c r="L34" s="126"/>
      <c r="M34" s="127"/>
    </row>
    <row r="35" spans="1:13" s="141" customFormat="1" ht="10.95" customHeight="1" x14ac:dyDescent="0.2">
      <c r="B35" s="56" t="s">
        <v>50</v>
      </c>
      <c r="C35" s="136" t="s">
        <v>51</v>
      </c>
      <c r="D35" s="55"/>
      <c r="E35" s="137"/>
      <c r="F35" s="55"/>
      <c r="G35" s="138">
        <v>2.2000000000000002</v>
      </c>
      <c r="H35" s="132">
        <v>62</v>
      </c>
      <c r="I35" s="132">
        <v>2970</v>
      </c>
      <c r="J35" s="135">
        <v>2</v>
      </c>
      <c r="K35" s="78"/>
      <c r="L35" s="126"/>
      <c r="M35" s="127"/>
    </row>
    <row r="36" spans="1:13" s="55" customFormat="1" ht="10.95" customHeight="1" x14ac:dyDescent="0.2">
      <c r="B36" s="56" t="s">
        <v>52</v>
      </c>
      <c r="C36" s="56" t="s">
        <v>53</v>
      </c>
      <c r="D36" s="142"/>
      <c r="E36" s="137"/>
      <c r="F36" s="143"/>
      <c r="G36" s="138">
        <v>0.7</v>
      </c>
      <c r="H36" s="132">
        <v>21</v>
      </c>
      <c r="I36" s="132">
        <v>2260</v>
      </c>
      <c r="J36" s="135">
        <v>2.4</v>
      </c>
      <c r="K36" s="78"/>
      <c r="L36" s="126"/>
      <c r="M36" s="127"/>
    </row>
    <row r="37" spans="1:13" s="56" customFormat="1" ht="3" customHeight="1" x14ac:dyDescent="0.2">
      <c r="G37" s="138"/>
      <c r="H37" s="132"/>
      <c r="I37" s="132"/>
      <c r="J37" s="135"/>
      <c r="K37" s="78"/>
      <c r="L37" s="126"/>
      <c r="M37" s="127"/>
    </row>
    <row r="38" spans="1:13" s="55" customFormat="1" ht="10.95" customHeight="1" x14ac:dyDescent="0.2">
      <c r="B38" s="56" t="s">
        <v>54</v>
      </c>
      <c r="C38" s="56" t="s">
        <v>55</v>
      </c>
      <c r="D38" s="142"/>
      <c r="E38" s="137"/>
      <c r="F38" s="143"/>
      <c r="G38" s="138">
        <v>6.8</v>
      </c>
      <c r="H38" s="132">
        <v>194</v>
      </c>
      <c r="I38" s="132">
        <v>4880</v>
      </c>
      <c r="J38" s="135">
        <v>2.2000000000000002</v>
      </c>
      <c r="K38" s="78"/>
      <c r="L38" s="126"/>
      <c r="M38" s="127"/>
    </row>
    <row r="39" spans="1:13" s="55" customFormat="1" ht="10.95" customHeight="1" x14ac:dyDescent="0.2">
      <c r="B39" s="56"/>
      <c r="C39" s="56" t="s">
        <v>135</v>
      </c>
      <c r="D39" s="144" t="s">
        <v>136</v>
      </c>
      <c r="E39" s="137"/>
      <c r="F39" s="143"/>
      <c r="G39" s="138">
        <v>0.9</v>
      </c>
      <c r="H39" s="132">
        <v>26</v>
      </c>
      <c r="I39" s="132">
        <v>2530</v>
      </c>
      <c r="J39" s="135">
        <v>2.2000000000000002</v>
      </c>
      <c r="K39" s="78"/>
      <c r="L39" s="126"/>
      <c r="M39" s="127"/>
    </row>
    <row r="40" spans="1:13" s="55" customFormat="1" ht="10.95" customHeight="1" x14ac:dyDescent="0.2">
      <c r="B40" s="56"/>
      <c r="C40" s="56" t="s">
        <v>137</v>
      </c>
      <c r="D40" s="144" t="s">
        <v>138</v>
      </c>
      <c r="E40" s="137"/>
      <c r="F40" s="143"/>
      <c r="G40" s="138">
        <v>0.1</v>
      </c>
      <c r="H40" s="132">
        <v>3</v>
      </c>
      <c r="I40" s="132">
        <v>590</v>
      </c>
      <c r="J40" s="135">
        <v>6.3</v>
      </c>
      <c r="K40" s="78"/>
      <c r="L40" s="126"/>
      <c r="M40" s="127"/>
    </row>
    <row r="41" spans="1:13" s="55" customFormat="1" ht="10.95" customHeight="1" x14ac:dyDescent="0.2">
      <c r="B41" s="56"/>
      <c r="C41" s="56" t="s">
        <v>139</v>
      </c>
      <c r="D41" s="144" t="s">
        <v>140</v>
      </c>
      <c r="E41" s="137"/>
      <c r="F41" s="143"/>
      <c r="G41" s="138">
        <v>5.7</v>
      </c>
      <c r="H41" s="132">
        <v>164</v>
      </c>
      <c r="I41" s="132">
        <v>4700</v>
      </c>
      <c r="J41" s="135">
        <v>2.5</v>
      </c>
      <c r="K41" s="78"/>
      <c r="L41" s="126"/>
      <c r="M41" s="127"/>
    </row>
    <row r="42" spans="1:13" s="55" customFormat="1" ht="10.95" customHeight="1" x14ac:dyDescent="0.2">
      <c r="B42" s="56"/>
      <c r="C42" s="56" t="s">
        <v>141</v>
      </c>
      <c r="D42" s="144" t="s">
        <v>142</v>
      </c>
      <c r="E42" s="137"/>
      <c r="F42" s="143"/>
      <c r="G42" s="138" t="s">
        <v>1009</v>
      </c>
      <c r="H42" s="132">
        <v>1</v>
      </c>
      <c r="I42" s="132">
        <v>30</v>
      </c>
      <c r="J42" s="135">
        <v>37.4</v>
      </c>
      <c r="K42" s="78"/>
      <c r="L42" s="126"/>
      <c r="M42" s="127"/>
    </row>
    <row r="43" spans="1:13" s="55" customFormat="1" ht="3" customHeight="1" x14ac:dyDescent="0.2">
      <c r="A43" s="56"/>
      <c r="B43" s="56"/>
      <c r="C43" s="144"/>
      <c r="D43" s="137"/>
      <c r="E43" s="137"/>
      <c r="F43" s="143"/>
      <c r="G43" s="138"/>
      <c r="H43" s="139"/>
      <c r="I43" s="140"/>
      <c r="J43" s="135"/>
      <c r="K43" s="78"/>
      <c r="L43" s="127"/>
      <c r="M43" s="127"/>
    </row>
    <row r="44" spans="1:13" s="55" customFormat="1" ht="10.95" customHeight="1" x14ac:dyDescent="0.2">
      <c r="B44" s="56" t="s">
        <v>56</v>
      </c>
      <c r="C44" s="136" t="s">
        <v>57</v>
      </c>
      <c r="E44" s="137"/>
      <c r="G44" s="138">
        <v>3</v>
      </c>
      <c r="H44" s="132">
        <v>84</v>
      </c>
      <c r="I44" s="132">
        <v>3540</v>
      </c>
      <c r="J44" s="135">
        <v>2.2000000000000002</v>
      </c>
      <c r="K44" s="78"/>
      <c r="L44" s="126"/>
      <c r="M44" s="127"/>
    </row>
    <row r="45" spans="1:13" s="55" customFormat="1" ht="10.95" customHeight="1" x14ac:dyDescent="0.2">
      <c r="B45" s="56"/>
      <c r="C45" s="136" t="s">
        <v>143</v>
      </c>
      <c r="D45" s="55" t="s">
        <v>144</v>
      </c>
      <c r="E45" s="137"/>
      <c r="F45" s="143"/>
      <c r="G45" s="138">
        <v>1</v>
      </c>
      <c r="H45" s="132">
        <v>28</v>
      </c>
      <c r="I45" s="132">
        <v>1470</v>
      </c>
      <c r="J45" s="135">
        <v>3.8</v>
      </c>
      <c r="K45" s="78"/>
      <c r="L45" s="126"/>
      <c r="M45" s="127"/>
    </row>
    <row r="46" spans="1:13" s="55" customFormat="1" ht="10.95" customHeight="1" x14ac:dyDescent="0.2">
      <c r="B46" s="56"/>
      <c r="C46" s="136" t="s">
        <v>145</v>
      </c>
      <c r="D46" s="55" t="s">
        <v>146</v>
      </c>
      <c r="E46" s="137"/>
      <c r="F46" s="143"/>
      <c r="G46" s="138">
        <v>0.7</v>
      </c>
      <c r="H46" s="132">
        <v>19</v>
      </c>
      <c r="I46" s="132">
        <v>1280</v>
      </c>
      <c r="J46" s="135">
        <v>3.9</v>
      </c>
      <c r="K46" s="78"/>
      <c r="L46" s="126"/>
      <c r="M46" s="127"/>
    </row>
    <row r="47" spans="1:13" s="141" customFormat="1" ht="10.95" customHeight="1" x14ac:dyDescent="0.2">
      <c r="B47" s="56"/>
      <c r="C47" s="136" t="s">
        <v>147</v>
      </c>
      <c r="D47" s="55" t="s">
        <v>148</v>
      </c>
      <c r="E47" s="137"/>
      <c r="F47" s="143"/>
      <c r="G47" s="138">
        <v>1.3</v>
      </c>
      <c r="H47" s="132">
        <v>37</v>
      </c>
      <c r="I47" s="132">
        <v>2720</v>
      </c>
      <c r="J47" s="135">
        <v>2.4</v>
      </c>
      <c r="K47" s="78"/>
      <c r="L47" s="126"/>
      <c r="M47" s="127"/>
    </row>
    <row r="48" spans="1:13" s="55" customFormat="1" ht="3" customHeight="1" x14ac:dyDescent="0.2">
      <c r="B48" s="56"/>
      <c r="C48" s="136"/>
      <c r="E48" s="137"/>
      <c r="F48" s="143"/>
      <c r="G48" s="138"/>
      <c r="H48" s="139"/>
      <c r="I48" s="140"/>
      <c r="J48" s="146"/>
      <c r="K48" s="78"/>
      <c r="L48" s="127"/>
      <c r="M48" s="127"/>
    </row>
    <row r="49" spans="2:13" s="55" customFormat="1" ht="10.95" customHeight="1" x14ac:dyDescent="0.2">
      <c r="B49" s="56" t="s">
        <v>58</v>
      </c>
      <c r="C49" s="136" t="s">
        <v>59</v>
      </c>
      <c r="E49" s="137"/>
      <c r="G49" s="138">
        <v>1.9</v>
      </c>
      <c r="H49" s="132">
        <v>53</v>
      </c>
      <c r="I49" s="132">
        <v>4800</v>
      </c>
      <c r="J49" s="135">
        <v>1.6</v>
      </c>
      <c r="K49" s="78"/>
      <c r="L49" s="126"/>
      <c r="M49" s="127"/>
    </row>
    <row r="50" spans="2:13" s="55" customFormat="1" ht="10.95" customHeight="1" x14ac:dyDescent="0.2">
      <c r="B50" s="56"/>
      <c r="C50" s="56" t="s">
        <v>149</v>
      </c>
      <c r="D50" s="147" t="s">
        <v>150</v>
      </c>
      <c r="E50" s="137"/>
      <c r="F50" s="143"/>
      <c r="G50" s="138">
        <v>0.4</v>
      </c>
      <c r="H50" s="132">
        <v>11</v>
      </c>
      <c r="I50" s="132">
        <v>1290</v>
      </c>
      <c r="J50" s="135">
        <v>3.8</v>
      </c>
      <c r="K50" s="78"/>
      <c r="L50" s="126"/>
      <c r="M50" s="127"/>
    </row>
    <row r="51" spans="2:13" s="55" customFormat="1" ht="10.95" customHeight="1" x14ac:dyDescent="0.2">
      <c r="B51" s="56"/>
      <c r="C51" s="56" t="s">
        <v>151</v>
      </c>
      <c r="D51" s="142" t="s">
        <v>152</v>
      </c>
      <c r="E51" s="137"/>
      <c r="F51" s="143"/>
      <c r="G51" s="138">
        <v>1.4</v>
      </c>
      <c r="H51" s="132">
        <v>39</v>
      </c>
      <c r="I51" s="132">
        <v>4100</v>
      </c>
      <c r="J51" s="135">
        <v>1.9</v>
      </c>
      <c r="K51" s="78"/>
      <c r="L51" s="126"/>
      <c r="M51" s="127"/>
    </row>
    <row r="52" spans="2:13" s="55" customFormat="1" ht="10.95" customHeight="1" x14ac:dyDescent="0.2">
      <c r="B52" s="56"/>
      <c r="C52" s="56" t="s">
        <v>153</v>
      </c>
      <c r="D52" s="144" t="s">
        <v>154</v>
      </c>
      <c r="E52" s="137"/>
      <c r="F52" s="143"/>
      <c r="G52" s="138">
        <v>0.1</v>
      </c>
      <c r="H52" s="132">
        <v>4</v>
      </c>
      <c r="I52" s="132">
        <v>240</v>
      </c>
      <c r="J52" s="135">
        <v>10.199999999999999</v>
      </c>
      <c r="K52" s="78"/>
      <c r="L52" s="126"/>
      <c r="M52" s="127"/>
    </row>
    <row r="53" spans="2:13" s="56" customFormat="1" ht="3" customHeight="1" x14ac:dyDescent="0.2">
      <c r="G53" s="138"/>
      <c r="H53" s="132"/>
      <c r="I53" s="132"/>
      <c r="J53" s="135"/>
      <c r="K53" s="78"/>
      <c r="L53" s="126"/>
      <c r="M53" s="127"/>
    </row>
    <row r="54" spans="2:13" s="149" customFormat="1" ht="10.95" customHeight="1" x14ac:dyDescent="0.2">
      <c r="B54" s="56" t="s">
        <v>60</v>
      </c>
      <c r="C54" s="56" t="s">
        <v>61</v>
      </c>
      <c r="D54" s="148"/>
      <c r="E54" s="55"/>
      <c r="F54" s="55"/>
      <c r="G54" s="138">
        <v>2.2000000000000002</v>
      </c>
      <c r="H54" s="132">
        <v>62</v>
      </c>
      <c r="I54" s="132">
        <v>4170</v>
      </c>
      <c r="J54" s="135">
        <v>1.7</v>
      </c>
      <c r="K54" s="78"/>
      <c r="L54" s="126"/>
      <c r="M54" s="127"/>
    </row>
    <row r="55" spans="2:13" s="55" customFormat="1" ht="10.95" customHeight="1" x14ac:dyDescent="0.2">
      <c r="B55" s="56" t="s">
        <v>62</v>
      </c>
      <c r="C55" s="136" t="s">
        <v>63</v>
      </c>
      <c r="E55" s="143"/>
      <c r="F55" s="142"/>
      <c r="G55" s="138">
        <v>0.7</v>
      </c>
      <c r="H55" s="132">
        <v>21</v>
      </c>
      <c r="I55" s="132">
        <v>3250</v>
      </c>
      <c r="J55" s="135">
        <v>2</v>
      </c>
      <c r="K55" s="78"/>
      <c r="L55" s="126"/>
      <c r="M55" s="127"/>
    </row>
    <row r="56" spans="2:13" s="56" customFormat="1" ht="3" customHeight="1" x14ac:dyDescent="0.2">
      <c r="G56" s="138"/>
      <c r="H56" s="132"/>
      <c r="I56" s="132"/>
      <c r="J56" s="135"/>
      <c r="K56" s="78"/>
      <c r="L56" s="126"/>
      <c r="M56" s="127"/>
    </row>
    <row r="57" spans="2:13" s="149" customFormat="1" ht="10.95" customHeight="1" x14ac:dyDescent="0.2">
      <c r="B57" s="56" t="s">
        <v>64</v>
      </c>
      <c r="C57" s="136" t="s">
        <v>65</v>
      </c>
      <c r="D57" s="55"/>
      <c r="E57" s="137"/>
      <c r="F57" s="142"/>
      <c r="G57" s="138">
        <v>2.5</v>
      </c>
      <c r="H57" s="132">
        <v>71</v>
      </c>
      <c r="I57" s="132">
        <v>4540</v>
      </c>
      <c r="J57" s="135">
        <v>1.6</v>
      </c>
      <c r="K57" s="78"/>
      <c r="L57" s="126"/>
      <c r="M57" s="127"/>
    </row>
    <row r="58" spans="2:13" s="55" customFormat="1" ht="10.95" customHeight="1" x14ac:dyDescent="0.2">
      <c r="B58" s="56"/>
      <c r="C58" s="136" t="s">
        <v>155</v>
      </c>
      <c r="D58" s="55" t="s">
        <v>65</v>
      </c>
      <c r="E58" s="137"/>
      <c r="G58" s="138">
        <v>1.3</v>
      </c>
      <c r="H58" s="132">
        <v>37</v>
      </c>
      <c r="I58" s="132">
        <v>3520</v>
      </c>
      <c r="J58" s="135">
        <v>2.1</v>
      </c>
      <c r="K58" s="78"/>
      <c r="L58" s="126"/>
      <c r="M58" s="127"/>
    </row>
    <row r="59" spans="2:13" s="55" customFormat="1" ht="10.95" customHeight="1" x14ac:dyDescent="0.2">
      <c r="B59" s="56"/>
      <c r="C59" s="136" t="s">
        <v>156</v>
      </c>
      <c r="D59" s="55" t="s">
        <v>157</v>
      </c>
      <c r="E59" s="137"/>
      <c r="G59" s="138">
        <v>1.2</v>
      </c>
      <c r="H59" s="132">
        <v>34</v>
      </c>
      <c r="I59" s="132">
        <v>3360</v>
      </c>
      <c r="J59" s="135">
        <v>2</v>
      </c>
      <c r="K59" s="78"/>
      <c r="L59" s="126"/>
      <c r="M59" s="127"/>
    </row>
    <row r="60" spans="2:13" s="55" customFormat="1" ht="3" customHeight="1" x14ac:dyDescent="0.2">
      <c r="B60" s="56"/>
      <c r="C60" s="136"/>
      <c r="E60" s="137"/>
      <c r="G60" s="138"/>
      <c r="H60" s="139"/>
      <c r="I60" s="140"/>
      <c r="J60" s="135"/>
      <c r="K60" s="78"/>
      <c r="L60" s="127"/>
      <c r="M60" s="127"/>
    </row>
    <row r="61" spans="2:13" s="55" customFormat="1" ht="10.95" customHeight="1" x14ac:dyDescent="0.2">
      <c r="B61" s="56" t="s">
        <v>66</v>
      </c>
      <c r="C61" s="136" t="s">
        <v>67</v>
      </c>
      <c r="E61" s="137"/>
      <c r="G61" s="138">
        <v>0.5</v>
      </c>
      <c r="H61" s="132">
        <v>13</v>
      </c>
      <c r="I61" s="132">
        <v>1680</v>
      </c>
      <c r="J61" s="135">
        <v>3.3</v>
      </c>
      <c r="K61" s="78"/>
      <c r="L61" s="126"/>
      <c r="M61" s="127"/>
    </row>
    <row r="62" spans="2:13" s="55" customFormat="1" ht="10.95" customHeight="1" x14ac:dyDescent="0.2">
      <c r="B62" s="56" t="s">
        <v>68</v>
      </c>
      <c r="C62" s="136" t="s">
        <v>69</v>
      </c>
      <c r="E62" s="137"/>
      <c r="G62" s="138">
        <v>0.6</v>
      </c>
      <c r="H62" s="132">
        <v>17</v>
      </c>
      <c r="I62" s="132">
        <v>2280</v>
      </c>
      <c r="J62" s="135">
        <v>2.2999999999999998</v>
      </c>
      <c r="K62" s="78"/>
      <c r="L62" s="126"/>
      <c r="M62" s="127"/>
    </row>
    <row r="63" spans="2:13" s="56" customFormat="1" ht="3" customHeight="1" x14ac:dyDescent="0.2">
      <c r="G63" s="138"/>
      <c r="H63" s="132"/>
      <c r="I63" s="132"/>
      <c r="J63" s="135"/>
      <c r="K63" s="78"/>
      <c r="L63" s="126"/>
      <c r="M63" s="127"/>
    </row>
    <row r="64" spans="2:13" s="55" customFormat="1" ht="10.95" customHeight="1" x14ac:dyDescent="0.2">
      <c r="B64" s="56" t="s">
        <v>70</v>
      </c>
      <c r="C64" s="136" t="s">
        <v>71</v>
      </c>
      <c r="E64" s="137"/>
      <c r="G64" s="138">
        <v>0.3</v>
      </c>
      <c r="H64" s="132">
        <v>9</v>
      </c>
      <c r="I64" s="132">
        <v>1160</v>
      </c>
      <c r="J64" s="135">
        <v>4.3</v>
      </c>
      <c r="K64" s="78"/>
      <c r="L64" s="126"/>
      <c r="M64" s="127"/>
    </row>
    <row r="65" spans="2:13" s="55" customFormat="1" ht="10.95" customHeight="1" x14ac:dyDescent="0.2">
      <c r="B65" s="56"/>
      <c r="C65" s="136" t="s">
        <v>158</v>
      </c>
      <c r="D65" s="55" t="s">
        <v>159</v>
      </c>
      <c r="E65" s="137"/>
      <c r="G65" s="138">
        <v>0.1</v>
      </c>
      <c r="H65" s="132">
        <v>4</v>
      </c>
      <c r="I65" s="132">
        <v>480</v>
      </c>
      <c r="J65" s="135">
        <v>5.6</v>
      </c>
      <c r="K65" s="78"/>
      <c r="L65" s="126"/>
      <c r="M65" s="127"/>
    </row>
    <row r="66" spans="2:13" s="55" customFormat="1" ht="10.95" customHeight="1" x14ac:dyDescent="0.2">
      <c r="B66" s="56"/>
      <c r="C66" s="136" t="s">
        <v>160</v>
      </c>
      <c r="D66" s="55" t="s">
        <v>161</v>
      </c>
      <c r="E66" s="137"/>
      <c r="G66" s="138">
        <v>0.2</v>
      </c>
      <c r="H66" s="132">
        <v>5</v>
      </c>
      <c r="I66" s="132">
        <v>790</v>
      </c>
      <c r="J66" s="135">
        <v>5.8</v>
      </c>
      <c r="K66" s="78"/>
      <c r="L66" s="126"/>
      <c r="M66" s="127"/>
    </row>
    <row r="67" spans="2:13" s="55" customFormat="1" ht="3" customHeight="1" x14ac:dyDescent="0.2">
      <c r="B67" s="56"/>
      <c r="C67" s="136"/>
      <c r="E67" s="137"/>
      <c r="G67" s="138"/>
      <c r="H67" s="139"/>
      <c r="I67" s="140"/>
      <c r="J67" s="135"/>
      <c r="K67" s="78"/>
      <c r="L67" s="127"/>
      <c r="M67" s="127"/>
    </row>
    <row r="68" spans="2:13" s="55" customFormat="1" ht="10.95" customHeight="1" x14ac:dyDescent="0.2">
      <c r="B68" s="56" t="s">
        <v>72</v>
      </c>
      <c r="C68" s="56" t="s">
        <v>73</v>
      </c>
      <c r="E68" s="137"/>
      <c r="G68" s="138">
        <v>3.8</v>
      </c>
      <c r="H68" s="132">
        <v>109</v>
      </c>
      <c r="I68" s="132">
        <v>4890</v>
      </c>
      <c r="J68" s="135">
        <v>1.5</v>
      </c>
      <c r="K68" s="78"/>
      <c r="L68" s="126"/>
      <c r="M68" s="127"/>
    </row>
    <row r="69" spans="2:13" s="55" customFormat="1" ht="10.95" customHeight="1" x14ac:dyDescent="0.2">
      <c r="B69" s="56"/>
      <c r="C69" s="56" t="s">
        <v>162</v>
      </c>
      <c r="D69" s="142" t="s">
        <v>163</v>
      </c>
      <c r="E69" s="137"/>
      <c r="F69" s="143"/>
      <c r="G69" s="138">
        <v>0.6</v>
      </c>
      <c r="H69" s="132">
        <v>17</v>
      </c>
      <c r="I69" s="132">
        <v>2760</v>
      </c>
      <c r="J69" s="135">
        <v>2.4</v>
      </c>
      <c r="K69" s="78"/>
      <c r="L69" s="126"/>
      <c r="M69" s="127"/>
    </row>
    <row r="70" spans="2:13" s="55" customFormat="1" ht="10.95" customHeight="1" x14ac:dyDescent="0.2">
      <c r="B70" s="56"/>
      <c r="C70" s="56" t="s">
        <v>164</v>
      </c>
      <c r="D70" s="144" t="s">
        <v>165</v>
      </c>
      <c r="E70" s="137"/>
      <c r="F70" s="143"/>
      <c r="G70" s="138">
        <v>0.4</v>
      </c>
      <c r="H70" s="132">
        <v>13</v>
      </c>
      <c r="I70" s="132">
        <v>3440</v>
      </c>
      <c r="J70" s="135">
        <v>1.9</v>
      </c>
      <c r="K70" s="78"/>
      <c r="L70" s="126"/>
      <c r="M70" s="127"/>
    </row>
    <row r="71" spans="2:13" s="55" customFormat="1" ht="10.95" customHeight="1" x14ac:dyDescent="0.2">
      <c r="B71" s="56"/>
      <c r="C71" s="56" t="s">
        <v>166</v>
      </c>
      <c r="D71" s="55" t="s">
        <v>167</v>
      </c>
      <c r="E71" s="137"/>
      <c r="F71" s="144"/>
      <c r="G71" s="138">
        <v>0.5</v>
      </c>
      <c r="H71" s="132">
        <v>16</v>
      </c>
      <c r="I71" s="132">
        <v>2370</v>
      </c>
      <c r="J71" s="135">
        <v>2.5</v>
      </c>
      <c r="K71" s="78"/>
      <c r="L71" s="126"/>
      <c r="M71" s="127"/>
    </row>
    <row r="72" spans="2:13" s="55" customFormat="1" ht="10.95" customHeight="1" x14ac:dyDescent="0.2">
      <c r="B72" s="56"/>
      <c r="C72" s="56" t="s">
        <v>168</v>
      </c>
      <c r="D72" s="55" t="s">
        <v>169</v>
      </c>
      <c r="E72" s="137"/>
      <c r="F72" s="144"/>
      <c r="G72" s="138">
        <v>0.1</v>
      </c>
      <c r="H72" s="132">
        <v>4</v>
      </c>
      <c r="I72" s="132">
        <v>830</v>
      </c>
      <c r="J72" s="135">
        <v>4.5</v>
      </c>
      <c r="K72" s="78"/>
      <c r="L72" s="126"/>
      <c r="M72" s="127"/>
    </row>
    <row r="73" spans="2:13" s="55" customFormat="1" ht="10.95" customHeight="1" x14ac:dyDescent="0.2">
      <c r="B73" s="56"/>
      <c r="C73" s="56" t="s">
        <v>170</v>
      </c>
      <c r="D73" s="144" t="s">
        <v>171</v>
      </c>
      <c r="E73" s="137"/>
      <c r="F73" s="144" t="s">
        <v>124</v>
      </c>
      <c r="G73" s="138">
        <v>0.5</v>
      </c>
      <c r="H73" s="132">
        <v>15</v>
      </c>
      <c r="I73" s="132">
        <v>2050</v>
      </c>
      <c r="J73" s="135">
        <v>3.1</v>
      </c>
      <c r="K73" s="78"/>
      <c r="L73" s="126"/>
      <c r="M73" s="127"/>
    </row>
    <row r="74" spans="2:13" s="55" customFormat="1" ht="10.95" customHeight="1" x14ac:dyDescent="0.2">
      <c r="B74" s="56"/>
      <c r="C74" s="56" t="s">
        <v>172</v>
      </c>
      <c r="D74" s="144" t="s">
        <v>173</v>
      </c>
      <c r="E74" s="137"/>
      <c r="F74" s="144" t="s">
        <v>124</v>
      </c>
      <c r="G74" s="138">
        <v>1.6</v>
      </c>
      <c r="H74" s="132">
        <v>45</v>
      </c>
      <c r="I74" s="132">
        <v>3350</v>
      </c>
      <c r="J74" s="135">
        <v>1.9</v>
      </c>
      <c r="K74" s="78"/>
      <c r="L74" s="126"/>
      <c r="M74" s="127"/>
    </row>
    <row r="75" spans="2:13" s="56" customFormat="1" ht="3" customHeight="1" x14ac:dyDescent="0.2">
      <c r="G75" s="138"/>
      <c r="H75" s="132"/>
      <c r="I75" s="132"/>
      <c r="J75" s="135"/>
      <c r="K75" s="78"/>
      <c r="L75" s="126"/>
      <c r="M75" s="127"/>
    </row>
    <row r="76" spans="2:13" s="55" customFormat="1" ht="10.95" customHeight="1" x14ac:dyDescent="0.2">
      <c r="B76" s="56" t="s">
        <v>74</v>
      </c>
      <c r="C76" s="56" t="s">
        <v>75</v>
      </c>
      <c r="D76" s="142"/>
      <c r="E76" s="137"/>
      <c r="F76" s="143"/>
      <c r="G76" s="138">
        <v>0.5</v>
      </c>
      <c r="H76" s="132">
        <v>13</v>
      </c>
      <c r="I76" s="132">
        <v>1870</v>
      </c>
      <c r="J76" s="135">
        <v>3.1</v>
      </c>
      <c r="K76" s="78"/>
      <c r="L76" s="126"/>
      <c r="M76" s="127"/>
    </row>
    <row r="77" spans="2:13" s="55" customFormat="1" ht="10.95" customHeight="1" x14ac:dyDescent="0.2">
      <c r="B77" s="56" t="s">
        <v>76</v>
      </c>
      <c r="C77" s="136" t="s">
        <v>77</v>
      </c>
      <c r="E77" s="137"/>
      <c r="F77" s="142"/>
      <c r="G77" s="138">
        <v>0.9</v>
      </c>
      <c r="H77" s="132">
        <v>25</v>
      </c>
      <c r="I77" s="132">
        <v>2130</v>
      </c>
      <c r="J77" s="135">
        <v>3</v>
      </c>
      <c r="K77" s="78"/>
      <c r="L77" s="126"/>
      <c r="M77" s="127"/>
    </row>
    <row r="78" spans="2:13" s="55" customFormat="1" ht="10.95" customHeight="1" x14ac:dyDescent="0.2">
      <c r="B78" s="56" t="s">
        <v>78</v>
      </c>
      <c r="C78" s="136" t="s">
        <v>79</v>
      </c>
      <c r="E78" s="137"/>
      <c r="F78" s="142"/>
      <c r="G78" s="138">
        <v>0.1</v>
      </c>
      <c r="H78" s="132">
        <v>4</v>
      </c>
      <c r="I78" s="132">
        <v>840</v>
      </c>
      <c r="J78" s="135">
        <v>4.9000000000000004</v>
      </c>
      <c r="K78" s="78"/>
      <c r="L78" s="126"/>
      <c r="M78" s="127"/>
    </row>
    <row r="79" spans="2:13" s="56" customFormat="1" ht="3" customHeight="1" x14ac:dyDescent="0.2">
      <c r="G79" s="138"/>
      <c r="H79" s="139"/>
      <c r="I79" s="140"/>
      <c r="J79" s="135"/>
      <c r="K79" s="78"/>
      <c r="L79" s="127"/>
      <c r="M79" s="127"/>
    </row>
    <row r="80" spans="2:13" s="56" customFormat="1" ht="10.95" customHeight="1" x14ac:dyDescent="0.2">
      <c r="B80" s="56" t="s">
        <v>80</v>
      </c>
      <c r="C80" s="56" t="s">
        <v>81</v>
      </c>
      <c r="D80" s="55"/>
      <c r="E80" s="137"/>
      <c r="F80" s="142"/>
      <c r="G80" s="138">
        <v>4.2</v>
      </c>
      <c r="H80" s="132">
        <v>120</v>
      </c>
      <c r="I80" s="132">
        <v>5110</v>
      </c>
      <c r="J80" s="135">
        <v>1.6</v>
      </c>
      <c r="K80" s="78"/>
      <c r="L80" s="126"/>
      <c r="M80" s="127"/>
    </row>
    <row r="81" spans="1:13" ht="10.95" customHeight="1" x14ac:dyDescent="0.25">
      <c r="A81" s="106"/>
      <c r="B81" s="56"/>
      <c r="C81" s="56" t="s">
        <v>174</v>
      </c>
      <c r="D81" s="55" t="s">
        <v>175</v>
      </c>
      <c r="E81" s="137"/>
      <c r="F81" s="142"/>
      <c r="G81" s="138">
        <v>1</v>
      </c>
      <c r="H81" s="132">
        <v>28</v>
      </c>
      <c r="I81" s="132">
        <v>3730</v>
      </c>
      <c r="J81" s="135">
        <v>2.1</v>
      </c>
      <c r="K81" s="78"/>
      <c r="M81" s="127"/>
    </row>
    <row r="82" spans="1:13" ht="10.95" customHeight="1" x14ac:dyDescent="0.25">
      <c r="A82" s="106"/>
      <c r="B82" s="56"/>
      <c r="C82" s="56" t="s">
        <v>176</v>
      </c>
      <c r="D82" s="55" t="s">
        <v>177</v>
      </c>
      <c r="E82" s="137"/>
      <c r="F82" s="142"/>
      <c r="G82" s="138">
        <v>0.4</v>
      </c>
      <c r="H82" s="132">
        <v>11</v>
      </c>
      <c r="I82" s="132">
        <v>2570</v>
      </c>
      <c r="J82" s="135">
        <v>2.6</v>
      </c>
      <c r="K82" s="78"/>
      <c r="M82" s="127"/>
    </row>
    <row r="83" spans="1:13" ht="10.95" customHeight="1" x14ac:dyDescent="0.25">
      <c r="A83" s="106"/>
      <c r="B83" s="56"/>
      <c r="C83" s="56" t="s">
        <v>178</v>
      </c>
      <c r="D83" s="55" t="s">
        <v>179</v>
      </c>
      <c r="E83" s="137"/>
      <c r="F83" s="142"/>
      <c r="G83" s="138">
        <v>1.5</v>
      </c>
      <c r="H83" s="132">
        <v>43</v>
      </c>
      <c r="I83" s="132">
        <v>4340</v>
      </c>
      <c r="J83" s="135">
        <v>1.9</v>
      </c>
      <c r="K83" s="78"/>
      <c r="M83" s="127"/>
    </row>
    <row r="84" spans="1:13" ht="10.95" customHeight="1" x14ac:dyDescent="0.25">
      <c r="A84" s="106"/>
      <c r="B84" s="56"/>
      <c r="C84" s="56" t="s">
        <v>180</v>
      </c>
      <c r="D84" s="55" t="s">
        <v>181</v>
      </c>
      <c r="E84" s="137"/>
      <c r="F84" s="142"/>
      <c r="G84" s="138">
        <v>1.3</v>
      </c>
      <c r="H84" s="132">
        <v>38</v>
      </c>
      <c r="I84" s="132">
        <v>4480</v>
      </c>
      <c r="J84" s="135">
        <v>2.2999999999999998</v>
      </c>
      <c r="K84" s="78"/>
      <c r="M84" s="127"/>
    </row>
    <row r="85" spans="1:13" ht="4.2" customHeight="1" x14ac:dyDescent="0.25">
      <c r="A85" s="571"/>
      <c r="B85" s="555"/>
      <c r="C85" s="555"/>
      <c r="D85" s="557"/>
      <c r="E85" s="577"/>
      <c r="F85" s="578"/>
      <c r="G85" s="579"/>
      <c r="H85" s="580"/>
      <c r="I85" s="581"/>
      <c r="J85" s="582"/>
      <c r="K85" s="156"/>
      <c r="L85" s="65"/>
    </row>
    <row r="86" spans="1:13" ht="4.2" customHeight="1" x14ac:dyDescent="0.25">
      <c r="A86" s="106"/>
      <c r="B86" s="56"/>
      <c r="C86" s="56"/>
      <c r="D86" s="55"/>
      <c r="E86" s="137"/>
      <c r="F86" s="142"/>
      <c r="G86" s="138"/>
      <c r="H86" s="139"/>
      <c r="I86" s="140"/>
      <c r="J86" s="135"/>
      <c r="L86" s="65"/>
    </row>
    <row r="87" spans="1:13" ht="10.95" customHeight="1" x14ac:dyDescent="0.2">
      <c r="A87" s="157" t="s">
        <v>111</v>
      </c>
      <c r="B87" s="56"/>
      <c r="C87" s="56"/>
      <c r="D87" s="55"/>
      <c r="E87" s="137"/>
      <c r="F87" s="142"/>
      <c r="G87" s="138"/>
      <c r="H87" s="139"/>
      <c r="I87" s="140"/>
      <c r="J87" s="135"/>
      <c r="L87" s="65"/>
    </row>
    <row r="88" spans="1:13" ht="10.95" customHeight="1" x14ac:dyDescent="0.2">
      <c r="A88" s="157" t="s">
        <v>182</v>
      </c>
      <c r="B88" s="56"/>
      <c r="C88" s="56"/>
      <c r="D88" s="55"/>
      <c r="E88" s="137"/>
      <c r="F88" s="142"/>
      <c r="G88" s="138"/>
      <c r="H88" s="139"/>
      <c r="I88" s="140"/>
      <c r="J88" s="135"/>
      <c r="L88" s="65"/>
    </row>
    <row r="89" spans="1:13" ht="10.95" customHeight="1" x14ac:dyDescent="0.2">
      <c r="A89" s="157" t="s">
        <v>112</v>
      </c>
      <c r="B89" s="56"/>
      <c r="C89" s="56"/>
      <c r="D89" s="55"/>
      <c r="E89" s="137"/>
      <c r="F89" s="142"/>
      <c r="G89" s="138"/>
      <c r="H89" s="139"/>
      <c r="I89" s="140"/>
      <c r="J89" s="135"/>
      <c r="L89" s="65"/>
    </row>
    <row r="90" spans="1:13" ht="10.95" customHeight="1" x14ac:dyDescent="0.25">
      <c r="A90" s="106"/>
      <c r="B90" s="56"/>
      <c r="C90" s="56"/>
      <c r="D90" s="55"/>
      <c r="E90" s="137"/>
      <c r="F90" s="142"/>
      <c r="G90" s="138"/>
      <c r="H90" s="139"/>
      <c r="I90" s="140"/>
      <c r="J90" s="135"/>
      <c r="L90" s="65"/>
    </row>
    <row r="91" spans="1:13" ht="10.95" customHeight="1" x14ac:dyDescent="0.25">
      <c r="A91" s="158"/>
      <c r="B91" s="81"/>
      <c r="C91" s="106"/>
      <c r="D91" s="106"/>
      <c r="E91" s="106"/>
      <c r="F91" s="106"/>
      <c r="G91" s="138"/>
      <c r="H91" s="132"/>
      <c r="I91" s="133"/>
      <c r="J91" s="134"/>
      <c r="L91" s="65"/>
    </row>
    <row r="92" spans="1:13" ht="10.95" customHeight="1" x14ac:dyDescent="0.25">
      <c r="A92" s="158"/>
      <c r="B92" s="81"/>
      <c r="C92" s="106"/>
      <c r="D92" s="106"/>
      <c r="E92" s="106"/>
      <c r="F92" s="106"/>
      <c r="G92" s="138"/>
      <c r="H92" s="132"/>
      <c r="I92" s="133"/>
      <c r="J92" s="134"/>
      <c r="L92" s="65"/>
    </row>
    <row r="93" spans="1:13" ht="10.95" customHeight="1" x14ac:dyDescent="0.25">
      <c r="A93" s="106"/>
      <c r="B93" s="81"/>
      <c r="C93" s="106"/>
      <c r="D93" s="106"/>
      <c r="E93" s="106"/>
      <c r="F93" s="106"/>
      <c r="G93" s="138"/>
      <c r="H93" s="132"/>
      <c r="I93" s="133"/>
      <c r="J93" s="134"/>
      <c r="L93" s="65"/>
    </row>
    <row r="94" spans="1:13" ht="15.75" customHeight="1" x14ac:dyDescent="0.25">
      <c r="A94" s="159" t="s">
        <v>114</v>
      </c>
      <c r="B94" s="81"/>
      <c r="C94" s="106"/>
      <c r="D94" s="106"/>
      <c r="E94" s="106"/>
      <c r="F94" s="106"/>
      <c r="G94" s="138"/>
      <c r="H94" s="132"/>
      <c r="I94" s="133"/>
      <c r="J94" s="134"/>
      <c r="L94" s="65"/>
    </row>
    <row r="95" spans="1:13" s="31" customFormat="1" ht="20.25" customHeight="1" x14ac:dyDescent="0.3">
      <c r="A95" s="160" t="s">
        <v>183</v>
      </c>
      <c r="B95" s="161"/>
      <c r="D95" s="162"/>
      <c r="E95" s="162"/>
      <c r="F95" s="163"/>
      <c r="G95" s="175"/>
      <c r="H95" s="165"/>
      <c r="I95" s="166"/>
      <c r="J95" s="167"/>
      <c r="K95" s="37"/>
      <c r="L95" s="65"/>
    </row>
    <row r="96" spans="1:13" s="31" customFormat="1" ht="15.75" customHeight="1" x14ac:dyDescent="0.25">
      <c r="A96" s="41" t="s">
        <v>1359</v>
      </c>
      <c r="B96" s="168"/>
      <c r="C96" s="43"/>
      <c r="D96" s="169"/>
      <c r="E96" s="162"/>
      <c r="F96" s="163"/>
      <c r="G96" s="175"/>
      <c r="H96" s="165"/>
      <c r="I96" s="166"/>
      <c r="J96" s="170"/>
      <c r="K96" s="37"/>
      <c r="L96" s="65"/>
    </row>
    <row r="97" spans="1:14" ht="4.2" customHeight="1" x14ac:dyDescent="0.2">
      <c r="A97" s="564"/>
      <c r="B97" s="564"/>
      <c r="C97" s="565"/>
      <c r="D97" s="566"/>
      <c r="E97" s="566"/>
      <c r="F97" s="566"/>
      <c r="G97" s="567"/>
      <c r="H97" s="572"/>
      <c r="I97" s="573"/>
      <c r="J97" s="570"/>
      <c r="L97" s="65"/>
    </row>
    <row r="98" spans="1:14" s="55" customFormat="1" ht="4.2" customHeight="1" x14ac:dyDescent="0.2">
      <c r="A98" s="81"/>
      <c r="B98" s="81"/>
      <c r="D98" s="84"/>
      <c r="E98" s="84"/>
      <c r="F98" s="84"/>
      <c r="G98" s="85"/>
      <c r="H98" s="108"/>
      <c r="I98" s="109"/>
      <c r="J98" s="171"/>
      <c r="K98" s="53"/>
      <c r="L98" s="65"/>
    </row>
    <row r="99" spans="1:14" s="180" customFormat="1" ht="10.95" customHeight="1" x14ac:dyDescent="0.15">
      <c r="A99" s="172"/>
      <c r="B99" s="172"/>
      <c r="C99" s="173"/>
      <c r="D99" s="174"/>
      <c r="E99" s="174"/>
      <c r="F99" s="59"/>
      <c r="G99" s="60" t="s">
        <v>116</v>
      </c>
      <c r="H99" s="61" t="s">
        <v>25</v>
      </c>
      <c r="I99" s="62" t="s">
        <v>26</v>
      </c>
      <c r="J99" s="63" t="s">
        <v>117</v>
      </c>
      <c r="K99" s="179"/>
      <c r="L99" s="65"/>
    </row>
    <row r="100" spans="1:14" s="180" customFormat="1" ht="10.95" customHeight="1" x14ac:dyDescent="0.15">
      <c r="A100" s="172"/>
      <c r="B100" s="172"/>
      <c r="C100" s="181"/>
      <c r="D100" s="174"/>
      <c r="E100" s="174"/>
      <c r="F100" s="59"/>
      <c r="G100" s="67" t="s">
        <v>29</v>
      </c>
      <c r="H100" s="61" t="s">
        <v>27</v>
      </c>
      <c r="I100" s="62" t="s">
        <v>28</v>
      </c>
      <c r="J100" s="63" t="s">
        <v>118</v>
      </c>
      <c r="K100" s="179"/>
      <c r="L100" s="65"/>
    </row>
    <row r="101" spans="1:14" s="180" customFormat="1" ht="10.95" customHeight="1" x14ac:dyDescent="0.15">
      <c r="A101" s="172"/>
      <c r="B101" s="172"/>
      <c r="C101" s="181"/>
      <c r="D101" s="174"/>
      <c r="E101" s="174"/>
      <c r="F101" s="59"/>
      <c r="G101" s="60" t="s">
        <v>31</v>
      </c>
      <c r="H101" s="61" t="s">
        <v>29</v>
      </c>
      <c r="I101" s="62" t="s">
        <v>30</v>
      </c>
      <c r="J101" s="69" t="s">
        <v>119</v>
      </c>
      <c r="K101" s="179"/>
      <c r="L101" s="65"/>
    </row>
    <row r="102" spans="1:14" s="180" customFormat="1" ht="10.95" customHeight="1" x14ac:dyDescent="0.15">
      <c r="A102" s="172"/>
      <c r="B102" s="172"/>
      <c r="C102" s="181"/>
      <c r="D102" s="174"/>
      <c r="E102" s="174"/>
      <c r="F102" s="59"/>
      <c r="G102" s="67" t="s">
        <v>32</v>
      </c>
      <c r="H102" s="61" t="s">
        <v>33</v>
      </c>
      <c r="I102" s="62" t="s">
        <v>120</v>
      </c>
      <c r="J102" s="70" t="s">
        <v>121</v>
      </c>
      <c r="K102" s="179"/>
      <c r="L102" s="65"/>
    </row>
    <row r="103" spans="1:14" ht="4.2" customHeight="1" x14ac:dyDescent="0.2">
      <c r="A103" s="564"/>
      <c r="B103" s="564"/>
      <c r="C103" s="565"/>
      <c r="D103" s="566"/>
      <c r="E103" s="566"/>
      <c r="F103" s="566"/>
      <c r="G103" s="567"/>
      <c r="H103" s="572"/>
      <c r="I103" s="573"/>
      <c r="J103" s="566"/>
      <c r="L103" s="65"/>
    </row>
    <row r="104" spans="1:14" ht="4.2" customHeight="1" x14ac:dyDescent="0.2">
      <c r="B104" s="81"/>
      <c r="C104" s="82"/>
      <c r="D104" s="83"/>
      <c r="E104" s="83"/>
      <c r="F104" s="84"/>
      <c r="H104" s="86"/>
      <c r="I104" s="87"/>
      <c r="J104" s="83"/>
      <c r="L104" s="65"/>
    </row>
    <row r="105" spans="1:14" s="93" customFormat="1" ht="10.95" customHeight="1" x14ac:dyDescent="0.2">
      <c r="A105" s="111" t="s">
        <v>123</v>
      </c>
      <c r="B105" s="112"/>
      <c r="C105" s="113"/>
      <c r="F105" s="114" t="s">
        <v>124</v>
      </c>
      <c r="G105" s="575"/>
      <c r="H105" s="116"/>
      <c r="I105" s="117"/>
      <c r="K105" s="53"/>
      <c r="L105" s="185"/>
    </row>
    <row r="106" spans="1:14" s="128" customFormat="1" ht="4.2" customHeight="1" x14ac:dyDescent="0.2">
      <c r="A106" s="186"/>
      <c r="B106" s="186"/>
      <c r="C106" s="187"/>
      <c r="D106" s="79"/>
      <c r="E106" s="79"/>
      <c r="G106" s="85"/>
      <c r="H106" s="108"/>
      <c r="I106" s="109"/>
      <c r="J106" s="110"/>
      <c r="K106" s="53"/>
      <c r="L106" s="65"/>
    </row>
    <row r="107" spans="1:14" s="192" customFormat="1" ht="12.75" customHeight="1" x14ac:dyDescent="0.25">
      <c r="A107" s="188">
        <v>1</v>
      </c>
      <c r="B107" s="189" t="s">
        <v>184</v>
      </c>
      <c r="C107" s="190"/>
      <c r="D107" s="191"/>
      <c r="E107" s="191"/>
      <c r="F107" s="106"/>
      <c r="G107" s="138"/>
      <c r="H107" s="132"/>
      <c r="I107" s="133"/>
      <c r="J107" s="134"/>
      <c r="K107" s="53"/>
      <c r="L107" s="65"/>
    </row>
    <row r="108" spans="1:14" s="192" customFormat="1" ht="6" customHeight="1" x14ac:dyDescent="0.25">
      <c r="A108" s="186"/>
      <c r="B108" s="193"/>
      <c r="C108" s="106"/>
      <c r="D108" s="130"/>
      <c r="E108" s="130"/>
      <c r="F108" s="106"/>
      <c r="G108" s="138"/>
      <c r="H108" s="132"/>
      <c r="I108" s="133"/>
      <c r="J108" s="134"/>
      <c r="K108" s="53"/>
      <c r="L108" s="65"/>
    </row>
    <row r="109" spans="1:14" s="55" customFormat="1" ht="10.95" customHeight="1" x14ac:dyDescent="0.2">
      <c r="B109" s="56" t="s">
        <v>82</v>
      </c>
      <c r="C109" s="56" t="s">
        <v>185</v>
      </c>
      <c r="E109" s="137"/>
      <c r="F109" s="142"/>
      <c r="G109" s="138">
        <v>0.1</v>
      </c>
      <c r="H109" s="132">
        <v>2</v>
      </c>
      <c r="I109" s="132">
        <v>280</v>
      </c>
      <c r="J109" s="135">
        <v>17</v>
      </c>
      <c r="K109" s="78"/>
      <c r="L109" s="78"/>
      <c r="M109" s="194"/>
      <c r="N109" s="194"/>
    </row>
    <row r="110" spans="1:14" s="55" customFormat="1" ht="10.95" customHeight="1" x14ac:dyDescent="0.2">
      <c r="B110" s="56" t="s">
        <v>83</v>
      </c>
      <c r="C110" s="56" t="s">
        <v>186</v>
      </c>
      <c r="E110" s="137"/>
      <c r="F110" s="142"/>
      <c r="G110" s="138">
        <v>2</v>
      </c>
      <c r="H110" s="132">
        <v>56</v>
      </c>
      <c r="I110" s="132">
        <v>4320</v>
      </c>
      <c r="J110" s="135">
        <v>2.2999999999999998</v>
      </c>
      <c r="K110" s="78"/>
      <c r="L110" s="78"/>
      <c r="M110" s="194"/>
      <c r="N110" s="194"/>
    </row>
    <row r="111" spans="1:14" s="55" customFormat="1" ht="10.95" customHeight="1" x14ac:dyDescent="0.2">
      <c r="B111" s="56" t="s">
        <v>85</v>
      </c>
      <c r="C111" s="56" t="s">
        <v>84</v>
      </c>
      <c r="E111" s="137"/>
      <c r="F111" s="142"/>
      <c r="G111" s="138">
        <v>0.6</v>
      </c>
      <c r="H111" s="132">
        <v>16</v>
      </c>
      <c r="I111" s="132">
        <v>3250</v>
      </c>
      <c r="J111" s="135">
        <v>2</v>
      </c>
      <c r="K111" s="78"/>
      <c r="L111" s="78"/>
      <c r="M111" s="194"/>
      <c r="N111" s="194"/>
    </row>
    <row r="112" spans="1:14" s="55" customFormat="1" ht="10.95" customHeight="1" x14ac:dyDescent="0.2">
      <c r="B112" s="56" t="s">
        <v>87</v>
      </c>
      <c r="C112" s="56" t="s">
        <v>86</v>
      </c>
      <c r="E112" s="137"/>
      <c r="F112" s="142"/>
      <c r="G112" s="138">
        <v>1.9</v>
      </c>
      <c r="H112" s="132">
        <v>55</v>
      </c>
      <c r="I112" s="132">
        <v>4210</v>
      </c>
      <c r="J112" s="135">
        <v>1.6</v>
      </c>
      <c r="K112" s="78"/>
      <c r="L112" s="78"/>
      <c r="M112" s="194"/>
      <c r="N112" s="194"/>
    </row>
    <row r="113" spans="1:14" s="55" customFormat="1" ht="3" customHeight="1" x14ac:dyDescent="0.2">
      <c r="B113" s="56"/>
      <c r="C113" s="56"/>
      <c r="E113" s="137"/>
      <c r="F113" s="142"/>
      <c r="G113" s="138"/>
      <c r="H113" s="139"/>
      <c r="I113" s="140"/>
      <c r="J113" s="135"/>
      <c r="K113" s="78"/>
      <c r="L113" s="78"/>
      <c r="M113" s="194"/>
      <c r="N113" s="194"/>
    </row>
    <row r="114" spans="1:14" s="55" customFormat="1" ht="10.95" customHeight="1" x14ac:dyDescent="0.2">
      <c r="B114" s="56" t="s">
        <v>89</v>
      </c>
      <c r="C114" s="56" t="s">
        <v>88</v>
      </c>
      <c r="D114" s="56"/>
      <c r="E114" s="137"/>
      <c r="F114" s="142"/>
      <c r="G114" s="138">
        <v>0.4</v>
      </c>
      <c r="H114" s="132">
        <v>11</v>
      </c>
      <c r="I114" s="132">
        <v>1670</v>
      </c>
      <c r="J114" s="135">
        <v>3.5</v>
      </c>
      <c r="K114" s="78"/>
      <c r="L114" s="78"/>
      <c r="M114" s="194"/>
      <c r="N114" s="194"/>
    </row>
    <row r="115" spans="1:14" s="56" customFormat="1" ht="10.95" customHeight="1" x14ac:dyDescent="0.2">
      <c r="C115" s="56" t="s">
        <v>187</v>
      </c>
      <c r="D115" s="56" t="s">
        <v>188</v>
      </c>
      <c r="G115" s="138">
        <v>0.2</v>
      </c>
      <c r="H115" s="132">
        <v>5</v>
      </c>
      <c r="I115" s="132">
        <v>1200</v>
      </c>
      <c r="J115" s="135">
        <v>4.3</v>
      </c>
      <c r="K115" s="78"/>
      <c r="L115" s="78"/>
      <c r="M115" s="194"/>
      <c r="N115" s="194"/>
    </row>
    <row r="116" spans="1:14" s="56" customFormat="1" ht="10.95" customHeight="1" x14ac:dyDescent="0.2">
      <c r="C116" s="56" t="s">
        <v>189</v>
      </c>
      <c r="D116" s="56" t="s">
        <v>190</v>
      </c>
      <c r="G116" s="138">
        <v>0.2</v>
      </c>
      <c r="H116" s="132">
        <v>5</v>
      </c>
      <c r="I116" s="132">
        <v>680</v>
      </c>
      <c r="J116" s="135">
        <v>5.4</v>
      </c>
      <c r="K116" s="78"/>
      <c r="L116" s="78"/>
      <c r="M116" s="194"/>
      <c r="N116" s="194"/>
    </row>
    <row r="117" spans="1:14" s="55" customFormat="1" ht="3" customHeight="1" x14ac:dyDescent="0.2">
      <c r="B117" s="56"/>
      <c r="C117" s="56"/>
      <c r="E117" s="137"/>
      <c r="F117" s="142"/>
      <c r="G117" s="138"/>
      <c r="H117" s="139"/>
      <c r="I117" s="140"/>
      <c r="J117" s="135"/>
      <c r="K117" s="78"/>
      <c r="L117" s="78"/>
      <c r="M117" s="194"/>
      <c r="N117" s="194"/>
    </row>
    <row r="118" spans="1:14" s="56" customFormat="1" ht="10.95" customHeight="1" x14ac:dyDescent="0.2">
      <c r="B118" s="56" t="s">
        <v>91</v>
      </c>
      <c r="C118" s="56" t="s">
        <v>90</v>
      </c>
      <c r="G118" s="138">
        <v>0.3</v>
      </c>
      <c r="H118" s="132">
        <v>10</v>
      </c>
      <c r="I118" s="132">
        <v>1550</v>
      </c>
      <c r="J118" s="135">
        <v>4.2</v>
      </c>
      <c r="K118" s="78"/>
      <c r="L118" s="78"/>
      <c r="M118" s="194"/>
      <c r="N118" s="194"/>
    </row>
    <row r="119" spans="1:14" s="56" customFormat="1" ht="10.95" customHeight="1" x14ac:dyDescent="0.2">
      <c r="B119" s="56" t="s">
        <v>93</v>
      </c>
      <c r="C119" s="56" t="s">
        <v>92</v>
      </c>
      <c r="G119" s="138">
        <v>2.2999999999999998</v>
      </c>
      <c r="H119" s="132">
        <v>65</v>
      </c>
      <c r="I119" s="132">
        <v>3850</v>
      </c>
      <c r="J119" s="135">
        <v>2.1</v>
      </c>
      <c r="K119" s="78"/>
      <c r="L119" s="78"/>
      <c r="M119" s="194"/>
      <c r="N119" s="194"/>
    </row>
    <row r="120" spans="1:14" s="56" customFormat="1" ht="10.95" customHeight="1" x14ac:dyDescent="0.2">
      <c r="B120" s="56" t="s">
        <v>95</v>
      </c>
      <c r="C120" s="56" t="s">
        <v>94</v>
      </c>
      <c r="G120" s="138">
        <v>0.8</v>
      </c>
      <c r="H120" s="132">
        <v>24</v>
      </c>
      <c r="I120" s="132">
        <v>2670</v>
      </c>
      <c r="J120" s="135">
        <v>3.1</v>
      </c>
      <c r="K120" s="78"/>
      <c r="L120" s="78"/>
      <c r="M120" s="194"/>
      <c r="N120" s="194"/>
    </row>
    <row r="121" spans="1:14" s="56" customFormat="1" ht="10.95" customHeight="1" x14ac:dyDescent="0.2">
      <c r="B121" s="56" t="s">
        <v>97</v>
      </c>
      <c r="C121" s="56" t="s">
        <v>96</v>
      </c>
      <c r="G121" s="138">
        <v>0.8</v>
      </c>
      <c r="H121" s="132">
        <v>24</v>
      </c>
      <c r="I121" s="132">
        <v>2070</v>
      </c>
      <c r="J121" s="135">
        <v>2.9</v>
      </c>
      <c r="K121" s="78"/>
      <c r="L121" s="78"/>
      <c r="M121" s="194"/>
      <c r="N121" s="194"/>
    </row>
    <row r="122" spans="1:14" s="56" customFormat="1" ht="3" customHeight="1" x14ac:dyDescent="0.2">
      <c r="G122" s="138"/>
      <c r="H122" s="139"/>
      <c r="I122" s="140"/>
      <c r="J122" s="135"/>
      <c r="K122" s="78"/>
      <c r="L122" s="78"/>
      <c r="M122" s="194"/>
      <c r="N122" s="194"/>
    </row>
    <row r="123" spans="1:14" s="56" customFormat="1" ht="10.95" customHeight="1" x14ac:dyDescent="0.2">
      <c r="B123" s="56" t="s">
        <v>191</v>
      </c>
      <c r="C123" s="56" t="s">
        <v>98</v>
      </c>
      <c r="D123" s="55"/>
      <c r="G123" s="138">
        <v>2.8</v>
      </c>
      <c r="H123" s="132">
        <v>80</v>
      </c>
      <c r="I123" s="132">
        <v>4610</v>
      </c>
      <c r="J123" s="135">
        <v>2</v>
      </c>
      <c r="K123" s="78"/>
      <c r="L123" s="78"/>
      <c r="M123" s="194"/>
      <c r="N123" s="194"/>
    </row>
    <row r="124" spans="1:14" s="55" customFormat="1" ht="10.95" customHeight="1" x14ac:dyDescent="0.2">
      <c r="B124" s="56"/>
      <c r="C124" s="56" t="s">
        <v>192</v>
      </c>
      <c r="D124" s="142" t="s">
        <v>193</v>
      </c>
      <c r="E124" s="137"/>
      <c r="F124" s="142"/>
      <c r="G124" s="138">
        <v>1.4</v>
      </c>
      <c r="H124" s="132">
        <v>39</v>
      </c>
      <c r="I124" s="132">
        <v>3820</v>
      </c>
      <c r="J124" s="135">
        <v>1.8</v>
      </c>
      <c r="K124" s="78"/>
      <c r="L124" s="78"/>
      <c r="M124" s="194"/>
      <c r="N124" s="194"/>
    </row>
    <row r="125" spans="1:14" s="55" customFormat="1" ht="10.95" customHeight="1" x14ac:dyDescent="0.2">
      <c r="B125" s="56"/>
      <c r="C125" s="56" t="s">
        <v>194</v>
      </c>
      <c r="D125" s="144" t="s">
        <v>195</v>
      </c>
      <c r="E125" s="137"/>
      <c r="F125" s="143"/>
      <c r="G125" s="138">
        <v>1</v>
      </c>
      <c r="H125" s="132">
        <v>30</v>
      </c>
      <c r="I125" s="132">
        <v>2750</v>
      </c>
      <c r="J125" s="135">
        <v>4</v>
      </c>
      <c r="K125" s="78"/>
      <c r="L125" s="78"/>
      <c r="M125" s="194"/>
      <c r="N125" s="194"/>
    </row>
    <row r="126" spans="1:14" s="55" customFormat="1" ht="10.95" customHeight="1" x14ac:dyDescent="0.2">
      <c r="B126" s="56"/>
      <c r="C126" s="56" t="s">
        <v>196</v>
      </c>
      <c r="D126" s="142" t="s">
        <v>197</v>
      </c>
      <c r="E126" s="137"/>
      <c r="F126" s="143"/>
      <c r="G126" s="138">
        <v>0.4</v>
      </c>
      <c r="H126" s="132">
        <v>12</v>
      </c>
      <c r="I126" s="132">
        <v>1580</v>
      </c>
      <c r="J126" s="135">
        <v>6.1</v>
      </c>
      <c r="K126" s="78"/>
      <c r="L126" s="78"/>
      <c r="M126" s="194"/>
      <c r="N126" s="194"/>
    </row>
    <row r="127" spans="1:14" s="55" customFormat="1" ht="3" customHeight="1" x14ac:dyDescent="0.2">
      <c r="B127" s="56"/>
      <c r="C127" s="56"/>
      <c r="D127" s="142"/>
      <c r="E127" s="137"/>
      <c r="F127" s="143"/>
      <c r="G127" s="138"/>
      <c r="H127" s="139"/>
      <c r="I127" s="140"/>
      <c r="J127" s="135"/>
      <c r="K127" s="78"/>
      <c r="L127" s="78"/>
      <c r="M127" s="194"/>
      <c r="N127" s="194"/>
    </row>
    <row r="128" spans="1:14" s="55" customFormat="1" ht="10.95" customHeight="1" x14ac:dyDescent="0.2">
      <c r="A128" s="80">
        <v>1.2</v>
      </c>
      <c r="B128" s="80" t="s">
        <v>99</v>
      </c>
      <c r="C128" s="79"/>
      <c r="D128" s="130"/>
      <c r="E128" s="130"/>
      <c r="F128" s="143"/>
      <c r="G128" s="138">
        <v>5.6</v>
      </c>
      <c r="H128" s="132">
        <v>160</v>
      </c>
      <c r="I128" s="132">
        <v>5040</v>
      </c>
      <c r="J128" s="135">
        <v>1.6</v>
      </c>
      <c r="K128" s="78"/>
      <c r="L128" s="78"/>
      <c r="M128" s="194"/>
      <c r="N128" s="194"/>
    </row>
    <row r="129" spans="1:14" ht="10.95" customHeight="1" x14ac:dyDescent="0.25">
      <c r="A129" s="55"/>
      <c r="B129" s="56" t="s">
        <v>100</v>
      </c>
      <c r="C129" s="56" t="s">
        <v>101</v>
      </c>
      <c r="D129" s="55"/>
      <c r="E129" s="137"/>
      <c r="F129" s="106"/>
      <c r="G129" s="138">
        <v>1.1000000000000001</v>
      </c>
      <c r="H129" s="132">
        <v>33</v>
      </c>
      <c r="I129" s="132">
        <v>2060</v>
      </c>
      <c r="J129" s="135">
        <v>3.4</v>
      </c>
      <c r="K129" s="78"/>
      <c r="L129" s="78"/>
      <c r="M129" s="194"/>
      <c r="N129" s="194"/>
    </row>
    <row r="130" spans="1:14" ht="10.95" customHeight="1" x14ac:dyDescent="0.2">
      <c r="A130" s="55"/>
      <c r="B130" s="56" t="s">
        <v>102</v>
      </c>
      <c r="C130" s="56" t="s">
        <v>103</v>
      </c>
      <c r="D130" s="55"/>
      <c r="E130" s="55"/>
      <c r="F130" s="157"/>
      <c r="G130" s="138">
        <v>0.5</v>
      </c>
      <c r="H130" s="132">
        <v>13</v>
      </c>
      <c r="I130" s="132">
        <v>1500</v>
      </c>
      <c r="J130" s="135">
        <v>3.5</v>
      </c>
      <c r="K130" s="78"/>
      <c r="L130" s="78"/>
      <c r="M130" s="194"/>
      <c r="N130" s="194"/>
    </row>
    <row r="131" spans="1:14" s="55" customFormat="1" ht="10.95" customHeight="1" x14ac:dyDescent="0.2">
      <c r="B131" s="56" t="s">
        <v>104</v>
      </c>
      <c r="C131" s="136" t="s">
        <v>105</v>
      </c>
      <c r="F131" s="143"/>
      <c r="G131" s="138">
        <v>0.1</v>
      </c>
      <c r="H131" s="132">
        <v>4</v>
      </c>
      <c r="I131" s="132">
        <v>400</v>
      </c>
      <c r="J131" s="135">
        <v>7.6</v>
      </c>
      <c r="K131" s="78"/>
      <c r="L131" s="78"/>
      <c r="M131" s="194"/>
      <c r="N131" s="194"/>
    </row>
    <row r="132" spans="1:14" s="55" customFormat="1" ht="10.95" customHeight="1" x14ac:dyDescent="0.2">
      <c r="B132" s="56" t="s">
        <v>106</v>
      </c>
      <c r="C132" s="136" t="s">
        <v>198</v>
      </c>
      <c r="F132" s="143"/>
      <c r="G132" s="138">
        <v>1.1000000000000001</v>
      </c>
      <c r="H132" s="132">
        <v>32</v>
      </c>
      <c r="I132" s="132">
        <v>3070</v>
      </c>
      <c r="J132" s="135">
        <v>2.2000000000000002</v>
      </c>
      <c r="K132" s="78"/>
      <c r="L132" s="78"/>
      <c r="M132" s="194"/>
      <c r="N132" s="194"/>
    </row>
    <row r="133" spans="1:14" s="55" customFormat="1" ht="10.95" customHeight="1" x14ac:dyDescent="0.2">
      <c r="B133" s="56" t="s">
        <v>107</v>
      </c>
      <c r="C133" s="144" t="s">
        <v>108</v>
      </c>
      <c r="F133" s="143"/>
      <c r="G133" s="138">
        <v>0.4</v>
      </c>
      <c r="H133" s="132">
        <v>11</v>
      </c>
      <c r="I133" s="132">
        <v>1400</v>
      </c>
      <c r="J133" s="135">
        <v>4.5</v>
      </c>
      <c r="K133" s="78"/>
      <c r="L133" s="78"/>
      <c r="M133" s="194"/>
      <c r="N133" s="194"/>
    </row>
    <row r="134" spans="1:14" s="55" customFormat="1" ht="10.95" customHeight="1" x14ac:dyDescent="0.2">
      <c r="B134" s="56" t="s">
        <v>109</v>
      </c>
      <c r="C134" s="56" t="s">
        <v>199</v>
      </c>
      <c r="E134" s="143"/>
      <c r="F134" s="143"/>
      <c r="G134" s="138">
        <v>2.4</v>
      </c>
      <c r="H134" s="132">
        <v>68</v>
      </c>
      <c r="I134" s="132">
        <v>3550</v>
      </c>
      <c r="J134" s="135">
        <v>2.2999999999999998</v>
      </c>
      <c r="K134" s="78"/>
      <c r="L134" s="78"/>
      <c r="M134" s="194"/>
      <c r="N134" s="194"/>
    </row>
    <row r="135" spans="1:14" ht="4.2" customHeight="1" x14ac:dyDescent="0.25">
      <c r="A135" s="564"/>
      <c r="B135" s="583"/>
      <c r="C135" s="565"/>
      <c r="D135" s="565"/>
      <c r="E135" s="565"/>
      <c r="F135" s="571"/>
      <c r="G135" s="579"/>
      <c r="H135" s="584"/>
      <c r="I135" s="585"/>
      <c r="J135" s="586"/>
      <c r="K135" s="78"/>
      <c r="L135" s="78"/>
      <c r="M135" s="194"/>
      <c r="N135" s="194"/>
    </row>
    <row r="136" spans="1:14" ht="4.2" customHeight="1" x14ac:dyDescent="0.25">
      <c r="B136" s="129"/>
      <c r="D136" s="79"/>
      <c r="E136" s="79"/>
      <c r="F136" s="106"/>
      <c r="G136" s="138"/>
      <c r="H136" s="132"/>
      <c r="I136" s="133"/>
      <c r="J136" s="146"/>
      <c r="K136" s="78"/>
      <c r="L136" s="78"/>
      <c r="M136" s="194"/>
      <c r="N136" s="194"/>
    </row>
    <row r="137" spans="1:14" s="128" customFormat="1" ht="12.75" customHeight="1" x14ac:dyDescent="0.25">
      <c r="A137" s="188">
        <v>2</v>
      </c>
      <c r="B137" s="188" t="s">
        <v>8</v>
      </c>
      <c r="C137" s="121"/>
      <c r="D137" s="121"/>
      <c r="E137" s="121"/>
      <c r="F137" s="200"/>
      <c r="G137" s="576">
        <v>12.2</v>
      </c>
      <c r="H137" s="124">
        <v>346</v>
      </c>
      <c r="I137" s="124">
        <v>3460</v>
      </c>
      <c r="J137" s="125">
        <v>2.5</v>
      </c>
      <c r="K137" s="78"/>
      <c r="L137" s="78"/>
      <c r="M137" s="194"/>
      <c r="N137" s="194"/>
    </row>
    <row r="138" spans="1:14" ht="6" customHeight="1" x14ac:dyDescent="0.25">
      <c r="B138" s="129"/>
      <c r="D138" s="79"/>
      <c r="E138" s="79"/>
      <c r="F138" s="106"/>
      <c r="G138" s="138"/>
      <c r="H138" s="139"/>
      <c r="I138" s="140"/>
      <c r="J138" s="135"/>
      <c r="K138" s="78"/>
      <c r="L138" s="78"/>
      <c r="M138" s="194"/>
      <c r="N138" s="194"/>
    </row>
    <row r="139" spans="1:14" ht="10.95" customHeight="1" x14ac:dyDescent="0.2">
      <c r="A139" s="80">
        <v>2.1</v>
      </c>
      <c r="B139" s="129" t="s">
        <v>200</v>
      </c>
      <c r="D139" s="79"/>
      <c r="E139" s="79"/>
      <c r="F139" s="157"/>
      <c r="G139" s="138">
        <v>9.3000000000000007</v>
      </c>
      <c r="H139" s="132">
        <v>265</v>
      </c>
      <c r="I139" s="132">
        <v>3200</v>
      </c>
      <c r="J139" s="135">
        <v>2.6</v>
      </c>
      <c r="K139" s="78"/>
      <c r="L139" s="78"/>
      <c r="M139" s="194"/>
      <c r="N139" s="194"/>
    </row>
    <row r="140" spans="1:14" s="55" customFormat="1" ht="10.95" customHeight="1" x14ac:dyDescent="0.2">
      <c r="B140" s="56" t="s">
        <v>201</v>
      </c>
      <c r="C140" s="56" t="s">
        <v>202</v>
      </c>
      <c r="D140" s="142"/>
      <c r="F140" s="143"/>
      <c r="G140" s="138">
        <v>2.1</v>
      </c>
      <c r="H140" s="132">
        <v>61</v>
      </c>
      <c r="I140" s="132">
        <v>1090</v>
      </c>
      <c r="J140" s="135">
        <v>3.8</v>
      </c>
      <c r="K140" s="78"/>
      <c r="L140" s="78"/>
      <c r="M140" s="194"/>
      <c r="N140" s="194"/>
    </row>
    <row r="141" spans="1:14" s="55" customFormat="1" ht="3" customHeight="1" x14ac:dyDescent="0.2">
      <c r="B141" s="56"/>
      <c r="C141" s="56"/>
      <c r="D141" s="142"/>
      <c r="F141" s="143"/>
      <c r="G141" s="138"/>
      <c r="H141" s="139"/>
      <c r="I141" s="140"/>
      <c r="J141" s="135"/>
      <c r="K141" s="78"/>
      <c r="L141" s="78"/>
      <c r="M141" s="194"/>
      <c r="N141" s="194"/>
    </row>
    <row r="142" spans="1:14" s="55" customFormat="1" ht="10.95" customHeight="1" x14ac:dyDescent="0.2">
      <c r="B142" s="56" t="s">
        <v>203</v>
      </c>
      <c r="C142" s="56" t="s">
        <v>204</v>
      </c>
      <c r="D142" s="142"/>
      <c r="F142" s="143"/>
      <c r="G142" s="138">
        <v>4.5</v>
      </c>
      <c r="H142" s="132">
        <v>128</v>
      </c>
      <c r="I142" s="132">
        <v>2080</v>
      </c>
      <c r="J142" s="135">
        <v>3.8</v>
      </c>
      <c r="K142" s="78"/>
      <c r="L142" s="78"/>
      <c r="M142" s="194"/>
      <c r="N142" s="194"/>
    </row>
    <row r="143" spans="1:14" s="55" customFormat="1" ht="10.95" customHeight="1" x14ac:dyDescent="0.2">
      <c r="B143" s="56"/>
      <c r="C143" s="136" t="s">
        <v>205</v>
      </c>
      <c r="D143" s="55" t="s">
        <v>206</v>
      </c>
      <c r="F143" s="143"/>
      <c r="G143" s="138">
        <v>3.8</v>
      </c>
      <c r="H143" s="132">
        <v>108</v>
      </c>
      <c r="I143" s="132">
        <v>1890</v>
      </c>
      <c r="J143" s="135">
        <v>4</v>
      </c>
      <c r="K143" s="78"/>
      <c r="L143" s="78"/>
      <c r="M143" s="194"/>
      <c r="N143" s="194"/>
    </row>
    <row r="144" spans="1:14" s="55" customFormat="1" ht="10.95" customHeight="1" x14ac:dyDescent="0.2">
      <c r="B144" s="56"/>
      <c r="C144" s="136" t="s">
        <v>207</v>
      </c>
      <c r="D144" s="55" t="s">
        <v>208</v>
      </c>
      <c r="F144" s="143"/>
      <c r="G144" s="138">
        <v>0.1</v>
      </c>
      <c r="H144" s="132">
        <v>4</v>
      </c>
      <c r="I144" s="132">
        <v>130</v>
      </c>
      <c r="J144" s="135">
        <v>11.5</v>
      </c>
      <c r="K144" s="78"/>
      <c r="L144" s="78"/>
      <c r="M144" s="194"/>
      <c r="N144" s="194"/>
    </row>
    <row r="145" spans="1:14" s="55" customFormat="1" ht="10.95" customHeight="1" x14ac:dyDescent="0.2">
      <c r="B145" s="56"/>
      <c r="C145" s="56" t="s">
        <v>209</v>
      </c>
      <c r="D145" s="142" t="s">
        <v>210</v>
      </c>
      <c r="F145" s="143"/>
      <c r="G145" s="138">
        <v>0.6</v>
      </c>
      <c r="H145" s="132">
        <v>17</v>
      </c>
      <c r="I145" s="132">
        <v>420</v>
      </c>
      <c r="J145" s="135">
        <v>10.199999999999999</v>
      </c>
      <c r="K145" s="78"/>
      <c r="L145" s="78"/>
      <c r="M145" s="194"/>
      <c r="N145" s="194"/>
    </row>
    <row r="146" spans="1:14" s="55" customFormat="1" ht="3" customHeight="1" x14ac:dyDescent="0.2">
      <c r="B146" s="56"/>
      <c r="C146" s="56"/>
      <c r="D146" s="142"/>
      <c r="F146" s="143"/>
      <c r="G146" s="138"/>
      <c r="H146" s="139"/>
      <c r="I146" s="140"/>
      <c r="J146" s="135"/>
      <c r="K146" s="78"/>
      <c r="L146" s="78"/>
      <c r="M146" s="194"/>
      <c r="N146" s="194"/>
    </row>
    <row r="147" spans="1:14" s="55" customFormat="1" ht="10.95" customHeight="1" x14ac:dyDescent="0.2">
      <c r="B147" s="56" t="s">
        <v>211</v>
      </c>
      <c r="C147" s="56" t="s">
        <v>212</v>
      </c>
      <c r="D147" s="142"/>
      <c r="F147" s="143"/>
      <c r="G147" s="138">
        <v>2.6</v>
      </c>
      <c r="H147" s="132">
        <v>75</v>
      </c>
      <c r="I147" s="132">
        <v>1780</v>
      </c>
      <c r="J147" s="135">
        <v>4.4000000000000004</v>
      </c>
      <c r="K147" s="78"/>
      <c r="L147" s="78"/>
      <c r="M147" s="194"/>
      <c r="N147" s="194"/>
    </row>
    <row r="148" spans="1:14" s="55" customFormat="1" ht="10.95" customHeight="1" x14ac:dyDescent="0.2">
      <c r="B148" s="56"/>
      <c r="C148" s="56" t="s">
        <v>213</v>
      </c>
      <c r="D148" s="142" t="s">
        <v>214</v>
      </c>
      <c r="F148" s="143"/>
      <c r="G148" s="138">
        <v>2.2000000000000002</v>
      </c>
      <c r="H148" s="132">
        <v>63</v>
      </c>
      <c r="I148" s="132">
        <v>1540</v>
      </c>
      <c r="J148" s="135">
        <v>4.4000000000000004</v>
      </c>
      <c r="K148" s="78"/>
      <c r="L148" s="78"/>
      <c r="M148" s="194"/>
      <c r="N148" s="194"/>
    </row>
    <row r="149" spans="1:14" s="55" customFormat="1" ht="10.95" customHeight="1" x14ac:dyDescent="0.2">
      <c r="B149" s="56"/>
      <c r="C149" s="136" t="s">
        <v>215</v>
      </c>
      <c r="D149" s="55" t="s">
        <v>216</v>
      </c>
      <c r="F149" s="143"/>
      <c r="G149" s="138">
        <v>0.4</v>
      </c>
      <c r="H149" s="132">
        <v>12</v>
      </c>
      <c r="I149" s="132">
        <v>470</v>
      </c>
      <c r="J149" s="135">
        <v>15.3</v>
      </c>
      <c r="K149" s="78"/>
      <c r="L149" s="78"/>
      <c r="M149" s="194"/>
      <c r="N149" s="194"/>
    </row>
    <row r="150" spans="1:14" s="55" customFormat="1" ht="3" customHeight="1" x14ac:dyDescent="0.2">
      <c r="A150" s="56"/>
      <c r="B150" s="136"/>
      <c r="F150" s="143"/>
      <c r="G150" s="138"/>
      <c r="H150" s="132"/>
      <c r="I150" s="133"/>
      <c r="J150" s="146"/>
      <c r="K150" s="78"/>
      <c r="L150" s="78"/>
      <c r="M150" s="194"/>
      <c r="N150" s="194"/>
    </row>
    <row r="151" spans="1:14" s="55" customFormat="1" ht="10.95" customHeight="1" x14ac:dyDescent="0.2">
      <c r="B151" s="56" t="s">
        <v>217</v>
      </c>
      <c r="C151" s="136" t="s">
        <v>218</v>
      </c>
      <c r="F151" s="143"/>
      <c r="G151" s="138" t="s">
        <v>1009</v>
      </c>
      <c r="H151" s="132">
        <v>1</v>
      </c>
      <c r="I151" s="132">
        <v>80</v>
      </c>
      <c r="J151" s="135">
        <v>16.399999999999999</v>
      </c>
      <c r="K151" s="78"/>
      <c r="L151" s="78"/>
      <c r="M151" s="194"/>
      <c r="N151" s="194"/>
    </row>
    <row r="152" spans="1:14" s="149" customFormat="1" ht="3" customHeight="1" x14ac:dyDescent="0.2">
      <c r="A152" s="56"/>
      <c r="B152" s="56"/>
      <c r="C152" s="142"/>
      <c r="D152" s="55"/>
      <c r="E152" s="55"/>
      <c r="F152" s="143"/>
      <c r="G152" s="138"/>
      <c r="H152" s="139"/>
      <c r="I152" s="140"/>
      <c r="J152" s="135"/>
      <c r="K152" s="78"/>
      <c r="L152" s="78"/>
      <c r="M152" s="194"/>
      <c r="N152" s="194"/>
    </row>
    <row r="153" spans="1:14" ht="10.95" customHeight="1" x14ac:dyDescent="0.2">
      <c r="A153" s="80">
        <v>2.2000000000000002</v>
      </c>
      <c r="B153" s="80" t="s">
        <v>219</v>
      </c>
      <c r="C153" s="201"/>
      <c r="D153" s="79"/>
      <c r="E153" s="79"/>
      <c r="F153" s="157"/>
      <c r="G153" s="138">
        <v>2.8</v>
      </c>
      <c r="H153" s="132">
        <v>81</v>
      </c>
      <c r="I153" s="132">
        <v>640</v>
      </c>
      <c r="J153" s="135">
        <v>5.9</v>
      </c>
      <c r="K153" s="78"/>
      <c r="L153" s="78"/>
      <c r="M153" s="194"/>
      <c r="N153" s="194"/>
    </row>
    <row r="154" spans="1:14" s="55" customFormat="1" ht="10.95" customHeight="1" x14ac:dyDescent="0.2">
      <c r="B154" s="56" t="s">
        <v>220</v>
      </c>
      <c r="C154" s="136" t="s">
        <v>221</v>
      </c>
      <c r="F154" s="143"/>
      <c r="G154" s="138">
        <v>1.9</v>
      </c>
      <c r="H154" s="132">
        <v>53</v>
      </c>
      <c r="I154" s="132">
        <v>430</v>
      </c>
      <c r="J154" s="135">
        <v>8.1</v>
      </c>
      <c r="K154" s="78"/>
      <c r="L154" s="78"/>
      <c r="M154" s="194"/>
      <c r="N154" s="194"/>
    </row>
    <row r="155" spans="1:14" s="55" customFormat="1" ht="3" customHeight="1" x14ac:dyDescent="0.2">
      <c r="B155" s="56"/>
      <c r="C155" s="136"/>
      <c r="F155" s="143"/>
      <c r="G155" s="138"/>
      <c r="H155" s="132"/>
      <c r="I155" s="133"/>
      <c r="J155" s="146"/>
      <c r="K155" s="78"/>
      <c r="L155" s="78"/>
      <c r="M155" s="194"/>
      <c r="N155" s="194"/>
    </row>
    <row r="156" spans="1:14" s="55" customFormat="1" ht="10.95" customHeight="1" x14ac:dyDescent="0.2">
      <c r="B156" s="56" t="s">
        <v>222</v>
      </c>
      <c r="C156" s="136" t="s">
        <v>223</v>
      </c>
      <c r="F156" s="143"/>
      <c r="G156" s="138">
        <v>1</v>
      </c>
      <c r="H156" s="132">
        <v>28</v>
      </c>
      <c r="I156" s="132">
        <v>340</v>
      </c>
      <c r="J156" s="135">
        <v>7.1</v>
      </c>
      <c r="K156" s="78"/>
      <c r="L156" s="78"/>
      <c r="M156" s="194"/>
      <c r="N156" s="194"/>
    </row>
    <row r="157" spans="1:14" s="55" customFormat="1" ht="10.95" customHeight="1" x14ac:dyDescent="0.2">
      <c r="B157" s="56"/>
      <c r="C157" s="56" t="s">
        <v>224</v>
      </c>
      <c r="D157" s="55" t="s">
        <v>225</v>
      </c>
      <c r="F157" s="143"/>
      <c r="G157" s="138">
        <v>0.1</v>
      </c>
      <c r="H157" s="132">
        <v>2</v>
      </c>
      <c r="I157" s="132">
        <v>20</v>
      </c>
      <c r="J157" s="135">
        <v>27.3</v>
      </c>
      <c r="K157" s="78"/>
      <c r="L157" s="78"/>
      <c r="M157" s="194"/>
      <c r="N157" s="194"/>
    </row>
    <row r="158" spans="1:14" s="55" customFormat="1" ht="10.95" customHeight="1" x14ac:dyDescent="0.2">
      <c r="B158" s="56"/>
      <c r="C158" s="136" t="s">
        <v>226</v>
      </c>
      <c r="D158" s="55" t="s">
        <v>227</v>
      </c>
      <c r="F158" s="143"/>
      <c r="G158" s="138">
        <v>0.9</v>
      </c>
      <c r="H158" s="132">
        <v>27</v>
      </c>
      <c r="I158" s="132">
        <v>320</v>
      </c>
      <c r="J158" s="135">
        <v>7.1</v>
      </c>
      <c r="K158" s="78"/>
      <c r="L158" s="78"/>
      <c r="M158" s="194"/>
      <c r="N158" s="194"/>
    </row>
    <row r="159" spans="1:14" s="55" customFormat="1" ht="10.95" customHeight="1" x14ac:dyDescent="0.2">
      <c r="B159" s="56"/>
      <c r="C159" s="136" t="s">
        <v>228</v>
      </c>
      <c r="D159" s="55" t="s">
        <v>229</v>
      </c>
      <c r="F159" s="143"/>
      <c r="G159" s="138">
        <v>0</v>
      </c>
      <c r="H159" s="132">
        <v>0</v>
      </c>
      <c r="I159" s="132">
        <v>0</v>
      </c>
      <c r="J159" s="135">
        <v>0</v>
      </c>
      <c r="K159" s="78"/>
      <c r="L159" s="78"/>
      <c r="M159" s="194"/>
      <c r="N159" s="194"/>
    </row>
    <row r="160" spans="1:14" s="141" customFormat="1" ht="4.2" customHeight="1" x14ac:dyDescent="0.25">
      <c r="A160" s="564"/>
      <c r="B160" s="583"/>
      <c r="C160" s="565"/>
      <c r="D160" s="565"/>
      <c r="E160" s="565"/>
      <c r="F160" s="571"/>
      <c r="G160" s="579"/>
      <c r="H160" s="580"/>
      <c r="I160" s="581"/>
      <c r="J160" s="582"/>
      <c r="K160" s="78"/>
      <c r="L160" s="78"/>
      <c r="M160" s="194"/>
      <c r="N160" s="194"/>
    </row>
    <row r="161" spans="1:14" s="141" customFormat="1" ht="4.2" customHeight="1" x14ac:dyDescent="0.25">
      <c r="A161" s="80"/>
      <c r="B161" s="129"/>
      <c r="C161" s="79"/>
      <c r="D161" s="79"/>
      <c r="E161" s="79"/>
      <c r="F161" s="106"/>
      <c r="G161" s="138"/>
      <c r="H161" s="139"/>
      <c r="I161" s="140"/>
      <c r="J161" s="135"/>
      <c r="K161" s="78"/>
      <c r="L161" s="78"/>
      <c r="M161" s="194"/>
      <c r="N161" s="194"/>
    </row>
    <row r="162" spans="1:14" ht="12.75" customHeight="1" x14ac:dyDescent="0.2">
      <c r="A162" s="119" t="s">
        <v>231</v>
      </c>
      <c r="B162" s="120" t="s">
        <v>9</v>
      </c>
      <c r="C162" s="206"/>
      <c r="D162" s="191"/>
      <c r="E162" s="191"/>
      <c r="F162" s="206"/>
      <c r="G162" s="576">
        <v>17.600000000000001</v>
      </c>
      <c r="H162" s="124">
        <v>501</v>
      </c>
      <c r="I162" s="124">
        <v>3120</v>
      </c>
      <c r="J162" s="125">
        <v>3.4</v>
      </c>
      <c r="K162" s="78"/>
      <c r="L162" s="78"/>
      <c r="M162" s="194"/>
      <c r="N162" s="194"/>
    </row>
    <row r="163" spans="1:14" ht="6" customHeight="1" x14ac:dyDescent="0.25">
      <c r="A163" s="186"/>
      <c r="B163" s="193"/>
      <c r="C163" s="106"/>
      <c r="D163" s="130"/>
      <c r="E163" s="130"/>
      <c r="F163" s="106"/>
      <c r="G163" s="138"/>
      <c r="H163" s="132"/>
      <c r="I163" s="133"/>
      <c r="J163" s="146"/>
      <c r="K163" s="78"/>
      <c r="L163" s="78"/>
      <c r="M163" s="194"/>
      <c r="N163" s="194"/>
    </row>
    <row r="164" spans="1:14" ht="10.95" customHeight="1" x14ac:dyDescent="0.2">
      <c r="A164" s="80">
        <v>3.1</v>
      </c>
      <c r="B164" s="129" t="s">
        <v>232</v>
      </c>
      <c r="C164" s="157"/>
      <c r="D164" s="79"/>
      <c r="E164" s="79"/>
      <c r="F164" s="157"/>
      <c r="G164" s="138">
        <v>14.4</v>
      </c>
      <c r="H164" s="132">
        <v>411</v>
      </c>
      <c r="I164" s="132">
        <v>2950</v>
      </c>
      <c r="J164" s="135">
        <v>3.6</v>
      </c>
      <c r="K164" s="78"/>
      <c r="L164" s="78"/>
      <c r="M164" s="194"/>
      <c r="N164" s="194"/>
    </row>
    <row r="165" spans="1:14" ht="10.95" customHeight="1" x14ac:dyDescent="0.2">
      <c r="B165" s="56" t="s">
        <v>233</v>
      </c>
      <c r="C165" s="136" t="s">
        <v>234</v>
      </c>
      <c r="D165" s="55"/>
      <c r="E165" s="55"/>
      <c r="F165" s="143"/>
      <c r="G165" s="138">
        <v>3.5</v>
      </c>
      <c r="H165" s="132">
        <v>99</v>
      </c>
      <c r="I165" s="132">
        <v>800</v>
      </c>
      <c r="J165" s="135">
        <v>7</v>
      </c>
      <c r="K165" s="78"/>
      <c r="L165" s="78"/>
      <c r="M165" s="194"/>
      <c r="N165" s="194"/>
    </row>
    <row r="166" spans="1:14" ht="10.95" customHeight="1" x14ac:dyDescent="0.2">
      <c r="B166" s="56" t="s">
        <v>235</v>
      </c>
      <c r="C166" s="136" t="s">
        <v>236</v>
      </c>
      <c r="D166" s="55"/>
      <c r="E166" s="55"/>
      <c r="F166" s="143"/>
      <c r="G166" s="138">
        <v>0.4</v>
      </c>
      <c r="H166" s="132">
        <v>12</v>
      </c>
      <c r="I166" s="132">
        <v>330</v>
      </c>
      <c r="J166" s="135">
        <v>7.7</v>
      </c>
      <c r="K166" s="78"/>
      <c r="L166" s="78"/>
      <c r="M166" s="194"/>
      <c r="N166" s="194"/>
    </row>
    <row r="167" spans="1:14" s="192" customFormat="1" ht="10.95" customHeight="1" x14ac:dyDescent="0.2">
      <c r="A167" s="80"/>
      <c r="B167" s="56" t="s">
        <v>237</v>
      </c>
      <c r="C167" s="136" t="s">
        <v>238</v>
      </c>
      <c r="D167" s="55"/>
      <c r="E167" s="55"/>
      <c r="F167" s="143"/>
      <c r="G167" s="138">
        <v>6.4</v>
      </c>
      <c r="H167" s="132">
        <v>182</v>
      </c>
      <c r="I167" s="132">
        <v>1620</v>
      </c>
      <c r="J167" s="135">
        <v>4.9000000000000004</v>
      </c>
      <c r="K167" s="78"/>
      <c r="L167" s="78"/>
      <c r="M167" s="194"/>
      <c r="N167" s="194"/>
    </row>
    <row r="168" spans="1:14" ht="10.95" customHeight="1" x14ac:dyDescent="0.2">
      <c r="B168" s="56" t="s">
        <v>239</v>
      </c>
      <c r="C168" s="136" t="s">
        <v>240</v>
      </c>
      <c r="D168" s="55"/>
      <c r="E168" s="55"/>
      <c r="F168" s="143"/>
      <c r="G168" s="138">
        <v>1.1000000000000001</v>
      </c>
      <c r="H168" s="132">
        <v>32</v>
      </c>
      <c r="I168" s="132">
        <v>800</v>
      </c>
      <c r="J168" s="135">
        <v>5</v>
      </c>
      <c r="K168" s="78"/>
      <c r="L168" s="78"/>
      <c r="M168" s="194"/>
      <c r="N168" s="194"/>
    </row>
    <row r="169" spans="1:14" s="141" customFormat="1" ht="10.95" customHeight="1" x14ac:dyDescent="0.2">
      <c r="B169" s="56" t="s">
        <v>241</v>
      </c>
      <c r="C169" s="56" t="s">
        <v>242</v>
      </c>
      <c r="D169" s="55"/>
      <c r="E169" s="55"/>
      <c r="F169" s="143"/>
      <c r="G169" s="138">
        <v>0.5</v>
      </c>
      <c r="H169" s="132">
        <v>13</v>
      </c>
      <c r="I169" s="132">
        <v>240</v>
      </c>
      <c r="J169" s="135">
        <v>9.1</v>
      </c>
      <c r="K169" s="78"/>
      <c r="L169" s="78"/>
      <c r="M169" s="194"/>
      <c r="N169" s="194"/>
    </row>
    <row r="170" spans="1:14" s="106" customFormat="1" ht="10.95" customHeight="1" x14ac:dyDescent="0.25">
      <c r="A170" s="207"/>
      <c r="B170" s="56" t="s">
        <v>243</v>
      </c>
      <c r="C170" s="56" t="s">
        <v>244</v>
      </c>
      <c r="D170" s="55"/>
      <c r="E170" s="55"/>
      <c r="F170" s="143"/>
      <c r="G170" s="138">
        <v>0.9</v>
      </c>
      <c r="H170" s="132">
        <v>25</v>
      </c>
      <c r="I170" s="132">
        <v>330</v>
      </c>
      <c r="J170" s="135">
        <v>9.4</v>
      </c>
      <c r="K170" s="78"/>
      <c r="L170" s="78"/>
      <c r="M170" s="194"/>
      <c r="N170" s="194"/>
    </row>
    <row r="171" spans="1:14" s="128" customFormat="1" ht="10.95" customHeight="1" x14ac:dyDescent="0.2">
      <c r="B171" s="56" t="s">
        <v>245</v>
      </c>
      <c r="C171" s="56" t="s">
        <v>246</v>
      </c>
      <c r="D171" s="144"/>
      <c r="E171" s="144"/>
      <c r="F171" s="143"/>
      <c r="G171" s="138">
        <v>0.4</v>
      </c>
      <c r="H171" s="132">
        <v>12</v>
      </c>
      <c r="I171" s="132">
        <v>210</v>
      </c>
      <c r="J171" s="135">
        <v>11.6</v>
      </c>
      <c r="K171" s="78"/>
      <c r="L171" s="78"/>
      <c r="M171" s="194"/>
      <c r="N171" s="194"/>
    </row>
    <row r="172" spans="1:14" s="128" customFormat="1" ht="10.95" customHeight="1" x14ac:dyDescent="0.2">
      <c r="B172" s="56" t="s">
        <v>247</v>
      </c>
      <c r="C172" s="56" t="s">
        <v>248</v>
      </c>
      <c r="D172" s="144"/>
      <c r="E172" s="144"/>
      <c r="F172" s="143"/>
      <c r="G172" s="138">
        <v>0.3</v>
      </c>
      <c r="H172" s="132">
        <v>9</v>
      </c>
      <c r="I172" s="132">
        <v>310</v>
      </c>
      <c r="J172" s="135">
        <v>7.9</v>
      </c>
      <c r="K172" s="78"/>
      <c r="L172" s="78"/>
      <c r="M172" s="194"/>
      <c r="N172" s="194"/>
    </row>
    <row r="173" spans="1:14" s="128" customFormat="1" ht="4.2" customHeight="1" x14ac:dyDescent="0.2">
      <c r="B173" s="56"/>
      <c r="C173" s="56"/>
      <c r="D173" s="144"/>
      <c r="E173" s="144"/>
      <c r="F173" s="143"/>
      <c r="G173" s="579"/>
      <c r="H173" s="580"/>
      <c r="I173" s="140"/>
      <c r="J173" s="582"/>
      <c r="K173" s="208"/>
      <c r="L173" s="65"/>
    </row>
    <row r="174" spans="1:14" s="128" customFormat="1" ht="4.2" customHeight="1" x14ac:dyDescent="0.2">
      <c r="A174" s="587"/>
      <c r="B174" s="588"/>
      <c r="C174" s="588"/>
      <c r="D174" s="589"/>
      <c r="E174" s="589"/>
      <c r="F174" s="590"/>
      <c r="G174" s="138"/>
      <c r="H174" s="139"/>
      <c r="I174" s="591"/>
      <c r="J174" s="135"/>
      <c r="K174" s="208"/>
      <c r="L174" s="65"/>
    </row>
    <row r="175" spans="1:14" s="128" customFormat="1" ht="10.95" customHeight="1" x14ac:dyDescent="0.2">
      <c r="A175" s="157" t="s">
        <v>111</v>
      </c>
      <c r="B175" s="56"/>
      <c r="C175" s="56"/>
      <c r="D175" s="55"/>
      <c r="E175" s="137"/>
      <c r="F175" s="142"/>
      <c r="G175" s="138"/>
      <c r="H175" s="139"/>
      <c r="I175" s="140"/>
      <c r="J175" s="135"/>
      <c r="K175" s="208"/>
      <c r="L175" s="65"/>
    </row>
    <row r="176" spans="1:14" s="128" customFormat="1" ht="10.95" customHeight="1" x14ac:dyDescent="0.2">
      <c r="A176" s="157" t="s">
        <v>182</v>
      </c>
      <c r="B176" s="56"/>
      <c r="C176" s="56"/>
      <c r="D176" s="55"/>
      <c r="E176" s="137"/>
      <c r="F176" s="142"/>
      <c r="G176" s="138"/>
      <c r="H176" s="139"/>
      <c r="I176" s="140"/>
      <c r="J176" s="135"/>
      <c r="K176" s="208"/>
      <c r="L176" s="65"/>
    </row>
    <row r="177" spans="1:12" s="128" customFormat="1" ht="10.95" customHeight="1" x14ac:dyDescent="0.2">
      <c r="A177" s="157" t="s">
        <v>112</v>
      </c>
      <c r="B177" s="56"/>
      <c r="C177" s="56"/>
      <c r="D177" s="55"/>
      <c r="E177" s="137"/>
      <c r="F177" s="142"/>
      <c r="G177" s="138"/>
      <c r="H177" s="139"/>
      <c r="I177" s="140"/>
      <c r="J177" s="135"/>
      <c r="K177" s="208"/>
      <c r="L177" s="65"/>
    </row>
    <row r="178" spans="1:12" s="128" customFormat="1" ht="10.95" customHeight="1" x14ac:dyDescent="0.2">
      <c r="B178" s="56"/>
      <c r="C178" s="56"/>
      <c r="D178" s="144"/>
      <c r="E178" s="144"/>
      <c r="F178" s="143"/>
      <c r="G178" s="138"/>
      <c r="H178" s="139"/>
      <c r="I178" s="140"/>
      <c r="J178" s="135"/>
      <c r="K178" s="208"/>
      <c r="L178" s="65"/>
    </row>
    <row r="179" spans="1:12" ht="10.95" customHeight="1" x14ac:dyDescent="0.2">
      <c r="A179" s="79"/>
      <c r="B179" s="79"/>
      <c r="D179" s="79"/>
      <c r="E179" s="79"/>
      <c r="F179" s="79"/>
      <c r="I179" s="79"/>
      <c r="J179" s="146"/>
      <c r="K179" s="214"/>
      <c r="L179" s="65"/>
    </row>
    <row r="180" spans="1:12" ht="10.95" customHeight="1" x14ac:dyDescent="0.2">
      <c r="A180" s="158"/>
      <c r="B180" s="79"/>
      <c r="D180" s="79"/>
      <c r="E180" s="79"/>
      <c r="F180" s="79"/>
      <c r="I180" s="79"/>
      <c r="J180" s="146"/>
      <c r="K180" s="214"/>
      <c r="L180" s="65"/>
    </row>
    <row r="181" spans="1:12" ht="10.5" customHeight="1" x14ac:dyDescent="0.2">
      <c r="A181" s="79"/>
      <c r="B181" s="79"/>
      <c r="D181" s="79"/>
      <c r="E181" s="79"/>
      <c r="F181" s="79"/>
      <c r="I181" s="79"/>
      <c r="J181" s="146"/>
      <c r="K181" s="214"/>
      <c r="L181" s="65"/>
    </row>
    <row r="182" spans="1:12" s="55" customFormat="1" ht="15.75" customHeight="1" x14ac:dyDescent="0.2">
      <c r="A182" s="159" t="s">
        <v>114</v>
      </c>
      <c r="B182" s="129"/>
      <c r="C182" s="157"/>
      <c r="D182" s="219"/>
      <c r="E182" s="219"/>
      <c r="F182" s="130"/>
      <c r="G182" s="85"/>
      <c r="H182" s="108"/>
      <c r="I182" s="109"/>
      <c r="J182" s="220"/>
      <c r="K182" s="218"/>
      <c r="L182" s="65"/>
    </row>
    <row r="183" spans="1:12" s="31" customFormat="1" ht="20.25" customHeight="1" x14ac:dyDescent="0.3">
      <c r="A183" s="160" t="s">
        <v>183</v>
      </c>
      <c r="B183" s="161"/>
      <c r="D183" s="32"/>
      <c r="E183" s="32"/>
      <c r="F183" s="33"/>
      <c r="G183" s="592"/>
      <c r="H183" s="222"/>
      <c r="I183" s="223"/>
      <c r="J183" s="167"/>
      <c r="K183" s="37"/>
      <c r="L183" s="65"/>
    </row>
    <row r="184" spans="1:12" s="31" customFormat="1" ht="15.75" customHeight="1" x14ac:dyDescent="0.25">
      <c r="A184" s="41" t="s">
        <v>1359</v>
      </c>
      <c r="B184" s="168"/>
      <c r="C184" s="43"/>
      <c r="D184" s="44"/>
      <c r="E184" s="32"/>
      <c r="F184" s="33"/>
      <c r="G184" s="592"/>
      <c r="H184" s="222"/>
      <c r="I184" s="223"/>
      <c r="J184" s="224"/>
      <c r="K184" s="37"/>
      <c r="L184" s="65"/>
    </row>
    <row r="185" spans="1:12" ht="4.2" customHeight="1" x14ac:dyDescent="0.2">
      <c r="A185" s="564"/>
      <c r="B185" s="564"/>
      <c r="C185" s="565"/>
      <c r="D185" s="566"/>
      <c r="E185" s="566"/>
      <c r="F185" s="566"/>
      <c r="G185" s="567"/>
      <c r="H185" s="572"/>
      <c r="I185" s="573"/>
      <c r="J185" s="570"/>
      <c r="L185" s="65"/>
    </row>
    <row r="186" spans="1:12" s="55" customFormat="1" ht="4.2" customHeight="1" x14ac:dyDescent="0.2">
      <c r="A186" s="81"/>
      <c r="B186" s="81"/>
      <c r="D186" s="84"/>
      <c r="E186" s="84"/>
      <c r="F186" s="84"/>
      <c r="G186" s="85"/>
      <c r="H186" s="108"/>
      <c r="I186" s="109"/>
      <c r="J186" s="171"/>
      <c r="K186" s="53"/>
      <c r="L186" s="65"/>
    </row>
    <row r="187" spans="1:12" s="180" customFormat="1" ht="10.95" customHeight="1" x14ac:dyDescent="0.15">
      <c r="A187" s="172"/>
      <c r="B187" s="172"/>
      <c r="C187" s="173"/>
      <c r="D187" s="174"/>
      <c r="E187" s="174"/>
      <c r="F187" s="59"/>
      <c r="G187" s="60" t="s">
        <v>116</v>
      </c>
      <c r="H187" s="61" t="s">
        <v>25</v>
      </c>
      <c r="I187" s="62" t="s">
        <v>26</v>
      </c>
      <c r="J187" s="63" t="s">
        <v>117</v>
      </c>
      <c r="K187" s="179"/>
      <c r="L187" s="65"/>
    </row>
    <row r="188" spans="1:12" s="180" customFormat="1" ht="10.95" customHeight="1" x14ac:dyDescent="0.15">
      <c r="A188" s="172"/>
      <c r="B188" s="172"/>
      <c r="C188" s="181"/>
      <c r="D188" s="174"/>
      <c r="E188" s="174"/>
      <c r="F188" s="59"/>
      <c r="G188" s="67" t="s">
        <v>29</v>
      </c>
      <c r="H188" s="61" t="s">
        <v>27</v>
      </c>
      <c r="I188" s="62" t="s">
        <v>28</v>
      </c>
      <c r="J188" s="63" t="s">
        <v>118</v>
      </c>
      <c r="K188" s="179"/>
      <c r="L188" s="65"/>
    </row>
    <row r="189" spans="1:12" s="180" customFormat="1" ht="10.95" customHeight="1" x14ac:dyDescent="0.15">
      <c r="A189" s="172"/>
      <c r="B189" s="172"/>
      <c r="C189" s="181"/>
      <c r="D189" s="174"/>
      <c r="E189" s="174"/>
      <c r="F189" s="59"/>
      <c r="G189" s="60" t="s">
        <v>31</v>
      </c>
      <c r="H189" s="61" t="s">
        <v>29</v>
      </c>
      <c r="I189" s="62" t="s">
        <v>30</v>
      </c>
      <c r="J189" s="69" t="s">
        <v>119</v>
      </c>
      <c r="K189" s="179"/>
      <c r="L189" s="65"/>
    </row>
    <row r="190" spans="1:12" s="180" customFormat="1" ht="10.95" customHeight="1" x14ac:dyDescent="0.15">
      <c r="A190" s="172"/>
      <c r="B190" s="172"/>
      <c r="C190" s="181"/>
      <c r="D190" s="174"/>
      <c r="E190" s="174"/>
      <c r="F190" s="59"/>
      <c r="G190" s="67" t="s">
        <v>32</v>
      </c>
      <c r="H190" s="61" t="s">
        <v>33</v>
      </c>
      <c r="I190" s="62" t="s">
        <v>120</v>
      </c>
      <c r="J190" s="70" t="s">
        <v>121</v>
      </c>
      <c r="K190" s="179"/>
      <c r="L190" s="65"/>
    </row>
    <row r="191" spans="1:12" ht="4.2" customHeight="1" x14ac:dyDescent="0.2">
      <c r="A191" s="564"/>
      <c r="B191" s="564"/>
      <c r="C191" s="565"/>
      <c r="D191" s="566"/>
      <c r="E191" s="566"/>
      <c r="F191" s="566"/>
      <c r="G191" s="567"/>
      <c r="H191" s="572"/>
      <c r="I191" s="573"/>
      <c r="J191" s="566"/>
      <c r="L191" s="65"/>
    </row>
    <row r="192" spans="1:12" ht="4.2" customHeight="1" x14ac:dyDescent="0.2">
      <c r="B192" s="81"/>
      <c r="C192" s="82"/>
      <c r="D192" s="83"/>
      <c r="E192" s="83"/>
      <c r="F192" s="84"/>
      <c r="H192" s="86"/>
      <c r="I192" s="87"/>
      <c r="J192" s="83"/>
      <c r="L192" s="65"/>
    </row>
    <row r="193" spans="1:14" s="93" customFormat="1" ht="10.95" customHeight="1" x14ac:dyDescent="0.2">
      <c r="A193" s="111" t="s">
        <v>123</v>
      </c>
      <c r="B193" s="112"/>
      <c r="C193" s="113"/>
      <c r="F193" s="114" t="s">
        <v>124</v>
      </c>
      <c r="G193" s="575"/>
      <c r="H193" s="116"/>
      <c r="I193" s="117"/>
      <c r="K193" s="53"/>
      <c r="L193" s="185"/>
    </row>
    <row r="194" spans="1:14" s="128" customFormat="1" ht="4.2" customHeight="1" x14ac:dyDescent="0.2">
      <c r="A194" s="186"/>
      <c r="B194" s="186"/>
      <c r="C194" s="187"/>
      <c r="D194" s="79"/>
      <c r="E194" s="79"/>
      <c r="G194" s="85"/>
      <c r="H194" s="108"/>
      <c r="I194" s="109"/>
      <c r="J194" s="110"/>
      <c r="K194" s="53"/>
      <c r="L194" s="65"/>
    </row>
    <row r="195" spans="1:14" s="55" customFormat="1" ht="12.75" customHeight="1" x14ac:dyDescent="0.25">
      <c r="A195" s="119" t="s">
        <v>231</v>
      </c>
      <c r="B195" s="120" t="s">
        <v>249</v>
      </c>
      <c r="C195" s="200"/>
      <c r="D195" s="122"/>
      <c r="E195" s="122"/>
      <c r="G195" s="85"/>
      <c r="H195" s="108"/>
      <c r="I195" s="79"/>
      <c r="J195" s="146"/>
      <c r="K195" s="218"/>
      <c r="L195" s="65"/>
    </row>
    <row r="196" spans="1:14" s="55" customFormat="1" ht="6" customHeight="1" x14ac:dyDescent="0.2">
      <c r="A196" s="186"/>
      <c r="B196" s="193"/>
      <c r="C196" s="78"/>
      <c r="D196" s="127"/>
      <c r="E196" s="127"/>
      <c r="G196" s="85"/>
      <c r="H196" s="108"/>
      <c r="I196" s="79"/>
      <c r="J196" s="146"/>
      <c r="K196" s="218"/>
      <c r="L196" s="65"/>
    </row>
    <row r="197" spans="1:14" s="55" customFormat="1" ht="10.95" customHeight="1" x14ac:dyDescent="0.2">
      <c r="B197" s="56" t="s">
        <v>250</v>
      </c>
      <c r="C197" s="56" t="s">
        <v>251</v>
      </c>
      <c r="D197" s="144"/>
      <c r="E197" s="144"/>
      <c r="F197" s="143"/>
      <c r="G197" s="138">
        <v>0.6</v>
      </c>
      <c r="H197" s="132">
        <v>17</v>
      </c>
      <c r="I197" s="132">
        <v>640</v>
      </c>
      <c r="J197" s="135">
        <v>8.9</v>
      </c>
      <c r="K197" s="78"/>
      <c r="L197" s="78"/>
      <c r="M197" s="225"/>
      <c r="N197" s="225"/>
    </row>
    <row r="198" spans="1:14" s="55" customFormat="1" ht="10.95" customHeight="1" x14ac:dyDescent="0.2">
      <c r="B198" s="56"/>
      <c r="C198" s="56" t="s">
        <v>252</v>
      </c>
      <c r="D198" s="144" t="s">
        <v>253</v>
      </c>
      <c r="E198" s="144"/>
      <c r="F198" s="143"/>
      <c r="G198" s="138">
        <v>0.2</v>
      </c>
      <c r="H198" s="132">
        <v>6</v>
      </c>
      <c r="I198" s="132">
        <v>220</v>
      </c>
      <c r="J198" s="135">
        <v>12.9</v>
      </c>
      <c r="K198" s="78"/>
      <c r="L198" s="78"/>
      <c r="M198" s="225"/>
      <c r="N198" s="225"/>
    </row>
    <row r="199" spans="1:14" s="55" customFormat="1" ht="10.95" customHeight="1" x14ac:dyDescent="0.2">
      <c r="B199" s="56"/>
      <c r="C199" s="56" t="s">
        <v>254</v>
      </c>
      <c r="D199" s="144" t="s">
        <v>255</v>
      </c>
      <c r="E199" s="144"/>
      <c r="F199" s="143"/>
      <c r="G199" s="138">
        <v>0.3</v>
      </c>
      <c r="H199" s="132">
        <v>8</v>
      </c>
      <c r="I199" s="132">
        <v>350</v>
      </c>
      <c r="J199" s="135">
        <v>12.8</v>
      </c>
      <c r="K199" s="78"/>
      <c r="L199" s="78"/>
      <c r="M199" s="225"/>
      <c r="N199" s="225"/>
    </row>
    <row r="200" spans="1:14" s="55" customFormat="1" ht="10.95" customHeight="1" x14ac:dyDescent="0.2">
      <c r="B200" s="56"/>
      <c r="C200" s="56" t="s">
        <v>256</v>
      </c>
      <c r="D200" s="144" t="s">
        <v>257</v>
      </c>
      <c r="F200" s="143"/>
      <c r="G200" s="138">
        <v>0.1</v>
      </c>
      <c r="H200" s="132">
        <v>2</v>
      </c>
      <c r="I200" s="132">
        <v>120</v>
      </c>
      <c r="J200" s="135">
        <v>12.7</v>
      </c>
      <c r="K200" s="78"/>
      <c r="L200" s="78"/>
      <c r="M200" s="225"/>
      <c r="N200" s="225"/>
    </row>
    <row r="201" spans="1:14" s="55" customFormat="1" ht="10.95" customHeight="1" x14ac:dyDescent="0.2">
      <c r="B201" s="56"/>
      <c r="C201" s="136" t="s">
        <v>258</v>
      </c>
      <c r="D201" s="142" t="s">
        <v>259</v>
      </c>
      <c r="F201" s="143"/>
      <c r="G201" s="138">
        <v>0.1</v>
      </c>
      <c r="H201" s="132">
        <v>2</v>
      </c>
      <c r="I201" s="132">
        <v>10</v>
      </c>
      <c r="J201" s="135">
        <v>50.4</v>
      </c>
      <c r="K201" s="78"/>
      <c r="L201" s="78"/>
      <c r="M201" s="225"/>
      <c r="N201" s="225"/>
    </row>
    <row r="202" spans="1:14" s="55" customFormat="1" ht="3" customHeight="1" x14ac:dyDescent="0.2">
      <c r="B202" s="56"/>
      <c r="C202" s="136"/>
      <c r="D202" s="142"/>
      <c r="F202" s="143"/>
      <c r="G202" s="138"/>
      <c r="H202" s="132"/>
      <c r="I202" s="133"/>
      <c r="J202" s="146"/>
      <c r="K202" s="78"/>
      <c r="L202" s="78"/>
      <c r="M202" s="225"/>
      <c r="N202" s="225"/>
    </row>
    <row r="203" spans="1:14" s="55" customFormat="1" ht="10.95" customHeight="1" x14ac:dyDescent="0.2">
      <c r="B203" s="56" t="s">
        <v>260</v>
      </c>
      <c r="C203" s="136" t="s">
        <v>261</v>
      </c>
      <c r="D203" s="142"/>
      <c r="F203" s="143"/>
      <c r="G203" s="138">
        <v>0.2</v>
      </c>
      <c r="H203" s="132">
        <v>7</v>
      </c>
      <c r="I203" s="132">
        <v>210</v>
      </c>
      <c r="J203" s="135">
        <v>13.4</v>
      </c>
      <c r="K203" s="78"/>
      <c r="L203" s="78"/>
      <c r="M203" s="225"/>
      <c r="N203" s="225"/>
    </row>
    <row r="204" spans="1:14" s="55" customFormat="1" ht="3" customHeight="1" x14ac:dyDescent="0.2">
      <c r="A204" s="56"/>
      <c r="B204" s="136"/>
      <c r="C204" s="144"/>
      <c r="F204" s="143"/>
      <c r="G204" s="138"/>
      <c r="H204" s="132"/>
      <c r="I204" s="133"/>
      <c r="J204" s="134"/>
      <c r="K204" s="78"/>
      <c r="L204" s="78"/>
      <c r="M204" s="225"/>
      <c r="N204" s="225"/>
    </row>
    <row r="205" spans="1:14" s="55" customFormat="1" ht="10.95" customHeight="1" x14ac:dyDescent="0.2">
      <c r="B205" s="56" t="s">
        <v>262</v>
      </c>
      <c r="C205" s="136" t="s">
        <v>263</v>
      </c>
      <c r="D205" s="142"/>
      <c r="F205" s="143"/>
      <c r="G205" s="138">
        <v>0.1</v>
      </c>
      <c r="H205" s="132">
        <v>4</v>
      </c>
      <c r="I205" s="132">
        <v>80</v>
      </c>
      <c r="J205" s="135">
        <v>21.4</v>
      </c>
      <c r="K205" s="78"/>
      <c r="L205" s="78"/>
      <c r="M205" s="225"/>
      <c r="N205" s="225"/>
    </row>
    <row r="206" spans="1:14" s="55" customFormat="1" ht="10.95" customHeight="1" x14ac:dyDescent="0.2">
      <c r="B206" s="56"/>
      <c r="C206" s="136" t="s">
        <v>264</v>
      </c>
      <c r="D206" s="56" t="s">
        <v>265</v>
      </c>
      <c r="F206" s="143"/>
      <c r="G206" s="138">
        <v>0.1</v>
      </c>
      <c r="H206" s="132">
        <v>3</v>
      </c>
      <c r="I206" s="132">
        <v>60</v>
      </c>
      <c r="J206" s="135">
        <v>22.6</v>
      </c>
      <c r="K206" s="78"/>
      <c r="L206" s="78"/>
      <c r="M206" s="225"/>
      <c r="N206" s="225"/>
    </row>
    <row r="207" spans="1:14" s="55" customFormat="1" ht="10.95" customHeight="1" x14ac:dyDescent="0.2">
      <c r="B207" s="56"/>
      <c r="C207" s="136" t="s">
        <v>266</v>
      </c>
      <c r="D207" s="55" t="s">
        <v>267</v>
      </c>
      <c r="F207" s="143"/>
      <c r="G207" s="138" t="s">
        <v>1009</v>
      </c>
      <c r="H207" s="132">
        <v>1</v>
      </c>
      <c r="I207" s="132">
        <v>30</v>
      </c>
      <c r="J207" s="135">
        <v>58.3</v>
      </c>
      <c r="K207" s="78"/>
      <c r="L207" s="78"/>
      <c r="M207" s="225"/>
      <c r="N207" s="225"/>
    </row>
    <row r="208" spans="1:14" s="55" customFormat="1" ht="3" customHeight="1" x14ac:dyDescent="0.25">
      <c r="A208" s="80"/>
      <c r="B208" s="129"/>
      <c r="C208" s="144"/>
      <c r="D208" s="79"/>
      <c r="E208" s="79"/>
      <c r="F208" s="106"/>
      <c r="G208" s="138"/>
      <c r="H208" s="132"/>
      <c r="I208" s="133"/>
      <c r="J208" s="135"/>
      <c r="K208" s="78"/>
      <c r="L208" s="78"/>
      <c r="M208" s="225"/>
      <c r="N208" s="225"/>
    </row>
    <row r="209" spans="1:14" ht="10.95" customHeight="1" x14ac:dyDescent="0.2">
      <c r="A209" s="80">
        <v>3.2</v>
      </c>
      <c r="B209" s="129" t="s">
        <v>268</v>
      </c>
      <c r="C209" s="201"/>
      <c r="D209" s="79"/>
      <c r="E209" s="79"/>
      <c r="F209" s="157"/>
      <c r="G209" s="138">
        <v>3.2</v>
      </c>
      <c r="H209" s="132">
        <v>90</v>
      </c>
      <c r="I209" s="132">
        <v>920</v>
      </c>
      <c r="J209" s="135">
        <v>5.6</v>
      </c>
      <c r="K209" s="78"/>
      <c r="L209" s="78"/>
      <c r="M209" s="225"/>
      <c r="N209" s="225"/>
    </row>
    <row r="210" spans="1:14" s="55" customFormat="1" ht="10.95" customHeight="1" x14ac:dyDescent="0.2">
      <c r="B210" s="56" t="s">
        <v>269</v>
      </c>
      <c r="C210" s="56" t="s">
        <v>270</v>
      </c>
      <c r="D210" s="143"/>
      <c r="E210" s="143"/>
      <c r="F210" s="143"/>
      <c r="G210" s="138">
        <v>1</v>
      </c>
      <c r="H210" s="132">
        <v>29</v>
      </c>
      <c r="I210" s="132">
        <v>260</v>
      </c>
      <c r="J210" s="135">
        <v>8.1999999999999993</v>
      </c>
      <c r="K210" s="78"/>
      <c r="L210" s="78"/>
      <c r="M210" s="225"/>
      <c r="N210" s="225"/>
    </row>
    <row r="211" spans="1:14" s="55" customFormat="1" ht="10.95" customHeight="1" x14ac:dyDescent="0.2">
      <c r="B211" s="56" t="s">
        <v>271</v>
      </c>
      <c r="C211" s="56" t="s">
        <v>272</v>
      </c>
      <c r="D211" s="143"/>
      <c r="E211" s="143"/>
      <c r="F211" s="143"/>
      <c r="G211" s="138">
        <v>1.6</v>
      </c>
      <c r="H211" s="132">
        <v>46</v>
      </c>
      <c r="I211" s="132">
        <v>540</v>
      </c>
      <c r="J211" s="135">
        <v>8.4</v>
      </c>
      <c r="K211" s="78"/>
      <c r="L211" s="78"/>
      <c r="M211" s="225"/>
      <c r="N211" s="225"/>
    </row>
    <row r="212" spans="1:14" s="55" customFormat="1" ht="10.95" customHeight="1" x14ac:dyDescent="0.2">
      <c r="B212" s="56" t="s">
        <v>273</v>
      </c>
      <c r="C212" s="56" t="s">
        <v>274</v>
      </c>
      <c r="D212" s="143"/>
      <c r="E212" s="143"/>
      <c r="F212" s="143"/>
      <c r="G212" s="138">
        <v>0.5</v>
      </c>
      <c r="H212" s="132">
        <v>14</v>
      </c>
      <c r="I212" s="132">
        <v>200</v>
      </c>
      <c r="J212" s="135">
        <v>11.2</v>
      </c>
      <c r="K212" s="78"/>
      <c r="L212" s="78"/>
      <c r="M212" s="225"/>
      <c r="N212" s="225"/>
    </row>
    <row r="213" spans="1:14" s="55" customFormat="1" ht="10.95" customHeight="1" x14ac:dyDescent="0.2">
      <c r="B213" s="56" t="s">
        <v>275</v>
      </c>
      <c r="C213" s="136" t="s">
        <v>276</v>
      </c>
      <c r="F213" s="143"/>
      <c r="G213" s="138" t="s">
        <v>1009</v>
      </c>
      <c r="H213" s="132">
        <v>1</v>
      </c>
      <c r="I213" s="132">
        <v>30</v>
      </c>
      <c r="J213" s="135">
        <v>29.1</v>
      </c>
      <c r="K213" s="78"/>
      <c r="L213" s="78"/>
      <c r="M213" s="225"/>
      <c r="N213" s="225"/>
    </row>
    <row r="214" spans="1:14" ht="4.2" customHeight="1" x14ac:dyDescent="0.25">
      <c r="A214" s="564"/>
      <c r="B214" s="583"/>
      <c r="C214" s="593"/>
      <c r="D214" s="565"/>
      <c r="E214" s="565"/>
      <c r="F214" s="571"/>
      <c r="G214" s="579"/>
      <c r="H214" s="580"/>
      <c r="I214" s="581"/>
      <c r="J214" s="582"/>
      <c r="K214" s="78"/>
      <c r="L214" s="78"/>
      <c r="M214" s="225"/>
      <c r="N214" s="225"/>
    </row>
    <row r="215" spans="1:14" s="55" customFormat="1" ht="4.2" customHeight="1" x14ac:dyDescent="0.2">
      <c r="A215" s="56"/>
      <c r="B215" s="56"/>
      <c r="C215" s="142"/>
      <c r="F215" s="143"/>
      <c r="G215" s="138"/>
      <c r="H215" s="139"/>
      <c r="I215" s="140"/>
      <c r="J215" s="135"/>
      <c r="K215" s="78"/>
      <c r="L215" s="78"/>
      <c r="M215" s="225"/>
      <c r="N215" s="225"/>
    </row>
    <row r="216" spans="1:14" s="128" customFormat="1" ht="12.75" customHeight="1" x14ac:dyDescent="0.25">
      <c r="A216" s="188">
        <v>4</v>
      </c>
      <c r="B216" s="227" t="s">
        <v>277</v>
      </c>
      <c r="C216" s="228"/>
      <c r="D216" s="121"/>
      <c r="E216" s="121"/>
      <c r="F216" s="200"/>
      <c r="G216" s="576">
        <v>87.7</v>
      </c>
      <c r="H216" s="124">
        <v>2499</v>
      </c>
      <c r="I216" s="124">
        <v>5630</v>
      </c>
      <c r="J216" s="125">
        <v>1.5</v>
      </c>
      <c r="K216" s="78"/>
      <c r="L216" s="78"/>
      <c r="M216" s="225"/>
      <c r="N216" s="225"/>
    </row>
    <row r="217" spans="1:14" s="55" customFormat="1" ht="6" customHeight="1" x14ac:dyDescent="0.25">
      <c r="A217" s="80"/>
      <c r="B217" s="129"/>
      <c r="C217" s="144"/>
      <c r="D217" s="79"/>
      <c r="E217" s="79"/>
      <c r="F217" s="106"/>
      <c r="G217" s="138"/>
      <c r="H217" s="139"/>
      <c r="I217" s="140"/>
      <c r="J217" s="146"/>
      <c r="K217" s="78"/>
      <c r="L217" s="78"/>
      <c r="M217" s="225"/>
      <c r="N217" s="225"/>
    </row>
    <row r="218" spans="1:14" s="229" customFormat="1" ht="10.95" customHeight="1" x14ac:dyDescent="0.2">
      <c r="A218" s="80">
        <v>4.0999999999999996</v>
      </c>
      <c r="B218" s="129" t="s">
        <v>278</v>
      </c>
      <c r="C218" s="80"/>
      <c r="D218" s="79"/>
      <c r="E218" s="79"/>
      <c r="F218" s="79"/>
      <c r="G218" s="138">
        <v>51.6</v>
      </c>
      <c r="H218" s="132">
        <v>1472</v>
      </c>
      <c r="I218" s="132">
        <v>1500</v>
      </c>
      <c r="J218" s="135">
        <v>2.4</v>
      </c>
      <c r="K218" s="78"/>
      <c r="L218" s="78"/>
      <c r="M218" s="225"/>
      <c r="N218" s="225"/>
    </row>
    <row r="219" spans="1:14" s="55" customFormat="1" ht="10.95" customHeight="1" x14ac:dyDescent="0.2">
      <c r="B219" s="56" t="s">
        <v>279</v>
      </c>
      <c r="C219" s="56" t="s">
        <v>280</v>
      </c>
      <c r="G219" s="138">
        <v>51.5</v>
      </c>
      <c r="H219" s="132">
        <v>1469</v>
      </c>
      <c r="I219" s="132">
        <v>1490</v>
      </c>
      <c r="J219" s="135">
        <v>2.4</v>
      </c>
      <c r="K219" s="78"/>
      <c r="L219" s="78"/>
      <c r="M219" s="225"/>
      <c r="N219" s="225"/>
    </row>
    <row r="220" spans="1:14" s="55" customFormat="1" ht="10.95" customHeight="1" x14ac:dyDescent="0.2">
      <c r="B220" s="56" t="s">
        <v>281</v>
      </c>
      <c r="C220" s="230" t="s">
        <v>282</v>
      </c>
      <c r="G220" s="138">
        <v>9.6999999999999993</v>
      </c>
      <c r="H220" s="132">
        <v>276</v>
      </c>
      <c r="I220" s="132">
        <v>860</v>
      </c>
      <c r="J220" s="135">
        <v>6</v>
      </c>
      <c r="K220" s="78"/>
      <c r="L220" s="78"/>
      <c r="M220" s="225"/>
      <c r="N220" s="225"/>
    </row>
    <row r="221" spans="1:14" s="141" customFormat="1" ht="10.95" customHeight="1" x14ac:dyDescent="0.2">
      <c r="B221" s="56" t="s">
        <v>283</v>
      </c>
      <c r="C221" s="136" t="s">
        <v>284</v>
      </c>
      <c r="D221" s="55"/>
      <c r="E221" s="55"/>
      <c r="F221" s="55"/>
      <c r="G221" s="138">
        <v>41.9</v>
      </c>
      <c r="H221" s="132">
        <v>1193</v>
      </c>
      <c r="I221" s="132">
        <v>1350</v>
      </c>
      <c r="J221" s="135">
        <v>2.9</v>
      </c>
      <c r="K221" s="78"/>
      <c r="L221" s="78"/>
      <c r="M221" s="225"/>
      <c r="N221" s="225"/>
    </row>
    <row r="222" spans="1:14" s="55" customFormat="1" ht="10.95" customHeight="1" x14ac:dyDescent="0.2">
      <c r="B222" s="56" t="s">
        <v>285</v>
      </c>
      <c r="C222" s="136" t="s">
        <v>286</v>
      </c>
      <c r="G222" s="138">
        <v>0.1</v>
      </c>
      <c r="H222" s="132">
        <v>3</v>
      </c>
      <c r="I222" s="132">
        <v>10</v>
      </c>
      <c r="J222" s="135">
        <v>49.2</v>
      </c>
      <c r="K222" s="78"/>
      <c r="L222" s="78"/>
      <c r="M222" s="225"/>
      <c r="N222" s="225"/>
    </row>
    <row r="223" spans="1:14" ht="3" customHeight="1" x14ac:dyDescent="0.25">
      <c r="B223" s="129"/>
      <c r="C223" s="142"/>
      <c r="D223" s="79"/>
      <c r="E223" s="79"/>
      <c r="F223" s="106"/>
      <c r="G223" s="138"/>
      <c r="H223" s="139"/>
      <c r="I223" s="140"/>
      <c r="J223" s="146"/>
      <c r="K223" s="78"/>
      <c r="L223" s="78"/>
      <c r="M223" s="225"/>
      <c r="N223" s="225"/>
    </row>
    <row r="224" spans="1:14" ht="10.95" customHeight="1" x14ac:dyDescent="0.2">
      <c r="A224" s="80">
        <v>4.2</v>
      </c>
      <c r="B224" s="129" t="s">
        <v>287</v>
      </c>
      <c r="D224" s="79"/>
      <c r="E224" s="79"/>
      <c r="F224" s="79"/>
      <c r="G224" s="138">
        <v>9.6999999999999993</v>
      </c>
      <c r="H224" s="132">
        <v>276</v>
      </c>
      <c r="I224" s="132">
        <v>2260</v>
      </c>
      <c r="J224" s="135">
        <v>5.3</v>
      </c>
      <c r="K224" s="78"/>
      <c r="L224" s="78"/>
      <c r="M224" s="225"/>
      <c r="N224" s="225"/>
    </row>
    <row r="225" spans="1:14" s="55" customFormat="1" ht="10.95" customHeight="1" x14ac:dyDescent="0.2">
      <c r="B225" s="56" t="s">
        <v>288</v>
      </c>
      <c r="C225" s="56" t="s">
        <v>289</v>
      </c>
      <c r="G225" s="138">
        <v>1.2</v>
      </c>
      <c r="H225" s="132">
        <v>34</v>
      </c>
      <c r="I225" s="132">
        <v>1110</v>
      </c>
      <c r="J225" s="135">
        <v>8.4</v>
      </c>
      <c r="K225" s="78"/>
      <c r="L225" s="78"/>
      <c r="M225" s="225"/>
      <c r="N225" s="225"/>
    </row>
    <row r="226" spans="1:14" s="55" customFormat="1" ht="10.95" customHeight="1" x14ac:dyDescent="0.2">
      <c r="B226" s="56" t="s">
        <v>290</v>
      </c>
      <c r="C226" s="136" t="s">
        <v>291</v>
      </c>
      <c r="G226" s="138">
        <v>6</v>
      </c>
      <c r="H226" s="132">
        <v>170</v>
      </c>
      <c r="I226" s="132">
        <v>1050</v>
      </c>
      <c r="J226" s="135">
        <v>6.4</v>
      </c>
      <c r="K226" s="78"/>
      <c r="L226" s="78"/>
      <c r="M226" s="225"/>
      <c r="N226" s="225"/>
    </row>
    <row r="227" spans="1:14" s="55" customFormat="1" ht="10.95" customHeight="1" x14ac:dyDescent="0.2">
      <c r="B227" s="56" t="s">
        <v>292</v>
      </c>
      <c r="C227" s="136" t="s">
        <v>293</v>
      </c>
      <c r="G227" s="138">
        <v>1.5</v>
      </c>
      <c r="H227" s="132">
        <v>44</v>
      </c>
      <c r="I227" s="132">
        <v>460</v>
      </c>
      <c r="J227" s="135">
        <v>10.3</v>
      </c>
      <c r="K227" s="78"/>
      <c r="L227" s="78"/>
      <c r="M227" s="225"/>
      <c r="N227" s="225"/>
    </row>
    <row r="228" spans="1:14" s="55" customFormat="1" ht="10.95" customHeight="1" x14ac:dyDescent="0.2">
      <c r="B228" s="56" t="s">
        <v>294</v>
      </c>
      <c r="C228" s="56" t="s">
        <v>295</v>
      </c>
      <c r="G228" s="138">
        <v>1</v>
      </c>
      <c r="H228" s="132">
        <v>28</v>
      </c>
      <c r="I228" s="132">
        <v>390</v>
      </c>
      <c r="J228" s="135">
        <v>17.899999999999999</v>
      </c>
      <c r="K228" s="78"/>
      <c r="L228" s="78"/>
      <c r="M228" s="225"/>
      <c r="N228" s="225"/>
    </row>
    <row r="229" spans="1:14" s="55" customFormat="1" ht="3" customHeight="1" x14ac:dyDescent="0.2">
      <c r="A229" s="56"/>
      <c r="B229" s="56"/>
      <c r="C229" s="144"/>
      <c r="F229" s="143"/>
      <c r="G229" s="138"/>
      <c r="H229" s="139"/>
      <c r="I229" s="140"/>
      <c r="J229" s="135"/>
      <c r="K229" s="78"/>
      <c r="L229" s="78"/>
      <c r="M229" s="225"/>
      <c r="N229" s="225"/>
    </row>
    <row r="230" spans="1:14" ht="10.5" customHeight="1" x14ac:dyDescent="0.2">
      <c r="A230" s="80">
        <v>4.3</v>
      </c>
      <c r="B230" s="80" t="s">
        <v>296</v>
      </c>
      <c r="D230" s="79"/>
      <c r="E230" s="79"/>
      <c r="F230" s="79"/>
      <c r="G230" s="138">
        <v>10.4</v>
      </c>
      <c r="H230" s="132">
        <v>295</v>
      </c>
      <c r="I230" s="132">
        <v>5310</v>
      </c>
      <c r="J230" s="135">
        <v>2.1</v>
      </c>
      <c r="K230" s="78"/>
      <c r="L230" s="78"/>
      <c r="M230" s="225"/>
      <c r="N230" s="225"/>
    </row>
    <row r="231" spans="1:14" s="55" customFormat="1" ht="10.95" customHeight="1" x14ac:dyDescent="0.2">
      <c r="B231" s="56" t="s">
        <v>297</v>
      </c>
      <c r="C231" s="136" t="s">
        <v>298</v>
      </c>
      <c r="G231" s="138">
        <v>8.1999999999999993</v>
      </c>
      <c r="H231" s="132">
        <v>232</v>
      </c>
      <c r="I231" s="132">
        <v>5250</v>
      </c>
      <c r="J231" s="135">
        <v>1</v>
      </c>
      <c r="K231" s="78"/>
      <c r="L231" s="78"/>
      <c r="M231" s="225"/>
      <c r="N231" s="225"/>
    </row>
    <row r="232" spans="1:14" s="55" customFormat="1" ht="10.95" customHeight="1" x14ac:dyDescent="0.2">
      <c r="B232" s="56" t="s">
        <v>299</v>
      </c>
      <c r="C232" s="136" t="s">
        <v>300</v>
      </c>
      <c r="G232" s="138">
        <v>2</v>
      </c>
      <c r="H232" s="132">
        <v>57</v>
      </c>
      <c r="I232" s="132">
        <v>640</v>
      </c>
      <c r="J232" s="135">
        <v>8.6999999999999993</v>
      </c>
      <c r="K232" s="78"/>
      <c r="L232" s="78"/>
      <c r="M232" s="225"/>
      <c r="N232" s="225"/>
    </row>
    <row r="233" spans="1:14" s="141" customFormat="1" ht="10.95" customHeight="1" x14ac:dyDescent="0.2">
      <c r="B233" s="56" t="s">
        <v>301</v>
      </c>
      <c r="C233" s="136" t="s">
        <v>302</v>
      </c>
      <c r="D233" s="55"/>
      <c r="E233" s="55"/>
      <c r="F233" s="55"/>
      <c r="G233" s="138">
        <v>0.2</v>
      </c>
      <c r="H233" s="132">
        <v>6</v>
      </c>
      <c r="I233" s="132">
        <v>50</v>
      </c>
      <c r="J233" s="135">
        <v>35.6</v>
      </c>
      <c r="K233" s="78"/>
      <c r="L233" s="78"/>
      <c r="M233" s="225"/>
      <c r="N233" s="225"/>
    </row>
    <row r="234" spans="1:14" s="55" customFormat="1" ht="3" customHeight="1" x14ac:dyDescent="0.2">
      <c r="A234" s="56"/>
      <c r="B234" s="56"/>
      <c r="C234" s="56"/>
      <c r="G234" s="85"/>
      <c r="H234" s="86"/>
      <c r="I234" s="87"/>
      <c r="J234" s="231"/>
      <c r="K234" s="78"/>
      <c r="L234" s="78"/>
      <c r="M234" s="225"/>
      <c r="N234" s="225"/>
    </row>
    <row r="235" spans="1:14" ht="10.95" customHeight="1" x14ac:dyDescent="0.2">
      <c r="A235" s="80">
        <v>4.4000000000000004</v>
      </c>
      <c r="B235" s="80" t="s">
        <v>303</v>
      </c>
      <c r="D235" s="79"/>
      <c r="E235" s="79"/>
      <c r="F235" s="79"/>
      <c r="G235" s="138">
        <v>25.7</v>
      </c>
      <c r="H235" s="132">
        <v>732</v>
      </c>
      <c r="I235" s="132">
        <v>5590</v>
      </c>
      <c r="J235" s="135">
        <v>0.8</v>
      </c>
      <c r="K235" s="78"/>
      <c r="L235" s="78"/>
      <c r="M235" s="225"/>
      <c r="N235" s="225"/>
    </row>
    <row r="236" spans="1:14" s="55" customFormat="1" ht="10.95" customHeight="1" x14ac:dyDescent="0.2">
      <c r="B236" s="56" t="s">
        <v>304</v>
      </c>
      <c r="C236" s="136" t="s">
        <v>305</v>
      </c>
      <c r="G236" s="138">
        <v>13.7</v>
      </c>
      <c r="H236" s="132">
        <v>391</v>
      </c>
      <c r="I236" s="132">
        <v>5580</v>
      </c>
      <c r="J236" s="135">
        <v>1</v>
      </c>
      <c r="K236" s="78"/>
      <c r="L236" s="78"/>
      <c r="M236" s="225"/>
      <c r="N236" s="225"/>
    </row>
    <row r="237" spans="1:14" s="55" customFormat="1" ht="10.5" customHeight="1" x14ac:dyDescent="0.2">
      <c r="B237" s="56" t="s">
        <v>306</v>
      </c>
      <c r="C237" s="136" t="s">
        <v>307</v>
      </c>
      <c r="G237" s="138">
        <v>10.5</v>
      </c>
      <c r="H237" s="132">
        <v>300</v>
      </c>
      <c r="I237" s="132">
        <v>4620</v>
      </c>
      <c r="J237" s="135">
        <v>1.4</v>
      </c>
      <c r="K237" s="78"/>
      <c r="L237" s="78"/>
      <c r="M237" s="225"/>
      <c r="N237" s="225"/>
    </row>
    <row r="238" spans="1:14" s="55" customFormat="1" ht="3" customHeight="1" x14ac:dyDescent="0.2">
      <c r="A238" s="56"/>
      <c r="B238" s="136"/>
      <c r="G238" s="85"/>
      <c r="H238" s="86"/>
      <c r="I238" s="87"/>
      <c r="J238" s="217"/>
      <c r="K238" s="78"/>
      <c r="L238" s="78"/>
      <c r="M238" s="225"/>
      <c r="N238" s="225"/>
    </row>
    <row r="239" spans="1:14" s="55" customFormat="1" ht="10.95" customHeight="1" x14ac:dyDescent="0.2">
      <c r="B239" s="56" t="s">
        <v>308</v>
      </c>
      <c r="C239" s="136" t="s">
        <v>309</v>
      </c>
      <c r="G239" s="138">
        <v>1.4</v>
      </c>
      <c r="H239" s="132">
        <v>40</v>
      </c>
      <c r="I239" s="132">
        <v>450</v>
      </c>
      <c r="J239" s="135">
        <v>8.4</v>
      </c>
      <c r="K239" s="78"/>
      <c r="L239" s="78"/>
      <c r="M239" s="225"/>
      <c r="N239" s="225"/>
    </row>
    <row r="240" spans="1:14" s="55" customFormat="1" ht="10.95" customHeight="1" x14ac:dyDescent="0.2">
      <c r="B240" s="56"/>
      <c r="C240" s="136" t="s">
        <v>310</v>
      </c>
      <c r="D240" s="55" t="s">
        <v>311</v>
      </c>
      <c r="G240" s="138">
        <v>0.1</v>
      </c>
      <c r="H240" s="132">
        <v>4</v>
      </c>
      <c r="I240" s="132">
        <v>90</v>
      </c>
      <c r="J240" s="135">
        <v>20.8</v>
      </c>
      <c r="K240" s="78"/>
      <c r="L240" s="78"/>
      <c r="M240" s="225"/>
      <c r="N240" s="225"/>
    </row>
    <row r="241" spans="1:14" s="55" customFormat="1" ht="10.95" customHeight="1" x14ac:dyDescent="0.2">
      <c r="B241" s="56"/>
      <c r="C241" s="136" t="s">
        <v>312</v>
      </c>
      <c r="D241" s="55" t="s">
        <v>313</v>
      </c>
      <c r="G241" s="138">
        <v>1.1000000000000001</v>
      </c>
      <c r="H241" s="132">
        <v>33</v>
      </c>
      <c r="I241" s="132">
        <v>320</v>
      </c>
      <c r="J241" s="135">
        <v>9.4</v>
      </c>
      <c r="K241" s="78"/>
      <c r="L241" s="78"/>
      <c r="M241" s="225"/>
      <c r="N241" s="225"/>
    </row>
    <row r="242" spans="1:14" s="55" customFormat="1" ht="10.95" customHeight="1" x14ac:dyDescent="0.2">
      <c r="B242" s="56"/>
      <c r="C242" s="56" t="s">
        <v>314</v>
      </c>
      <c r="D242" s="56" t="s">
        <v>315</v>
      </c>
      <c r="G242" s="138">
        <v>0.1</v>
      </c>
      <c r="H242" s="132">
        <v>4</v>
      </c>
      <c r="I242" s="132">
        <v>80</v>
      </c>
      <c r="J242" s="135">
        <v>21.9</v>
      </c>
      <c r="K242" s="78"/>
      <c r="L242" s="78"/>
      <c r="M242" s="225"/>
      <c r="N242" s="225"/>
    </row>
    <row r="243" spans="1:14" s="55" customFormat="1" ht="4.2" customHeight="1" x14ac:dyDescent="0.2">
      <c r="A243" s="555"/>
      <c r="B243" s="555"/>
      <c r="C243" s="593"/>
      <c r="D243" s="557"/>
      <c r="E243" s="557"/>
      <c r="F243" s="594"/>
      <c r="G243" s="579"/>
      <c r="H243" s="580"/>
      <c r="I243" s="581"/>
      <c r="J243" s="582"/>
      <c r="K243" s="78"/>
      <c r="L243" s="78"/>
      <c r="M243" s="225"/>
      <c r="N243" s="225"/>
    </row>
    <row r="244" spans="1:14" s="55" customFormat="1" ht="4.2" customHeight="1" x14ac:dyDescent="0.2">
      <c r="A244" s="56"/>
      <c r="B244" s="56"/>
      <c r="C244" s="144"/>
      <c r="F244" s="143"/>
      <c r="G244" s="138"/>
      <c r="H244" s="139"/>
      <c r="I244" s="140"/>
      <c r="J244" s="135"/>
      <c r="K244" s="78"/>
      <c r="L244" s="78"/>
      <c r="M244" s="225"/>
      <c r="N244" s="225"/>
    </row>
    <row r="245" spans="1:14" ht="12.75" customHeight="1" x14ac:dyDescent="0.25">
      <c r="A245" s="188">
        <v>5</v>
      </c>
      <c r="B245" s="120" t="s">
        <v>316</v>
      </c>
      <c r="C245" s="233"/>
      <c r="D245" s="121"/>
      <c r="E245" s="121"/>
      <c r="F245" s="200"/>
      <c r="G245" s="576">
        <v>34.700000000000003</v>
      </c>
      <c r="H245" s="124">
        <v>989</v>
      </c>
      <c r="I245" s="124">
        <v>5270</v>
      </c>
      <c r="J245" s="125">
        <v>3.1</v>
      </c>
      <c r="K245" s="78"/>
      <c r="L245" s="78"/>
      <c r="M245" s="225"/>
      <c r="N245" s="225"/>
    </row>
    <row r="246" spans="1:14" ht="6" customHeight="1" x14ac:dyDescent="0.2">
      <c r="A246" s="186"/>
      <c r="B246" s="193"/>
      <c r="C246" s="234"/>
      <c r="D246" s="128"/>
      <c r="E246" s="128"/>
      <c r="F246" s="78"/>
      <c r="G246" s="138"/>
      <c r="H246" s="132"/>
      <c r="I246" s="133"/>
      <c r="J246" s="135"/>
      <c r="K246" s="78"/>
      <c r="L246" s="78"/>
      <c r="M246" s="225"/>
      <c r="N246" s="225"/>
    </row>
    <row r="247" spans="1:14" ht="10.95" customHeight="1" x14ac:dyDescent="0.2">
      <c r="A247" s="80">
        <v>5.0999999999999996</v>
      </c>
      <c r="B247" s="129" t="s">
        <v>317</v>
      </c>
      <c r="C247" s="201"/>
      <c r="D247" s="80"/>
      <c r="E247" s="80"/>
      <c r="F247" s="157"/>
      <c r="G247" s="138">
        <v>17.8</v>
      </c>
      <c r="H247" s="132">
        <v>508</v>
      </c>
      <c r="I247" s="132">
        <v>1940</v>
      </c>
      <c r="J247" s="135">
        <v>5.0999999999999996</v>
      </c>
      <c r="K247" s="78"/>
      <c r="L247" s="78"/>
      <c r="M247" s="225"/>
      <c r="N247" s="225"/>
    </row>
    <row r="248" spans="1:14" ht="10.95" customHeight="1" x14ac:dyDescent="0.2">
      <c r="A248" s="56"/>
      <c r="B248" s="56" t="s">
        <v>318</v>
      </c>
      <c r="C248" s="136" t="s">
        <v>319</v>
      </c>
      <c r="D248" s="144"/>
      <c r="E248" s="56"/>
      <c r="F248" s="143"/>
      <c r="G248" s="138">
        <v>14.2</v>
      </c>
      <c r="H248" s="132">
        <v>404</v>
      </c>
      <c r="I248" s="132">
        <v>1630</v>
      </c>
      <c r="J248" s="135">
        <v>5.6</v>
      </c>
      <c r="K248" s="78"/>
      <c r="L248" s="78"/>
      <c r="M248" s="225"/>
      <c r="N248" s="225"/>
    </row>
    <row r="249" spans="1:14" ht="10.95" customHeight="1" x14ac:dyDescent="0.2">
      <c r="B249" s="129"/>
      <c r="C249" s="136" t="s">
        <v>320</v>
      </c>
      <c r="D249" s="56" t="s">
        <v>321</v>
      </c>
      <c r="E249" s="56"/>
      <c r="F249" s="143"/>
      <c r="G249" s="138">
        <v>12.7</v>
      </c>
      <c r="H249" s="132">
        <v>361</v>
      </c>
      <c r="I249" s="132">
        <v>1040</v>
      </c>
      <c r="J249" s="135">
        <v>5.9</v>
      </c>
      <c r="K249" s="78"/>
      <c r="L249" s="78"/>
      <c r="M249" s="225"/>
      <c r="N249" s="225"/>
    </row>
    <row r="250" spans="1:14" s="141" customFormat="1" ht="10.95" customHeight="1" x14ac:dyDescent="0.2">
      <c r="A250" s="186"/>
      <c r="B250" s="129"/>
      <c r="C250" s="136" t="s">
        <v>322</v>
      </c>
      <c r="D250" s="56" t="s">
        <v>323</v>
      </c>
      <c r="E250" s="56"/>
      <c r="F250" s="143"/>
      <c r="G250" s="138">
        <v>1.2</v>
      </c>
      <c r="H250" s="132">
        <v>33</v>
      </c>
      <c r="I250" s="132">
        <v>740</v>
      </c>
      <c r="J250" s="135">
        <v>16</v>
      </c>
      <c r="K250" s="78"/>
      <c r="L250" s="78"/>
      <c r="M250" s="225"/>
      <c r="N250" s="225"/>
    </row>
    <row r="251" spans="1:14" ht="10.95" customHeight="1" x14ac:dyDescent="0.2">
      <c r="A251" s="79"/>
      <c r="B251" s="79"/>
      <c r="C251" s="136" t="s">
        <v>324</v>
      </c>
      <c r="D251" s="56" t="s">
        <v>325</v>
      </c>
      <c r="E251" s="56"/>
      <c r="F251" s="143"/>
      <c r="G251" s="138">
        <v>0.4</v>
      </c>
      <c r="H251" s="132">
        <v>10</v>
      </c>
      <c r="I251" s="132">
        <v>60</v>
      </c>
      <c r="J251" s="135">
        <v>21.8</v>
      </c>
      <c r="K251" s="78"/>
      <c r="L251" s="78"/>
      <c r="M251" s="225"/>
      <c r="N251" s="225"/>
    </row>
    <row r="252" spans="1:14" ht="3" customHeight="1" x14ac:dyDescent="0.25">
      <c r="B252" s="129"/>
      <c r="C252" s="142"/>
      <c r="D252" s="79"/>
      <c r="E252" s="79"/>
      <c r="F252" s="106"/>
      <c r="G252" s="138"/>
      <c r="H252" s="139"/>
      <c r="I252" s="140"/>
      <c r="J252" s="146"/>
      <c r="K252" s="78"/>
      <c r="L252" s="78"/>
      <c r="M252" s="225"/>
      <c r="N252" s="225"/>
    </row>
    <row r="253" spans="1:14" ht="10.95" customHeight="1" x14ac:dyDescent="0.2">
      <c r="A253" s="79"/>
      <c r="B253" s="56" t="s">
        <v>326</v>
      </c>
      <c r="C253" s="136" t="s">
        <v>327</v>
      </c>
      <c r="D253" s="144"/>
      <c r="E253" s="56"/>
      <c r="F253" s="143"/>
      <c r="G253" s="138">
        <v>3.6</v>
      </c>
      <c r="H253" s="132">
        <v>104</v>
      </c>
      <c r="I253" s="132">
        <v>630</v>
      </c>
      <c r="J253" s="135">
        <v>8.6999999999999993</v>
      </c>
      <c r="K253" s="78"/>
      <c r="L253" s="78"/>
      <c r="M253" s="225"/>
      <c r="N253" s="225"/>
    </row>
    <row r="254" spans="1:14" s="55" customFormat="1" ht="10.95" customHeight="1" x14ac:dyDescent="0.2">
      <c r="B254" s="56"/>
      <c r="C254" s="136" t="s">
        <v>328</v>
      </c>
      <c r="D254" s="144" t="s">
        <v>329</v>
      </c>
      <c r="E254" s="56"/>
      <c r="F254" s="143"/>
      <c r="G254" s="138">
        <v>3.1</v>
      </c>
      <c r="H254" s="132">
        <v>89</v>
      </c>
      <c r="I254" s="132">
        <v>600</v>
      </c>
      <c r="J254" s="135">
        <v>9</v>
      </c>
      <c r="K254" s="78"/>
      <c r="L254" s="78"/>
      <c r="M254" s="225"/>
      <c r="N254" s="225"/>
    </row>
    <row r="255" spans="1:14" s="55" customFormat="1" ht="10.95" customHeight="1" x14ac:dyDescent="0.2">
      <c r="A255" s="56"/>
      <c r="B255" s="56"/>
      <c r="C255" s="56" t="s">
        <v>330</v>
      </c>
      <c r="D255" s="144" t="s">
        <v>331</v>
      </c>
      <c r="E255" s="56"/>
      <c r="F255" s="143"/>
      <c r="G255" s="138">
        <v>0.5</v>
      </c>
      <c r="H255" s="132">
        <v>15</v>
      </c>
      <c r="I255" s="132">
        <v>40</v>
      </c>
      <c r="J255" s="135">
        <v>27.7</v>
      </c>
      <c r="K255" s="78"/>
      <c r="L255" s="78"/>
      <c r="M255" s="225"/>
      <c r="N255" s="225"/>
    </row>
    <row r="256" spans="1:14" s="55" customFormat="1" ht="3" customHeight="1" x14ac:dyDescent="0.2">
      <c r="A256" s="56"/>
      <c r="B256" s="56"/>
      <c r="C256" s="56"/>
      <c r="D256" s="56"/>
      <c r="E256" s="56"/>
      <c r="F256" s="143"/>
      <c r="G256" s="138"/>
      <c r="H256" s="139"/>
      <c r="I256" s="140"/>
      <c r="J256" s="135"/>
      <c r="K256" s="78"/>
      <c r="L256" s="78"/>
      <c r="M256" s="225"/>
      <c r="N256" s="225"/>
    </row>
    <row r="257" spans="1:14" s="55" customFormat="1" ht="10.95" customHeight="1" x14ac:dyDescent="0.2">
      <c r="A257" s="80">
        <v>5.2</v>
      </c>
      <c r="B257" s="80" t="s">
        <v>332</v>
      </c>
      <c r="C257" s="80"/>
      <c r="D257" s="80"/>
      <c r="E257" s="80"/>
      <c r="F257" s="79"/>
      <c r="G257" s="138">
        <v>2</v>
      </c>
      <c r="H257" s="132">
        <v>56</v>
      </c>
      <c r="I257" s="132">
        <v>1060</v>
      </c>
      <c r="J257" s="135">
        <v>6.6</v>
      </c>
      <c r="K257" s="78"/>
      <c r="L257" s="78"/>
      <c r="M257" s="225"/>
      <c r="N257" s="225"/>
    </row>
    <row r="258" spans="1:14" s="55" customFormat="1" ht="10.95" customHeight="1" x14ac:dyDescent="0.2">
      <c r="A258" s="56"/>
      <c r="B258" s="56" t="s">
        <v>333</v>
      </c>
      <c r="C258" s="56" t="s">
        <v>334</v>
      </c>
      <c r="D258" s="56"/>
      <c r="E258" s="56"/>
      <c r="G258" s="138">
        <v>0.8</v>
      </c>
      <c r="H258" s="132">
        <v>24</v>
      </c>
      <c r="I258" s="132">
        <v>420</v>
      </c>
      <c r="J258" s="135">
        <v>7</v>
      </c>
      <c r="K258" s="78"/>
      <c r="L258" s="78"/>
      <c r="M258" s="225"/>
      <c r="N258" s="225"/>
    </row>
    <row r="259" spans="1:14" s="143" customFormat="1" ht="10.95" customHeight="1" x14ac:dyDescent="0.2">
      <c r="A259" s="56"/>
      <c r="B259" s="56" t="s">
        <v>335</v>
      </c>
      <c r="C259" s="56" t="s">
        <v>336</v>
      </c>
      <c r="D259" s="56"/>
      <c r="E259" s="56"/>
      <c r="F259" s="55"/>
      <c r="G259" s="138">
        <v>1.2</v>
      </c>
      <c r="H259" s="132">
        <v>33</v>
      </c>
      <c r="I259" s="132">
        <v>1060</v>
      </c>
      <c r="J259" s="135">
        <v>9.6</v>
      </c>
      <c r="K259" s="78"/>
      <c r="L259" s="78"/>
      <c r="M259" s="225"/>
      <c r="N259" s="225"/>
    </row>
    <row r="260" spans="1:14" s="143" customFormat="1" ht="4.2" customHeight="1" x14ac:dyDescent="0.2">
      <c r="A260" s="594"/>
      <c r="B260" s="594"/>
      <c r="C260" s="595"/>
      <c r="D260" s="596"/>
      <c r="E260" s="596"/>
      <c r="F260" s="594"/>
      <c r="G260" s="597"/>
      <c r="H260" s="598"/>
      <c r="I260" s="599"/>
      <c r="J260" s="600"/>
      <c r="K260" s="218"/>
      <c r="L260" s="65"/>
    </row>
    <row r="261" spans="1:14" s="143" customFormat="1" ht="4.2" customHeight="1" x14ac:dyDescent="0.2">
      <c r="C261" s="234"/>
      <c r="D261" s="128"/>
      <c r="E261" s="128"/>
      <c r="G261" s="241"/>
      <c r="H261" s="242"/>
      <c r="I261" s="243"/>
      <c r="J261" s="244"/>
      <c r="K261" s="218"/>
      <c r="L261" s="65"/>
    </row>
    <row r="262" spans="1:14" s="143" customFormat="1" ht="10.95" customHeight="1" x14ac:dyDescent="0.2">
      <c r="A262" s="157" t="s">
        <v>111</v>
      </c>
      <c r="B262" s="56"/>
      <c r="C262" s="56"/>
      <c r="D262" s="55"/>
      <c r="E262" s="137"/>
      <c r="F262" s="142"/>
      <c r="G262" s="241"/>
      <c r="H262" s="242"/>
      <c r="I262" s="243"/>
      <c r="J262" s="244"/>
      <c r="K262" s="218"/>
      <c r="L262" s="65"/>
    </row>
    <row r="263" spans="1:14" s="143" customFormat="1" ht="10.95" customHeight="1" x14ac:dyDescent="0.2">
      <c r="A263" s="157" t="s">
        <v>182</v>
      </c>
      <c r="B263" s="56"/>
      <c r="C263" s="56"/>
      <c r="D263" s="55"/>
      <c r="E263" s="137"/>
      <c r="F263" s="142"/>
      <c r="G263" s="241"/>
      <c r="H263" s="242"/>
      <c r="I263" s="243"/>
      <c r="J263" s="244"/>
      <c r="K263" s="218"/>
      <c r="L263" s="65"/>
    </row>
    <row r="264" spans="1:14" s="143" customFormat="1" ht="10.95" customHeight="1" x14ac:dyDescent="0.2">
      <c r="A264" s="157" t="s">
        <v>112</v>
      </c>
      <c r="B264" s="56"/>
      <c r="C264" s="56"/>
      <c r="D264" s="55"/>
      <c r="E264" s="137"/>
      <c r="F264" s="142"/>
      <c r="G264" s="241"/>
      <c r="H264" s="242"/>
      <c r="I264" s="243"/>
      <c r="J264" s="244"/>
      <c r="K264" s="218"/>
      <c r="L264" s="65"/>
    </row>
    <row r="265" spans="1:14" s="143" customFormat="1" ht="13.5" customHeight="1" x14ac:dyDescent="0.2">
      <c r="A265" s="157" t="s">
        <v>1152</v>
      </c>
      <c r="C265" s="234"/>
      <c r="D265" s="128"/>
      <c r="E265" s="128"/>
      <c r="G265" s="241"/>
      <c r="H265" s="242"/>
      <c r="I265" s="243"/>
      <c r="J265" s="244"/>
      <c r="K265" s="218"/>
      <c r="L265" s="65"/>
    </row>
    <row r="266" spans="1:14" s="143" customFormat="1" ht="13.5" customHeight="1" x14ac:dyDescent="0.2">
      <c r="A266" s="157" t="s">
        <v>338</v>
      </c>
      <c r="B266" s="206"/>
      <c r="C266" s="79"/>
      <c r="D266" s="79"/>
      <c r="E266" s="79"/>
      <c r="G266" s="241"/>
      <c r="H266" s="242"/>
      <c r="I266" s="243"/>
      <c r="J266" s="244"/>
      <c r="K266" s="218"/>
      <c r="L266" s="65"/>
    </row>
    <row r="267" spans="1:14" s="143" customFormat="1" ht="10.95" customHeight="1" x14ac:dyDescent="0.2">
      <c r="C267" s="234"/>
      <c r="D267" s="128"/>
      <c r="E267" s="128"/>
      <c r="G267" s="241"/>
      <c r="H267" s="242"/>
      <c r="I267" s="243"/>
      <c r="J267" s="244"/>
      <c r="K267" s="218"/>
      <c r="L267" s="65"/>
    </row>
    <row r="268" spans="1:14" s="143" customFormat="1" ht="10.95" customHeight="1" x14ac:dyDescent="0.2">
      <c r="A268" s="158"/>
      <c r="C268" s="234"/>
      <c r="D268" s="128"/>
      <c r="E268" s="128"/>
      <c r="G268" s="241"/>
      <c r="H268" s="242"/>
      <c r="I268" s="243"/>
      <c r="J268" s="244"/>
      <c r="K268" s="218"/>
      <c r="L268" s="65"/>
    </row>
    <row r="269" spans="1:14" s="143" customFormat="1" ht="10.95" customHeight="1" x14ac:dyDescent="0.2">
      <c r="A269" s="158"/>
      <c r="C269" s="234"/>
      <c r="D269" s="128"/>
      <c r="E269" s="128"/>
      <c r="G269" s="241"/>
      <c r="H269" s="242"/>
      <c r="I269" s="243"/>
      <c r="J269" s="244"/>
      <c r="K269" s="218"/>
      <c r="L269" s="65"/>
    </row>
    <row r="270" spans="1:14" s="143" customFormat="1" ht="10.95" customHeight="1" x14ac:dyDescent="0.2">
      <c r="A270" s="158"/>
      <c r="C270" s="234"/>
      <c r="D270" s="128"/>
      <c r="E270" s="128"/>
      <c r="G270" s="241"/>
      <c r="H270" s="242"/>
      <c r="I270" s="243"/>
      <c r="J270" s="244"/>
      <c r="K270" s="218"/>
      <c r="L270" s="65"/>
    </row>
    <row r="271" spans="1:14" s="143" customFormat="1" ht="15.75" customHeight="1" x14ac:dyDescent="0.2">
      <c r="A271" s="159" t="s">
        <v>114</v>
      </c>
      <c r="B271" s="193"/>
      <c r="C271" s="234"/>
      <c r="D271" s="128"/>
      <c r="E271" s="128"/>
      <c r="G271" s="241"/>
      <c r="H271" s="242"/>
      <c r="I271" s="243"/>
      <c r="K271" s="218"/>
      <c r="L271" s="65"/>
    </row>
    <row r="272" spans="1:14" s="31" customFormat="1" ht="20.25" customHeight="1" x14ac:dyDescent="0.3">
      <c r="A272" s="160" t="s">
        <v>183</v>
      </c>
      <c r="B272" s="161"/>
      <c r="D272" s="32"/>
      <c r="E272" s="32"/>
      <c r="F272" s="33"/>
      <c r="G272" s="551"/>
      <c r="H272" s="35"/>
      <c r="I272" s="36"/>
      <c r="J272" s="246"/>
      <c r="K272" s="37"/>
      <c r="L272" s="65"/>
    </row>
    <row r="273" spans="1:14" ht="15.75" customHeight="1" x14ac:dyDescent="0.25">
      <c r="A273" s="41" t="s">
        <v>1359</v>
      </c>
      <c r="B273" s="81"/>
      <c r="C273" s="192"/>
      <c r="D273" s="247"/>
      <c r="L273" s="65"/>
    </row>
    <row r="274" spans="1:14" ht="4.2" customHeight="1" x14ac:dyDescent="0.3">
      <c r="A274" s="601"/>
      <c r="B274" s="564"/>
      <c r="C274" s="565"/>
      <c r="D274" s="566"/>
      <c r="E274" s="566"/>
      <c r="F274" s="566"/>
      <c r="G274" s="567"/>
      <c r="H274" s="572"/>
      <c r="I274" s="573"/>
      <c r="J274" s="570"/>
      <c r="L274" s="65"/>
    </row>
    <row r="275" spans="1:14" s="55" customFormat="1" ht="4.2" customHeight="1" x14ac:dyDescent="0.2">
      <c r="A275" s="81"/>
      <c r="B275" s="81"/>
      <c r="D275" s="84"/>
      <c r="E275" s="84"/>
      <c r="F275" s="84"/>
      <c r="G275" s="563"/>
      <c r="H275" s="250"/>
      <c r="I275" s="251"/>
      <c r="J275" s="252"/>
      <c r="K275" s="53"/>
      <c r="L275" s="65"/>
    </row>
    <row r="276" spans="1:14" s="180" customFormat="1" ht="10.95" customHeight="1" x14ac:dyDescent="0.15">
      <c r="A276" s="172"/>
      <c r="B276" s="172"/>
      <c r="C276" s="173"/>
      <c r="D276" s="174"/>
      <c r="E276" s="174"/>
      <c r="F276" s="59"/>
      <c r="G276" s="60" t="s">
        <v>116</v>
      </c>
      <c r="H276" s="61" t="s">
        <v>25</v>
      </c>
      <c r="I276" s="62" t="s">
        <v>26</v>
      </c>
      <c r="J276" s="63" t="s">
        <v>117</v>
      </c>
      <c r="K276" s="179"/>
      <c r="L276" s="65"/>
    </row>
    <row r="277" spans="1:14" s="180" customFormat="1" ht="10.95" customHeight="1" x14ac:dyDescent="0.15">
      <c r="A277" s="172"/>
      <c r="B277" s="172"/>
      <c r="C277" s="181"/>
      <c r="D277" s="174"/>
      <c r="E277" s="174"/>
      <c r="F277" s="59"/>
      <c r="G277" s="67" t="s">
        <v>29</v>
      </c>
      <c r="H277" s="61" t="s">
        <v>27</v>
      </c>
      <c r="I277" s="62" t="s">
        <v>28</v>
      </c>
      <c r="J277" s="63" t="s">
        <v>118</v>
      </c>
      <c r="K277" s="253"/>
      <c r="L277" s="65"/>
    </row>
    <row r="278" spans="1:14" s="180" customFormat="1" ht="10.95" customHeight="1" x14ac:dyDescent="0.15">
      <c r="A278" s="172"/>
      <c r="B278" s="172"/>
      <c r="C278" s="181"/>
      <c r="D278" s="174"/>
      <c r="E278" s="174"/>
      <c r="F278" s="59"/>
      <c r="G278" s="60" t="s">
        <v>31</v>
      </c>
      <c r="H278" s="61" t="s">
        <v>29</v>
      </c>
      <c r="I278" s="62" t="s">
        <v>30</v>
      </c>
      <c r="J278" s="69" t="s">
        <v>119</v>
      </c>
      <c r="K278" s="253"/>
      <c r="L278" s="65"/>
    </row>
    <row r="279" spans="1:14" s="180" customFormat="1" ht="10.95" customHeight="1" x14ac:dyDescent="0.15">
      <c r="A279" s="172"/>
      <c r="B279" s="172"/>
      <c r="C279" s="181"/>
      <c r="D279" s="174"/>
      <c r="E279" s="174"/>
      <c r="F279" s="59"/>
      <c r="G279" s="67" t="s">
        <v>32</v>
      </c>
      <c r="H279" s="61" t="s">
        <v>33</v>
      </c>
      <c r="I279" s="62" t="s">
        <v>120</v>
      </c>
      <c r="J279" s="70" t="s">
        <v>121</v>
      </c>
      <c r="K279" s="179"/>
      <c r="L279" s="65"/>
    </row>
    <row r="280" spans="1:14" ht="4.2" customHeight="1" x14ac:dyDescent="0.2">
      <c r="A280" s="564"/>
      <c r="B280" s="564"/>
      <c r="C280" s="565"/>
      <c r="D280" s="566"/>
      <c r="E280" s="566"/>
      <c r="F280" s="566"/>
      <c r="G280" s="567"/>
      <c r="H280" s="572"/>
      <c r="I280" s="573"/>
      <c r="J280" s="566"/>
      <c r="L280" s="65"/>
    </row>
    <row r="281" spans="1:14" ht="4.2" customHeight="1" x14ac:dyDescent="0.2">
      <c r="B281" s="81"/>
      <c r="C281" s="82"/>
      <c r="D281" s="83"/>
      <c r="E281" s="83"/>
      <c r="F281" s="84"/>
      <c r="H281" s="86"/>
      <c r="I281" s="87"/>
      <c r="J281" s="83"/>
      <c r="L281" s="65"/>
    </row>
    <row r="282" spans="1:14" s="93" customFormat="1" ht="10.95" customHeight="1" x14ac:dyDescent="0.2">
      <c r="A282" s="111" t="s">
        <v>123</v>
      </c>
      <c r="B282" s="112"/>
      <c r="C282" s="113"/>
      <c r="F282" s="114" t="s">
        <v>124</v>
      </c>
      <c r="G282" s="575"/>
      <c r="H282" s="116"/>
      <c r="I282" s="117"/>
      <c r="K282" s="53"/>
      <c r="L282" s="185"/>
    </row>
    <row r="283" spans="1:14" s="128" customFormat="1" ht="4.2" customHeight="1" x14ac:dyDescent="0.2">
      <c r="A283" s="186"/>
      <c r="B283" s="186"/>
      <c r="C283" s="187"/>
      <c r="D283" s="79"/>
      <c r="E283" s="79"/>
      <c r="G283" s="85"/>
      <c r="H283" s="108"/>
      <c r="I283" s="109"/>
      <c r="J283" s="110"/>
      <c r="K283" s="53"/>
      <c r="L283" s="65"/>
    </row>
    <row r="284" spans="1:14" s="55" customFormat="1" ht="12.75" customHeight="1" x14ac:dyDescent="0.2">
      <c r="A284" s="188">
        <v>5</v>
      </c>
      <c r="B284" s="120" t="s">
        <v>339</v>
      </c>
      <c r="C284" s="254"/>
      <c r="D284" s="254"/>
      <c r="E284" s="254"/>
      <c r="G284" s="563"/>
      <c r="H284" s="250"/>
      <c r="J284" s="244"/>
      <c r="K284" s="218"/>
      <c r="L284" s="65"/>
    </row>
    <row r="285" spans="1:14" s="55" customFormat="1" ht="6" customHeight="1" x14ac:dyDescent="0.2">
      <c r="A285" s="56"/>
      <c r="B285" s="56"/>
      <c r="C285" s="144"/>
      <c r="D285" s="56"/>
      <c r="E285" s="56"/>
      <c r="F285" s="143"/>
      <c r="G285" s="241"/>
      <c r="H285" s="242"/>
      <c r="I285" s="243"/>
      <c r="J285" s="244"/>
      <c r="K285" s="218"/>
      <c r="L285" s="65"/>
    </row>
    <row r="286" spans="1:14" ht="10.95" customHeight="1" x14ac:dyDescent="0.2">
      <c r="A286" s="80">
        <v>5.3</v>
      </c>
      <c r="B286" s="80" t="s">
        <v>340</v>
      </c>
      <c r="C286" s="80"/>
      <c r="D286" s="80"/>
      <c r="E286" s="80"/>
      <c r="F286" s="79"/>
      <c r="G286" s="138">
        <v>3.2</v>
      </c>
      <c r="H286" s="132">
        <v>92</v>
      </c>
      <c r="I286" s="132">
        <v>410</v>
      </c>
      <c r="J286" s="135">
        <v>12.3</v>
      </c>
      <c r="K286" s="78"/>
      <c r="L286" s="78"/>
      <c r="M286" s="255"/>
      <c r="N286" s="255"/>
    </row>
    <row r="287" spans="1:14" s="55" customFormat="1" ht="10.95" customHeight="1" x14ac:dyDescent="0.2">
      <c r="A287" s="56"/>
      <c r="B287" s="56" t="s">
        <v>341</v>
      </c>
      <c r="C287" s="56" t="s">
        <v>342</v>
      </c>
      <c r="D287" s="56"/>
      <c r="E287" s="56"/>
      <c r="G287" s="138">
        <v>0</v>
      </c>
      <c r="H287" s="132">
        <v>0</v>
      </c>
      <c r="I287" s="132">
        <v>0</v>
      </c>
      <c r="J287" s="135">
        <v>66</v>
      </c>
      <c r="K287" s="78"/>
      <c r="L287" s="78"/>
      <c r="M287" s="255"/>
      <c r="N287" s="255"/>
    </row>
    <row r="288" spans="1:14" s="55" customFormat="1" ht="10.95" customHeight="1" x14ac:dyDescent="0.2">
      <c r="A288" s="56"/>
      <c r="B288" s="56" t="s">
        <v>343</v>
      </c>
      <c r="C288" s="56" t="s">
        <v>344</v>
      </c>
      <c r="D288" s="56"/>
      <c r="E288" s="56"/>
      <c r="G288" s="138">
        <v>0.1</v>
      </c>
      <c r="H288" s="132">
        <v>2</v>
      </c>
      <c r="I288" s="132">
        <v>20</v>
      </c>
      <c r="J288" s="135">
        <v>33.6</v>
      </c>
      <c r="K288" s="78"/>
      <c r="L288" s="78"/>
      <c r="M288" s="255"/>
      <c r="N288" s="255"/>
    </row>
    <row r="289" spans="1:14" s="55" customFormat="1" ht="10.95" customHeight="1" x14ac:dyDescent="0.2">
      <c r="A289" s="56"/>
      <c r="B289" s="56" t="s">
        <v>345</v>
      </c>
      <c r="C289" s="56" t="s">
        <v>346</v>
      </c>
      <c r="D289" s="56"/>
      <c r="E289" s="56"/>
      <c r="G289" s="138">
        <v>0.4</v>
      </c>
      <c r="H289" s="132">
        <v>10</v>
      </c>
      <c r="I289" s="132">
        <v>40</v>
      </c>
      <c r="J289" s="135">
        <v>31.9</v>
      </c>
      <c r="K289" s="78"/>
      <c r="L289" s="78"/>
      <c r="M289" s="255"/>
      <c r="N289" s="255"/>
    </row>
    <row r="290" spans="1:14" s="55" customFormat="1" ht="10.95" customHeight="1" x14ac:dyDescent="0.2">
      <c r="A290" s="56"/>
      <c r="B290" s="56" t="s">
        <v>347</v>
      </c>
      <c r="C290" s="56" t="s">
        <v>348</v>
      </c>
      <c r="D290" s="56"/>
      <c r="E290" s="56"/>
      <c r="G290" s="138">
        <v>0.4</v>
      </c>
      <c r="H290" s="132">
        <v>12</v>
      </c>
      <c r="I290" s="132">
        <v>30</v>
      </c>
      <c r="J290" s="135">
        <v>24.5</v>
      </c>
      <c r="K290" s="78"/>
      <c r="L290" s="78"/>
      <c r="M290" s="255"/>
      <c r="N290" s="255"/>
    </row>
    <row r="291" spans="1:14" s="55" customFormat="1" ht="10.95" customHeight="1" x14ac:dyDescent="0.2">
      <c r="A291" s="56"/>
      <c r="B291" s="56" t="s">
        <v>349</v>
      </c>
      <c r="C291" s="56" t="s">
        <v>350</v>
      </c>
      <c r="D291" s="56"/>
      <c r="E291" s="56"/>
      <c r="G291" s="85"/>
      <c r="H291" s="108"/>
      <c r="I291" s="253"/>
      <c r="J291" s="231"/>
      <c r="K291" s="78"/>
      <c r="L291" s="78"/>
      <c r="M291" s="255"/>
      <c r="N291" s="255"/>
    </row>
    <row r="292" spans="1:14" s="55" customFormat="1" ht="10.95" customHeight="1" x14ac:dyDescent="0.2">
      <c r="A292" s="56"/>
      <c r="B292" s="56"/>
      <c r="C292" s="56" t="s">
        <v>351</v>
      </c>
      <c r="D292" s="56"/>
      <c r="E292" s="56"/>
      <c r="G292" s="138">
        <v>1.5</v>
      </c>
      <c r="H292" s="132">
        <v>42</v>
      </c>
      <c r="I292" s="132">
        <v>140</v>
      </c>
      <c r="J292" s="135">
        <v>24.1</v>
      </c>
      <c r="K292" s="78"/>
      <c r="L292" s="78"/>
      <c r="M292" s="255"/>
      <c r="N292" s="255"/>
    </row>
    <row r="293" spans="1:14" s="55" customFormat="1" ht="10.95" customHeight="1" x14ac:dyDescent="0.2">
      <c r="A293" s="56"/>
      <c r="B293" s="56" t="s">
        <v>352</v>
      </c>
      <c r="C293" s="56" t="s">
        <v>353</v>
      </c>
      <c r="D293" s="56"/>
      <c r="E293" s="56"/>
      <c r="G293" s="138" t="s">
        <v>1009</v>
      </c>
      <c r="H293" s="132">
        <v>1</v>
      </c>
      <c r="I293" s="132">
        <v>10</v>
      </c>
      <c r="J293" s="135">
        <v>73.400000000000006</v>
      </c>
      <c r="K293" s="78"/>
      <c r="L293" s="78"/>
      <c r="M293" s="255"/>
      <c r="N293" s="255"/>
    </row>
    <row r="294" spans="1:14" s="55" customFormat="1" ht="10.95" customHeight="1" x14ac:dyDescent="0.2">
      <c r="A294" s="56"/>
      <c r="B294" s="56" t="s">
        <v>354</v>
      </c>
      <c r="C294" s="136" t="s">
        <v>355</v>
      </c>
      <c r="D294" s="56"/>
      <c r="E294" s="56"/>
      <c r="G294" s="138">
        <v>0.5</v>
      </c>
      <c r="H294" s="132">
        <v>15</v>
      </c>
      <c r="I294" s="132">
        <v>150</v>
      </c>
      <c r="J294" s="135">
        <v>16.8</v>
      </c>
      <c r="K294" s="78"/>
      <c r="L294" s="78"/>
      <c r="M294" s="255"/>
      <c r="N294" s="255"/>
    </row>
    <row r="295" spans="1:14" s="55" customFormat="1" ht="10.95" customHeight="1" x14ac:dyDescent="0.2">
      <c r="A295" s="56"/>
      <c r="B295" s="56" t="s">
        <v>356</v>
      </c>
      <c r="C295" s="136" t="s">
        <v>357</v>
      </c>
      <c r="D295" s="56"/>
      <c r="E295" s="56"/>
      <c r="G295" s="138">
        <v>0.4</v>
      </c>
      <c r="H295" s="132">
        <v>10</v>
      </c>
      <c r="I295" s="132">
        <v>50</v>
      </c>
      <c r="J295" s="135">
        <v>21.4</v>
      </c>
      <c r="K295" s="78"/>
      <c r="L295" s="78"/>
      <c r="M295" s="255"/>
      <c r="N295" s="255"/>
    </row>
    <row r="296" spans="1:14" s="55" customFormat="1" ht="10.95" customHeight="1" x14ac:dyDescent="0.2">
      <c r="A296" s="56"/>
      <c r="B296" s="56" t="s">
        <v>358</v>
      </c>
      <c r="C296" s="136" t="s">
        <v>359</v>
      </c>
      <c r="D296" s="56"/>
      <c r="E296" s="56"/>
      <c r="G296" s="138">
        <v>0</v>
      </c>
      <c r="H296" s="132">
        <v>0</v>
      </c>
      <c r="I296" s="132">
        <v>10</v>
      </c>
      <c r="J296" s="135">
        <v>50</v>
      </c>
      <c r="K296" s="78"/>
      <c r="L296" s="78"/>
      <c r="M296" s="255"/>
      <c r="N296" s="255"/>
    </row>
    <row r="297" spans="1:14" ht="3" customHeight="1" x14ac:dyDescent="0.2">
      <c r="A297" s="56"/>
      <c r="B297" s="56"/>
      <c r="C297" s="56"/>
      <c r="D297" s="56"/>
      <c r="E297" s="56"/>
      <c r="F297" s="55"/>
      <c r="H297" s="86"/>
      <c r="I297" s="87"/>
      <c r="J297" s="231"/>
      <c r="K297" s="78"/>
      <c r="L297" s="78"/>
      <c r="M297" s="255"/>
      <c r="N297" s="255"/>
    </row>
    <row r="298" spans="1:14" ht="10.95" customHeight="1" x14ac:dyDescent="0.2">
      <c r="A298" s="80">
        <v>5.4</v>
      </c>
      <c r="B298" s="80" t="s">
        <v>360</v>
      </c>
      <c r="C298" s="80"/>
      <c r="D298" s="80"/>
      <c r="E298" s="80"/>
      <c r="F298" s="79"/>
      <c r="G298" s="138">
        <v>1.9</v>
      </c>
      <c r="H298" s="132">
        <v>55</v>
      </c>
      <c r="I298" s="132">
        <v>1700</v>
      </c>
      <c r="J298" s="135">
        <v>3.7</v>
      </c>
      <c r="K298" s="78"/>
      <c r="L298" s="78"/>
      <c r="M298" s="255"/>
      <c r="N298" s="255"/>
    </row>
    <row r="299" spans="1:14" s="55" customFormat="1" ht="10.95" customHeight="1" x14ac:dyDescent="0.2">
      <c r="A299" s="56"/>
      <c r="B299" s="56" t="s">
        <v>361</v>
      </c>
      <c r="C299" s="136" t="s">
        <v>362</v>
      </c>
      <c r="D299" s="56"/>
      <c r="E299" s="56"/>
      <c r="G299" s="138">
        <v>0.6</v>
      </c>
      <c r="H299" s="132">
        <v>16</v>
      </c>
      <c r="I299" s="132">
        <v>640</v>
      </c>
      <c r="J299" s="135">
        <v>6.2</v>
      </c>
      <c r="K299" s="78"/>
      <c r="L299" s="78"/>
      <c r="M299" s="255"/>
      <c r="N299" s="255"/>
    </row>
    <row r="300" spans="1:14" s="55" customFormat="1" ht="10.95" customHeight="1" x14ac:dyDescent="0.2">
      <c r="A300" s="56"/>
      <c r="B300" s="56" t="s">
        <v>363</v>
      </c>
      <c r="C300" s="56" t="s">
        <v>364</v>
      </c>
      <c r="D300" s="56"/>
      <c r="E300" s="56"/>
      <c r="G300" s="138">
        <v>0.8</v>
      </c>
      <c r="H300" s="132">
        <v>22</v>
      </c>
      <c r="I300" s="132">
        <v>950</v>
      </c>
      <c r="J300" s="135">
        <v>5.8</v>
      </c>
      <c r="K300" s="78"/>
      <c r="L300" s="78"/>
      <c r="M300" s="255"/>
      <c r="N300" s="255"/>
    </row>
    <row r="301" spans="1:14" s="55" customFormat="1" ht="10.95" customHeight="1" x14ac:dyDescent="0.2">
      <c r="A301" s="56"/>
      <c r="B301" s="56" t="s">
        <v>365</v>
      </c>
      <c r="C301" s="56" t="s">
        <v>366</v>
      </c>
      <c r="D301" s="56"/>
      <c r="E301" s="56"/>
      <c r="G301" s="138">
        <v>0</v>
      </c>
      <c r="H301" s="132">
        <v>0</v>
      </c>
      <c r="I301" s="132">
        <v>0</v>
      </c>
      <c r="J301" s="135">
        <v>86.6</v>
      </c>
      <c r="K301" s="78"/>
      <c r="L301" s="78"/>
      <c r="M301" s="255"/>
      <c r="N301" s="255"/>
    </row>
    <row r="302" spans="1:14" s="55" customFormat="1" ht="10.95" customHeight="1" x14ac:dyDescent="0.2">
      <c r="A302" s="56"/>
      <c r="B302" s="56" t="s">
        <v>368</v>
      </c>
      <c r="C302" s="56" t="s">
        <v>369</v>
      </c>
      <c r="D302" s="56"/>
      <c r="E302" s="56"/>
      <c r="G302" s="138">
        <v>0.6</v>
      </c>
      <c r="H302" s="132">
        <v>17</v>
      </c>
      <c r="I302" s="132">
        <v>620</v>
      </c>
      <c r="J302" s="135">
        <v>6.1</v>
      </c>
      <c r="K302" s="78"/>
      <c r="L302" s="78"/>
      <c r="M302" s="255"/>
      <c r="N302" s="255"/>
    </row>
    <row r="303" spans="1:14" s="229" customFormat="1" ht="3" customHeight="1" x14ac:dyDescent="0.2">
      <c r="A303" s="80"/>
      <c r="B303" s="129"/>
      <c r="C303" s="56"/>
      <c r="D303" s="80"/>
      <c r="E303" s="80"/>
      <c r="F303" s="192"/>
      <c r="G303" s="85"/>
      <c r="H303" s="86"/>
      <c r="I303" s="87"/>
      <c r="J303" s="217"/>
      <c r="K303" s="78"/>
      <c r="L303" s="78"/>
      <c r="M303" s="255"/>
      <c r="N303" s="255"/>
    </row>
    <row r="304" spans="1:14" ht="10.95" customHeight="1" x14ac:dyDescent="0.2">
      <c r="A304" s="80">
        <v>5.5</v>
      </c>
      <c r="B304" s="129" t="s">
        <v>370</v>
      </c>
      <c r="C304" s="80"/>
      <c r="D304" s="80"/>
      <c r="E304" s="80"/>
      <c r="F304" s="79"/>
      <c r="G304" s="138">
        <v>3</v>
      </c>
      <c r="H304" s="132">
        <v>85</v>
      </c>
      <c r="I304" s="132">
        <v>1600</v>
      </c>
      <c r="J304" s="135">
        <v>5.3</v>
      </c>
      <c r="K304" s="78"/>
      <c r="L304" s="78"/>
      <c r="M304" s="255"/>
      <c r="N304" s="255"/>
    </row>
    <row r="305" spans="1:14" s="55" customFormat="1" ht="10.95" customHeight="1" x14ac:dyDescent="0.2">
      <c r="B305" s="56" t="s">
        <v>371</v>
      </c>
      <c r="C305" s="56" t="s">
        <v>372</v>
      </c>
      <c r="G305" s="138">
        <v>0.4</v>
      </c>
      <c r="H305" s="132">
        <v>11</v>
      </c>
      <c r="I305" s="132">
        <v>80</v>
      </c>
      <c r="J305" s="135">
        <v>16.399999999999999</v>
      </c>
      <c r="K305" s="78"/>
      <c r="L305" s="78"/>
      <c r="M305" s="255"/>
      <c r="N305" s="255"/>
    </row>
    <row r="306" spans="1:14" s="55" customFormat="1" ht="10.95" customHeight="1" x14ac:dyDescent="0.2">
      <c r="B306" s="56" t="s">
        <v>373</v>
      </c>
      <c r="C306" s="56" t="s">
        <v>374</v>
      </c>
      <c r="G306" s="138">
        <v>0.6</v>
      </c>
      <c r="H306" s="132">
        <v>16</v>
      </c>
      <c r="I306" s="132">
        <v>300</v>
      </c>
      <c r="J306" s="135">
        <v>10.199999999999999</v>
      </c>
      <c r="K306" s="78"/>
      <c r="L306" s="78"/>
      <c r="M306" s="255"/>
      <c r="N306" s="255"/>
    </row>
    <row r="307" spans="1:14" s="55" customFormat="1" ht="10.95" customHeight="1" x14ac:dyDescent="0.2">
      <c r="B307" s="56" t="s">
        <v>375</v>
      </c>
      <c r="C307" s="56" t="s">
        <v>376</v>
      </c>
      <c r="G307" s="138">
        <v>0.4</v>
      </c>
      <c r="H307" s="132">
        <v>13</v>
      </c>
      <c r="I307" s="132">
        <v>380</v>
      </c>
      <c r="J307" s="135">
        <v>11.4</v>
      </c>
      <c r="K307" s="78"/>
      <c r="L307" s="78"/>
      <c r="M307" s="255"/>
      <c r="N307" s="255"/>
    </row>
    <row r="308" spans="1:14" s="149" customFormat="1" ht="10.95" customHeight="1" x14ac:dyDescent="0.2">
      <c r="B308" s="56" t="s">
        <v>377</v>
      </c>
      <c r="C308" s="56" t="s">
        <v>378</v>
      </c>
      <c r="D308" s="55"/>
      <c r="E308" s="55"/>
      <c r="F308" s="55"/>
      <c r="G308" s="138">
        <v>0.7</v>
      </c>
      <c r="H308" s="132">
        <v>21</v>
      </c>
      <c r="I308" s="132">
        <v>450</v>
      </c>
      <c r="J308" s="135">
        <v>11.5</v>
      </c>
      <c r="K308" s="78"/>
      <c r="L308" s="78"/>
      <c r="M308" s="255"/>
      <c r="N308" s="255"/>
    </row>
    <row r="309" spans="1:14" s="55" customFormat="1" ht="10.95" customHeight="1" x14ac:dyDescent="0.2">
      <c r="B309" s="56" t="s">
        <v>379</v>
      </c>
      <c r="C309" s="56" t="s">
        <v>380</v>
      </c>
      <c r="G309" s="138">
        <v>0.8</v>
      </c>
      <c r="H309" s="132">
        <v>24</v>
      </c>
      <c r="I309" s="132">
        <v>870</v>
      </c>
      <c r="J309" s="135">
        <v>7.9</v>
      </c>
      <c r="K309" s="78"/>
      <c r="L309" s="78"/>
      <c r="M309" s="255"/>
      <c r="N309" s="255"/>
    </row>
    <row r="310" spans="1:14" ht="3" customHeight="1" x14ac:dyDescent="0.2">
      <c r="A310" s="56"/>
      <c r="B310" s="56"/>
      <c r="C310" s="56"/>
      <c r="D310" s="55"/>
      <c r="E310" s="55"/>
      <c r="F310" s="55"/>
      <c r="H310" s="86"/>
      <c r="I310" s="87"/>
      <c r="J310" s="231"/>
      <c r="K310" s="78"/>
      <c r="L310" s="78"/>
      <c r="M310" s="255"/>
      <c r="N310" s="255"/>
    </row>
    <row r="311" spans="1:14" ht="10.95" customHeight="1" x14ac:dyDescent="0.2">
      <c r="A311" s="80">
        <v>5.6</v>
      </c>
      <c r="B311" s="80" t="s">
        <v>381</v>
      </c>
      <c r="D311" s="79"/>
      <c r="E311" s="79"/>
      <c r="F311" s="79"/>
      <c r="G311" s="138">
        <v>6.8</v>
      </c>
      <c r="H311" s="132">
        <v>193</v>
      </c>
      <c r="I311" s="132">
        <v>4930</v>
      </c>
      <c r="J311" s="135">
        <v>4.3</v>
      </c>
      <c r="K311" s="78"/>
      <c r="L311" s="78"/>
      <c r="M311" s="255"/>
      <c r="N311" s="255"/>
    </row>
    <row r="312" spans="1:14" s="55" customFormat="1" ht="10.95" customHeight="1" x14ac:dyDescent="0.2">
      <c r="B312" s="56" t="s">
        <v>382</v>
      </c>
      <c r="C312" s="56" t="s">
        <v>383</v>
      </c>
      <c r="D312" s="56"/>
      <c r="G312" s="138">
        <v>2.7</v>
      </c>
      <c r="H312" s="132">
        <v>76</v>
      </c>
      <c r="I312" s="132">
        <v>3740</v>
      </c>
      <c r="J312" s="135">
        <v>3.7</v>
      </c>
      <c r="K312" s="78"/>
      <c r="L312" s="78"/>
      <c r="M312" s="255"/>
      <c r="N312" s="255"/>
    </row>
    <row r="313" spans="1:14" s="55" customFormat="1" ht="10.95" customHeight="1" x14ac:dyDescent="0.2">
      <c r="B313" s="56"/>
      <c r="C313" s="136" t="s">
        <v>384</v>
      </c>
      <c r="D313" s="55" t="s">
        <v>385</v>
      </c>
      <c r="G313" s="138">
        <v>1</v>
      </c>
      <c r="H313" s="132">
        <v>27</v>
      </c>
      <c r="I313" s="132">
        <v>2120</v>
      </c>
      <c r="J313" s="135">
        <v>2.7</v>
      </c>
      <c r="K313" s="78"/>
      <c r="L313" s="78"/>
      <c r="M313" s="255"/>
      <c r="N313" s="255"/>
    </row>
    <row r="314" spans="1:14" s="55" customFormat="1" ht="10.95" customHeight="1" x14ac:dyDescent="0.2">
      <c r="B314" s="56"/>
      <c r="C314" s="136" t="s">
        <v>386</v>
      </c>
      <c r="D314" s="55" t="s">
        <v>387</v>
      </c>
      <c r="G314" s="138">
        <v>1.7</v>
      </c>
      <c r="H314" s="132">
        <v>49</v>
      </c>
      <c r="I314" s="132">
        <v>3210</v>
      </c>
      <c r="J314" s="135">
        <v>5.5</v>
      </c>
      <c r="K314" s="78"/>
      <c r="L314" s="78"/>
      <c r="M314" s="255"/>
      <c r="N314" s="255"/>
    </row>
    <row r="315" spans="1:14" s="55" customFormat="1" ht="3" customHeight="1" x14ac:dyDescent="0.2">
      <c r="B315" s="56"/>
      <c r="C315" s="56"/>
      <c r="D315" s="56"/>
      <c r="G315" s="85"/>
      <c r="H315" s="86"/>
      <c r="I315" s="87"/>
      <c r="J315" s="231"/>
      <c r="K315" s="78"/>
      <c r="L315" s="78"/>
      <c r="M315" s="255"/>
      <c r="N315" s="255"/>
    </row>
    <row r="316" spans="1:14" s="55" customFormat="1" ht="10.95" customHeight="1" x14ac:dyDescent="0.2">
      <c r="B316" s="56" t="s">
        <v>388</v>
      </c>
      <c r="C316" s="56" t="s">
        <v>389</v>
      </c>
      <c r="G316" s="138">
        <v>2</v>
      </c>
      <c r="H316" s="132">
        <v>56</v>
      </c>
      <c r="I316" s="132">
        <v>4130</v>
      </c>
      <c r="J316" s="135">
        <v>3.5</v>
      </c>
      <c r="K316" s="78"/>
      <c r="L316" s="78"/>
      <c r="M316" s="255"/>
      <c r="N316" s="255"/>
    </row>
    <row r="317" spans="1:14" s="55" customFormat="1" ht="10.95" customHeight="1" x14ac:dyDescent="0.2">
      <c r="B317" s="56"/>
      <c r="C317" s="56" t="s">
        <v>390</v>
      </c>
      <c r="D317" s="55" t="s">
        <v>391</v>
      </c>
      <c r="G317" s="138">
        <v>1.2</v>
      </c>
      <c r="H317" s="132">
        <v>33</v>
      </c>
      <c r="I317" s="132">
        <v>3730</v>
      </c>
      <c r="J317" s="135">
        <v>4.9000000000000004</v>
      </c>
      <c r="K317" s="78"/>
      <c r="L317" s="78"/>
      <c r="M317" s="255"/>
      <c r="N317" s="255"/>
    </row>
    <row r="318" spans="1:14" s="55" customFormat="1" ht="10.95" customHeight="1" x14ac:dyDescent="0.2">
      <c r="B318" s="56"/>
      <c r="C318" s="56" t="s">
        <v>392</v>
      </c>
      <c r="D318" s="56" t="s">
        <v>393</v>
      </c>
      <c r="G318" s="138">
        <v>0.3</v>
      </c>
      <c r="H318" s="132">
        <v>10</v>
      </c>
      <c r="I318" s="132">
        <v>660</v>
      </c>
      <c r="J318" s="135">
        <v>6.3</v>
      </c>
      <c r="K318" s="78"/>
      <c r="L318" s="78"/>
      <c r="M318" s="255"/>
      <c r="N318" s="255"/>
    </row>
    <row r="319" spans="1:14" s="55" customFormat="1" ht="10.95" customHeight="1" x14ac:dyDescent="0.2">
      <c r="B319" s="56"/>
      <c r="C319" s="56" t="s">
        <v>394</v>
      </c>
      <c r="D319" s="56" t="s">
        <v>395</v>
      </c>
      <c r="G319" s="138">
        <v>0.2</v>
      </c>
      <c r="H319" s="132">
        <v>5</v>
      </c>
      <c r="I319" s="132">
        <v>840</v>
      </c>
      <c r="J319" s="135">
        <v>4.7</v>
      </c>
      <c r="K319" s="78"/>
      <c r="L319" s="78"/>
      <c r="M319" s="255"/>
      <c r="N319" s="255"/>
    </row>
    <row r="320" spans="1:14" s="55" customFormat="1" ht="10.95" customHeight="1" x14ac:dyDescent="0.2">
      <c r="B320" s="56"/>
      <c r="C320" s="56" t="s">
        <v>396</v>
      </c>
      <c r="D320" s="56" t="s">
        <v>397</v>
      </c>
      <c r="G320" s="138">
        <v>0.3</v>
      </c>
      <c r="H320" s="132">
        <v>8</v>
      </c>
      <c r="I320" s="132">
        <v>460</v>
      </c>
      <c r="J320" s="135">
        <v>9.4</v>
      </c>
      <c r="K320" s="78"/>
      <c r="L320" s="78"/>
      <c r="M320" s="255"/>
      <c r="N320" s="255"/>
    </row>
    <row r="321" spans="1:14" s="55" customFormat="1" ht="3" customHeight="1" x14ac:dyDescent="0.2">
      <c r="B321" s="56"/>
      <c r="C321" s="56"/>
      <c r="D321" s="56"/>
      <c r="G321" s="85"/>
      <c r="H321" s="86"/>
      <c r="I321" s="87"/>
      <c r="J321" s="231"/>
      <c r="K321" s="78"/>
      <c r="L321" s="78"/>
      <c r="M321" s="255"/>
      <c r="N321" s="255"/>
    </row>
    <row r="322" spans="1:14" s="55" customFormat="1" ht="10.95" customHeight="1" x14ac:dyDescent="0.2">
      <c r="B322" s="56" t="s">
        <v>398</v>
      </c>
      <c r="C322" s="56" t="s">
        <v>399</v>
      </c>
      <c r="G322" s="138">
        <v>2.1</v>
      </c>
      <c r="H322" s="132">
        <v>61</v>
      </c>
      <c r="I322" s="132">
        <v>530</v>
      </c>
      <c r="J322" s="135">
        <v>12.1</v>
      </c>
      <c r="K322" s="78"/>
      <c r="L322" s="78"/>
      <c r="M322" s="255"/>
      <c r="N322" s="255"/>
    </row>
    <row r="323" spans="1:14" s="55" customFormat="1" ht="10.95" customHeight="1" x14ac:dyDescent="0.2">
      <c r="A323" s="257"/>
      <c r="C323" s="136" t="s">
        <v>400</v>
      </c>
      <c r="D323" s="55" t="s">
        <v>401</v>
      </c>
      <c r="G323" s="138">
        <v>1.5</v>
      </c>
      <c r="H323" s="132">
        <v>42</v>
      </c>
      <c r="I323" s="132">
        <v>290</v>
      </c>
      <c r="J323" s="135">
        <v>12</v>
      </c>
      <c r="K323" s="78"/>
      <c r="L323" s="78"/>
      <c r="M323" s="255"/>
      <c r="N323" s="255"/>
    </row>
    <row r="324" spans="1:14" s="55" customFormat="1" ht="10.95" customHeight="1" x14ac:dyDescent="0.2">
      <c r="C324" s="56" t="s">
        <v>402</v>
      </c>
      <c r="D324" s="56" t="s">
        <v>403</v>
      </c>
      <c r="G324" s="138">
        <v>0.4</v>
      </c>
      <c r="H324" s="132">
        <v>12</v>
      </c>
      <c r="I324" s="132">
        <v>290</v>
      </c>
      <c r="J324" s="135">
        <v>12.1</v>
      </c>
      <c r="K324" s="78"/>
      <c r="L324" s="78"/>
      <c r="M324" s="255"/>
      <c r="N324" s="255"/>
    </row>
    <row r="325" spans="1:14" s="55" customFormat="1" ht="10.95" customHeight="1" x14ac:dyDescent="0.2">
      <c r="C325" s="56" t="s">
        <v>404</v>
      </c>
      <c r="D325" s="56" t="s">
        <v>405</v>
      </c>
      <c r="G325" s="138">
        <v>0.2</v>
      </c>
      <c r="H325" s="132">
        <v>7</v>
      </c>
      <c r="I325" s="132">
        <v>0</v>
      </c>
      <c r="J325" s="135">
        <v>74.7</v>
      </c>
      <c r="K325" s="78"/>
      <c r="L325" s="78"/>
      <c r="M325" s="255"/>
      <c r="N325" s="255"/>
    </row>
    <row r="326" spans="1:14" s="143" customFormat="1" ht="4.2" customHeight="1" x14ac:dyDescent="0.2">
      <c r="A326" s="557"/>
      <c r="B326" s="555"/>
      <c r="C326" s="555"/>
      <c r="D326" s="557"/>
      <c r="E326" s="557"/>
      <c r="F326" s="557"/>
      <c r="G326" s="567"/>
      <c r="H326" s="568"/>
      <c r="I326" s="569"/>
      <c r="J326" s="602"/>
      <c r="K326" s="78"/>
      <c r="L326" s="78"/>
      <c r="M326" s="255"/>
      <c r="N326" s="255"/>
    </row>
    <row r="327" spans="1:14" s="143" customFormat="1" ht="4.2" customHeight="1" x14ac:dyDescent="0.2">
      <c r="A327" s="55"/>
      <c r="B327" s="56"/>
      <c r="C327" s="56"/>
      <c r="D327" s="55"/>
      <c r="E327" s="55"/>
      <c r="F327" s="55"/>
      <c r="G327" s="85"/>
      <c r="H327" s="86"/>
      <c r="I327" s="87"/>
      <c r="J327" s="231"/>
      <c r="K327" s="78"/>
      <c r="L327" s="78"/>
      <c r="M327" s="255"/>
      <c r="N327" s="255"/>
    </row>
    <row r="328" spans="1:14" s="143" customFormat="1" ht="12.75" customHeight="1" x14ac:dyDescent="0.2">
      <c r="A328" s="188">
        <v>6</v>
      </c>
      <c r="B328" s="120" t="s">
        <v>12</v>
      </c>
      <c r="C328" s="121"/>
      <c r="D328" s="121"/>
      <c r="E328" s="121"/>
      <c r="F328" s="259"/>
      <c r="G328" s="576">
        <v>9.1</v>
      </c>
      <c r="H328" s="124">
        <v>259</v>
      </c>
      <c r="I328" s="124">
        <v>3130</v>
      </c>
      <c r="J328" s="125">
        <v>5.6</v>
      </c>
      <c r="K328" s="78"/>
      <c r="L328" s="78"/>
      <c r="M328" s="255"/>
      <c r="N328" s="255"/>
    </row>
    <row r="329" spans="1:14" ht="6" customHeight="1" x14ac:dyDescent="0.2">
      <c r="A329" s="260"/>
      <c r="B329" s="136"/>
      <c r="C329" s="56"/>
      <c r="D329" s="55"/>
      <c r="E329" s="55"/>
      <c r="F329" s="55"/>
      <c r="H329" s="86"/>
      <c r="I329" s="87"/>
      <c r="J329" s="231"/>
      <c r="K329" s="78"/>
      <c r="L329" s="78"/>
      <c r="M329" s="255"/>
      <c r="N329" s="255"/>
    </row>
    <row r="330" spans="1:14" ht="10.95" customHeight="1" x14ac:dyDescent="0.2">
      <c r="A330" s="80">
        <v>6.1</v>
      </c>
      <c r="B330" s="129" t="s">
        <v>406</v>
      </c>
      <c r="D330" s="79"/>
      <c r="E330" s="79"/>
      <c r="G330" s="138">
        <v>4.7</v>
      </c>
      <c r="H330" s="132">
        <v>134</v>
      </c>
      <c r="I330" s="132">
        <v>2950</v>
      </c>
      <c r="J330" s="135">
        <v>7.6</v>
      </c>
      <c r="K330" s="78"/>
      <c r="L330" s="78"/>
      <c r="M330" s="255"/>
      <c r="N330" s="255"/>
    </row>
    <row r="331" spans="1:14" ht="10.95" customHeight="1" x14ac:dyDescent="0.2">
      <c r="A331" s="260"/>
      <c r="B331" s="56" t="s">
        <v>407</v>
      </c>
      <c r="C331" s="56" t="s">
        <v>408</v>
      </c>
      <c r="D331" s="56"/>
      <c r="E331" s="55"/>
      <c r="F331" s="84"/>
      <c r="G331" s="138">
        <v>2.9</v>
      </c>
      <c r="H331" s="132">
        <v>82</v>
      </c>
      <c r="I331" s="132">
        <v>2780</v>
      </c>
      <c r="J331" s="135">
        <v>9.9</v>
      </c>
      <c r="K331" s="78"/>
      <c r="L331" s="78"/>
      <c r="M331" s="255"/>
      <c r="N331" s="255"/>
    </row>
    <row r="332" spans="1:14" ht="10.95" customHeight="1" x14ac:dyDescent="0.2">
      <c r="A332" s="260"/>
      <c r="B332" s="56"/>
      <c r="C332" s="56" t="s">
        <v>409</v>
      </c>
      <c r="D332" s="56" t="s">
        <v>410</v>
      </c>
      <c r="E332" s="55"/>
      <c r="F332" s="84"/>
      <c r="G332" s="138">
        <v>0.2</v>
      </c>
      <c r="H332" s="132">
        <v>6</v>
      </c>
      <c r="I332" s="132">
        <v>200</v>
      </c>
      <c r="J332" s="135">
        <v>8.8000000000000007</v>
      </c>
      <c r="K332" s="78"/>
      <c r="L332" s="78"/>
      <c r="M332" s="255"/>
      <c r="N332" s="255"/>
    </row>
    <row r="333" spans="1:14" ht="10.95" customHeight="1" x14ac:dyDescent="0.2">
      <c r="B333" s="56"/>
      <c r="C333" s="136" t="s">
        <v>411</v>
      </c>
      <c r="D333" s="55" t="s">
        <v>412</v>
      </c>
      <c r="E333" s="55"/>
      <c r="F333" s="84"/>
      <c r="G333" s="138">
        <v>1.8</v>
      </c>
      <c r="H333" s="132">
        <v>52</v>
      </c>
      <c r="I333" s="132">
        <v>2500</v>
      </c>
      <c r="J333" s="135">
        <v>4.3</v>
      </c>
      <c r="K333" s="78"/>
      <c r="L333" s="78"/>
      <c r="M333" s="255"/>
      <c r="N333" s="255"/>
    </row>
    <row r="334" spans="1:14" ht="10.5" customHeight="1" x14ac:dyDescent="0.2">
      <c r="B334" s="56"/>
      <c r="C334" s="136" t="s">
        <v>413</v>
      </c>
      <c r="D334" s="261" t="s">
        <v>414</v>
      </c>
      <c r="E334" s="261"/>
      <c r="F334" s="261"/>
      <c r="G334" s="138">
        <v>0.3</v>
      </c>
      <c r="H334" s="132">
        <v>9</v>
      </c>
      <c r="I334" s="132">
        <v>440</v>
      </c>
      <c r="J334" s="135">
        <v>10.5</v>
      </c>
      <c r="K334" s="78"/>
      <c r="L334" s="78"/>
      <c r="M334" s="255"/>
      <c r="N334" s="255"/>
    </row>
    <row r="335" spans="1:14" ht="10.95" customHeight="1" x14ac:dyDescent="0.2">
      <c r="B335" s="129"/>
      <c r="C335" s="136" t="s">
        <v>415</v>
      </c>
      <c r="D335" s="56" t="s">
        <v>416</v>
      </c>
      <c r="E335" s="79"/>
      <c r="I335" s="79"/>
      <c r="J335" s="79"/>
      <c r="K335" s="78"/>
      <c r="L335" s="78"/>
      <c r="M335" s="255"/>
      <c r="N335" s="255"/>
    </row>
    <row r="336" spans="1:14" ht="10.95" customHeight="1" x14ac:dyDescent="0.2">
      <c r="B336" s="129"/>
      <c r="C336" s="136"/>
      <c r="D336" s="56" t="s">
        <v>417</v>
      </c>
      <c r="E336" s="79"/>
      <c r="G336" s="138">
        <v>0.5</v>
      </c>
      <c r="H336" s="132">
        <v>15</v>
      </c>
      <c r="I336" s="132">
        <v>70</v>
      </c>
      <c r="J336" s="135">
        <v>50.9</v>
      </c>
      <c r="K336" s="78"/>
      <c r="L336" s="78"/>
      <c r="M336" s="255"/>
      <c r="N336" s="255"/>
    </row>
    <row r="337" spans="1:14" ht="3" customHeight="1" x14ac:dyDescent="0.2">
      <c r="B337" s="129"/>
      <c r="C337" s="136"/>
      <c r="D337" s="56"/>
      <c r="E337" s="79"/>
      <c r="H337" s="86"/>
      <c r="I337" s="87"/>
      <c r="J337" s="135"/>
      <c r="K337" s="78"/>
      <c r="L337" s="78"/>
      <c r="M337" s="255"/>
      <c r="N337" s="255"/>
    </row>
    <row r="338" spans="1:14" s="55" customFormat="1" ht="10.95" customHeight="1" x14ac:dyDescent="0.2">
      <c r="B338" s="56" t="s">
        <v>418</v>
      </c>
      <c r="C338" s="136" t="s">
        <v>419</v>
      </c>
      <c r="F338" s="84"/>
      <c r="G338" s="138">
        <v>1.8</v>
      </c>
      <c r="H338" s="132">
        <v>52</v>
      </c>
      <c r="I338" s="132">
        <v>410</v>
      </c>
      <c r="J338" s="135">
        <v>11.9</v>
      </c>
      <c r="K338" s="78"/>
      <c r="L338" s="78"/>
      <c r="M338" s="255"/>
      <c r="N338" s="255"/>
    </row>
    <row r="339" spans="1:14" s="55" customFormat="1" ht="10.95" customHeight="1" x14ac:dyDescent="0.2">
      <c r="A339" s="80"/>
      <c r="B339" s="56"/>
      <c r="C339" s="136" t="s">
        <v>420</v>
      </c>
      <c r="D339" s="261" t="s">
        <v>421</v>
      </c>
      <c r="E339" s="261"/>
      <c r="F339" s="261"/>
      <c r="G339" s="138">
        <v>1.8</v>
      </c>
      <c r="H339" s="132">
        <v>51</v>
      </c>
      <c r="I339" s="132">
        <v>360</v>
      </c>
      <c r="J339" s="135">
        <v>12.1</v>
      </c>
      <c r="K339" s="78"/>
      <c r="L339" s="78"/>
      <c r="M339" s="255"/>
      <c r="N339" s="255"/>
    </row>
    <row r="340" spans="1:14" s="128" customFormat="1" ht="10.95" customHeight="1" x14ac:dyDescent="0.2">
      <c r="B340" s="56"/>
      <c r="C340" s="136" t="s">
        <v>422</v>
      </c>
      <c r="D340" s="55" t="s">
        <v>423</v>
      </c>
      <c r="E340" s="55"/>
      <c r="F340" s="84"/>
      <c r="G340" s="138" t="s">
        <v>1009</v>
      </c>
      <c r="H340" s="132">
        <v>1</v>
      </c>
      <c r="I340" s="132">
        <v>70</v>
      </c>
      <c r="J340" s="135">
        <v>23.6</v>
      </c>
      <c r="K340" s="78"/>
      <c r="L340" s="78"/>
      <c r="M340" s="255"/>
      <c r="N340" s="255"/>
    </row>
    <row r="341" spans="1:14" s="143" customFormat="1" ht="3" customHeight="1" x14ac:dyDescent="0.2">
      <c r="A341" s="55"/>
      <c r="B341" s="55"/>
      <c r="C341" s="55"/>
      <c r="D341" s="55"/>
      <c r="E341" s="55"/>
      <c r="F341" s="55"/>
      <c r="G341" s="85"/>
      <c r="H341" s="108"/>
      <c r="I341" s="79"/>
      <c r="J341" s="217"/>
      <c r="K341" s="78"/>
      <c r="L341" s="78"/>
      <c r="M341" s="255"/>
      <c r="N341" s="255"/>
    </row>
    <row r="342" spans="1:14" s="143" customFormat="1" ht="10.5" customHeight="1" x14ac:dyDescent="0.2">
      <c r="A342" s="80">
        <v>6.2</v>
      </c>
      <c r="B342" s="80" t="s">
        <v>424</v>
      </c>
      <c r="C342" s="263"/>
      <c r="D342" s="79"/>
      <c r="E342" s="79"/>
      <c r="F342" s="79"/>
      <c r="G342" s="138">
        <v>4.4000000000000004</v>
      </c>
      <c r="H342" s="132">
        <v>125</v>
      </c>
      <c r="I342" s="132">
        <v>530</v>
      </c>
      <c r="J342" s="135">
        <v>8.1999999999999993</v>
      </c>
      <c r="K342" s="78"/>
      <c r="L342" s="78"/>
      <c r="M342" s="255"/>
      <c r="N342" s="255"/>
    </row>
    <row r="343" spans="1:14" s="143" customFormat="1" ht="10.95" customHeight="1" x14ac:dyDescent="0.2">
      <c r="A343" s="80"/>
      <c r="B343" s="56" t="s">
        <v>425</v>
      </c>
      <c r="C343" s="56" t="s">
        <v>426</v>
      </c>
      <c r="D343" s="79"/>
      <c r="E343" s="79"/>
      <c r="F343" s="79"/>
      <c r="G343" s="138">
        <v>4.2</v>
      </c>
      <c r="H343" s="132">
        <v>121</v>
      </c>
      <c r="I343" s="132">
        <v>520</v>
      </c>
      <c r="J343" s="135">
        <v>8.3000000000000007</v>
      </c>
      <c r="K343" s="78"/>
      <c r="L343" s="78"/>
      <c r="M343" s="255"/>
      <c r="N343" s="255"/>
    </row>
    <row r="344" spans="1:14" s="143" customFormat="1" ht="10.95" customHeight="1" x14ac:dyDescent="0.2">
      <c r="A344" s="55"/>
      <c r="C344" s="56" t="s">
        <v>427</v>
      </c>
      <c r="D344" s="136" t="s">
        <v>428</v>
      </c>
      <c r="E344" s="55"/>
      <c r="F344" s="84"/>
      <c r="G344" s="138">
        <v>0.8</v>
      </c>
      <c r="H344" s="132">
        <v>23</v>
      </c>
      <c r="I344" s="132">
        <v>170</v>
      </c>
      <c r="J344" s="135">
        <v>14.3</v>
      </c>
      <c r="K344" s="78"/>
      <c r="L344" s="78"/>
      <c r="M344" s="255"/>
      <c r="N344" s="255"/>
    </row>
    <row r="345" spans="1:14" s="143" customFormat="1" ht="10.95" customHeight="1" x14ac:dyDescent="0.2">
      <c r="A345" s="55"/>
      <c r="C345" s="56" t="s">
        <v>429</v>
      </c>
      <c r="D345" s="136" t="s">
        <v>430</v>
      </c>
      <c r="E345" s="55"/>
      <c r="F345" s="84"/>
      <c r="G345" s="138">
        <v>3.4</v>
      </c>
      <c r="H345" s="132">
        <v>97</v>
      </c>
      <c r="I345" s="132">
        <v>360</v>
      </c>
      <c r="J345" s="135">
        <v>9.6</v>
      </c>
      <c r="K345" s="78"/>
      <c r="L345" s="78"/>
      <c r="M345" s="255"/>
      <c r="N345" s="255"/>
    </row>
    <row r="346" spans="1:14" s="143" customFormat="1" ht="10.95" customHeight="1" x14ac:dyDescent="0.2">
      <c r="A346" s="55"/>
      <c r="C346" s="56" t="s">
        <v>431</v>
      </c>
      <c r="D346" s="136" t="s">
        <v>432</v>
      </c>
      <c r="E346" s="55"/>
      <c r="F346" s="84"/>
      <c r="G346" s="138" t="s">
        <v>1009</v>
      </c>
      <c r="H346" s="132">
        <v>1</v>
      </c>
      <c r="I346" s="132">
        <v>0</v>
      </c>
      <c r="J346" s="135">
        <v>89.5</v>
      </c>
      <c r="K346" s="78"/>
      <c r="L346" s="78"/>
      <c r="M346" s="255"/>
      <c r="N346" s="255"/>
    </row>
    <row r="347" spans="1:14" s="143" customFormat="1" ht="3" customHeight="1" x14ac:dyDescent="0.2">
      <c r="A347" s="55"/>
      <c r="B347" s="55"/>
      <c r="C347" s="55"/>
      <c r="D347" s="55"/>
      <c r="E347" s="55"/>
      <c r="F347" s="55"/>
      <c r="G347" s="85"/>
      <c r="H347" s="108"/>
      <c r="I347" s="79"/>
      <c r="J347" s="231"/>
      <c r="K347" s="78"/>
      <c r="L347" s="78"/>
      <c r="M347" s="255"/>
      <c r="N347" s="255"/>
    </row>
    <row r="348" spans="1:14" s="143" customFormat="1" ht="10.95" customHeight="1" x14ac:dyDescent="0.2">
      <c r="B348" s="56" t="s">
        <v>433</v>
      </c>
      <c r="C348" s="136" t="s">
        <v>434</v>
      </c>
      <c r="D348" s="79"/>
      <c r="E348" s="79"/>
      <c r="F348" s="219"/>
      <c r="G348" s="138">
        <v>0.1</v>
      </c>
      <c r="H348" s="132">
        <v>4</v>
      </c>
      <c r="I348" s="132">
        <v>10</v>
      </c>
      <c r="J348" s="135">
        <v>40.200000000000003</v>
      </c>
      <c r="K348" s="78"/>
      <c r="L348" s="78"/>
      <c r="M348" s="255"/>
      <c r="N348" s="255"/>
    </row>
    <row r="349" spans="1:14" s="143" customFormat="1" ht="4.2" customHeight="1" x14ac:dyDescent="0.2">
      <c r="A349" s="557"/>
      <c r="B349" s="555"/>
      <c r="C349" s="603"/>
      <c r="D349" s="557"/>
      <c r="E349" s="557"/>
      <c r="F349" s="558"/>
      <c r="G349" s="559"/>
      <c r="H349" s="604"/>
      <c r="I349" s="605"/>
      <c r="J349" s="606"/>
      <c r="K349" s="78"/>
      <c r="L349" s="78"/>
    </row>
    <row r="350" spans="1:14" ht="4.2" customHeight="1" x14ac:dyDescent="0.15">
      <c r="A350" s="79"/>
      <c r="B350" s="79"/>
      <c r="D350" s="79"/>
      <c r="E350" s="79"/>
      <c r="F350" s="79"/>
      <c r="I350" s="79"/>
      <c r="J350" s="79"/>
      <c r="K350" s="214"/>
      <c r="L350" s="269"/>
    </row>
    <row r="351" spans="1:14" ht="10.95" customHeight="1" x14ac:dyDescent="0.2">
      <c r="A351" s="157" t="s">
        <v>111</v>
      </c>
      <c r="B351" s="56"/>
      <c r="C351" s="56"/>
      <c r="D351" s="55"/>
      <c r="E351" s="137"/>
      <c r="F351" s="142"/>
      <c r="G351" s="241"/>
      <c r="H351" s="242"/>
      <c r="I351" s="79"/>
      <c r="J351" s="79"/>
      <c r="K351" s="214"/>
      <c r="L351" s="269"/>
    </row>
    <row r="352" spans="1:14" ht="10.95" customHeight="1" x14ac:dyDescent="0.2">
      <c r="A352" s="157" t="s">
        <v>182</v>
      </c>
      <c r="B352" s="56"/>
      <c r="C352" s="56"/>
      <c r="D352" s="55"/>
      <c r="E352" s="137"/>
      <c r="F352" s="142"/>
      <c r="G352" s="241"/>
      <c r="H352" s="242"/>
      <c r="I352" s="79"/>
      <c r="J352" s="79"/>
      <c r="K352" s="214"/>
      <c r="L352" s="269"/>
    </row>
    <row r="353" spans="1:12" ht="10.95" customHeight="1" x14ac:dyDescent="0.2">
      <c r="A353" s="157" t="s">
        <v>112</v>
      </c>
      <c r="B353" s="56"/>
      <c r="C353" s="56"/>
      <c r="D353" s="55"/>
      <c r="E353" s="137"/>
      <c r="F353" s="142"/>
      <c r="G353" s="241"/>
      <c r="H353" s="242"/>
      <c r="I353" s="79"/>
      <c r="J353" s="79"/>
      <c r="K353" s="214"/>
      <c r="L353" s="269"/>
    </row>
    <row r="354" spans="1:12" ht="10.95" customHeight="1" x14ac:dyDescent="0.15">
      <c r="A354" s="79"/>
      <c r="B354" s="79"/>
      <c r="D354" s="79"/>
      <c r="E354" s="79"/>
      <c r="F354" s="79"/>
      <c r="I354" s="79"/>
      <c r="J354" s="79"/>
      <c r="K354" s="214"/>
      <c r="L354" s="269"/>
    </row>
    <row r="355" spans="1:12" s="55" customFormat="1" ht="10.95" customHeight="1" x14ac:dyDescent="0.15">
      <c r="G355" s="563"/>
      <c r="H355" s="250"/>
      <c r="K355" s="218"/>
      <c r="L355" s="269"/>
    </row>
    <row r="356" spans="1:12" s="55" customFormat="1" ht="10.95" customHeight="1" x14ac:dyDescent="0.15">
      <c r="G356" s="563"/>
      <c r="H356" s="250"/>
      <c r="K356" s="218"/>
      <c r="L356" s="269"/>
    </row>
    <row r="357" spans="1:12" s="55" customFormat="1" ht="10.95" customHeight="1" x14ac:dyDescent="0.2">
      <c r="A357" s="245"/>
      <c r="G357" s="563"/>
      <c r="H357" s="250"/>
      <c r="K357" s="218"/>
      <c r="L357" s="269"/>
    </row>
    <row r="358" spans="1:12" s="55" customFormat="1" ht="15.75" customHeight="1" x14ac:dyDescent="0.15">
      <c r="A358" s="159" t="s">
        <v>114</v>
      </c>
      <c r="G358" s="563"/>
      <c r="H358" s="250"/>
      <c r="K358" s="218"/>
      <c r="L358" s="269"/>
    </row>
    <row r="359" spans="1:12" s="31" customFormat="1" ht="20.25" customHeight="1" x14ac:dyDescent="0.3">
      <c r="A359" s="160" t="s">
        <v>183</v>
      </c>
      <c r="B359" s="161"/>
      <c r="D359" s="32"/>
      <c r="E359" s="32"/>
      <c r="F359" s="33"/>
      <c r="G359" s="551"/>
      <c r="H359" s="35"/>
      <c r="I359" s="36"/>
      <c r="J359" s="246"/>
      <c r="K359" s="37"/>
      <c r="L359" s="269"/>
    </row>
    <row r="360" spans="1:12" s="31" customFormat="1" ht="15.75" customHeight="1" x14ac:dyDescent="0.25">
      <c r="A360" s="41" t="s">
        <v>1359</v>
      </c>
      <c r="B360" s="168"/>
      <c r="C360" s="43"/>
      <c r="D360" s="44"/>
      <c r="E360" s="32"/>
      <c r="F360" s="33"/>
      <c r="G360" s="551"/>
      <c r="H360" s="35"/>
      <c r="I360" s="36"/>
      <c r="J360" s="246"/>
      <c r="K360" s="37"/>
      <c r="L360" s="269"/>
    </row>
    <row r="361" spans="1:12" ht="4.2" customHeight="1" x14ac:dyDescent="0.2">
      <c r="A361" s="564"/>
      <c r="B361" s="564"/>
      <c r="C361" s="565"/>
      <c r="D361" s="566"/>
      <c r="E361" s="566"/>
      <c r="F361" s="566"/>
      <c r="G361" s="567"/>
      <c r="H361" s="572"/>
      <c r="I361" s="573"/>
      <c r="J361" s="570"/>
      <c r="L361" s="269"/>
    </row>
    <row r="362" spans="1:12" s="55" customFormat="1" ht="4.2" customHeight="1" x14ac:dyDescent="0.2">
      <c r="A362" s="81"/>
      <c r="B362" s="81"/>
      <c r="D362" s="84"/>
      <c r="E362" s="84"/>
      <c r="F362" s="84"/>
      <c r="G362" s="563"/>
      <c r="H362" s="250"/>
      <c r="I362" s="251"/>
      <c r="J362" s="252"/>
      <c r="K362" s="53"/>
      <c r="L362" s="269"/>
    </row>
    <row r="363" spans="1:12" s="180" customFormat="1" ht="10.95" customHeight="1" x14ac:dyDescent="0.15">
      <c r="A363" s="172"/>
      <c r="B363" s="172"/>
      <c r="C363" s="173"/>
      <c r="D363" s="174"/>
      <c r="E363" s="174"/>
      <c r="F363" s="59"/>
      <c r="G363" s="60" t="s">
        <v>116</v>
      </c>
      <c r="H363" s="61" t="s">
        <v>25</v>
      </c>
      <c r="I363" s="62" t="s">
        <v>26</v>
      </c>
      <c r="J363" s="63" t="s">
        <v>117</v>
      </c>
      <c r="K363" s="179"/>
      <c r="L363" s="269"/>
    </row>
    <row r="364" spans="1:12" s="180" customFormat="1" ht="10.95" customHeight="1" x14ac:dyDescent="0.15">
      <c r="A364" s="172"/>
      <c r="B364" s="172"/>
      <c r="C364" s="181"/>
      <c r="D364" s="174"/>
      <c r="E364" s="174"/>
      <c r="F364" s="59"/>
      <c r="G364" s="67" t="s">
        <v>29</v>
      </c>
      <c r="H364" s="61" t="s">
        <v>27</v>
      </c>
      <c r="I364" s="62" t="s">
        <v>28</v>
      </c>
      <c r="J364" s="63" t="s">
        <v>118</v>
      </c>
      <c r="K364" s="179"/>
      <c r="L364" s="269"/>
    </row>
    <row r="365" spans="1:12" s="180" customFormat="1" ht="10.95" customHeight="1" x14ac:dyDescent="0.15">
      <c r="A365" s="172"/>
      <c r="B365" s="172"/>
      <c r="C365" s="181"/>
      <c r="D365" s="174"/>
      <c r="E365" s="174"/>
      <c r="F365" s="59"/>
      <c r="G365" s="60" t="s">
        <v>31</v>
      </c>
      <c r="H365" s="61" t="s">
        <v>29</v>
      </c>
      <c r="I365" s="62" t="s">
        <v>30</v>
      </c>
      <c r="J365" s="69" t="s">
        <v>119</v>
      </c>
      <c r="K365" s="179"/>
      <c r="L365" s="269"/>
    </row>
    <row r="366" spans="1:12" s="180" customFormat="1" ht="10.95" customHeight="1" x14ac:dyDescent="0.15">
      <c r="A366" s="172"/>
      <c r="B366" s="172"/>
      <c r="C366" s="181"/>
      <c r="D366" s="174"/>
      <c r="E366" s="174"/>
      <c r="F366" s="59"/>
      <c r="G366" s="67" t="s">
        <v>32</v>
      </c>
      <c r="H366" s="61" t="s">
        <v>33</v>
      </c>
      <c r="I366" s="62" t="s">
        <v>120</v>
      </c>
      <c r="J366" s="70" t="s">
        <v>121</v>
      </c>
      <c r="K366" s="179"/>
      <c r="L366" s="269"/>
    </row>
    <row r="367" spans="1:12" ht="4.2" customHeight="1" x14ac:dyDescent="0.2">
      <c r="A367" s="564"/>
      <c r="B367" s="564"/>
      <c r="C367" s="565"/>
      <c r="D367" s="566"/>
      <c r="E367" s="566"/>
      <c r="F367" s="566"/>
      <c r="G367" s="567"/>
      <c r="H367" s="572"/>
      <c r="I367" s="573"/>
      <c r="J367" s="566"/>
      <c r="L367" s="269"/>
    </row>
    <row r="368" spans="1:12" ht="4.2" customHeight="1" x14ac:dyDescent="0.2">
      <c r="B368" s="81"/>
      <c r="C368" s="82"/>
      <c r="D368" s="83"/>
      <c r="E368" s="83"/>
      <c r="F368" s="84"/>
      <c r="H368" s="86"/>
      <c r="I368" s="87"/>
      <c r="J368" s="83"/>
      <c r="L368" s="269"/>
    </row>
    <row r="369" spans="1:14" s="93" customFormat="1" ht="10.95" customHeight="1" x14ac:dyDescent="0.2">
      <c r="A369" s="111" t="s">
        <v>123</v>
      </c>
      <c r="B369" s="112"/>
      <c r="C369" s="113"/>
      <c r="F369" s="114" t="s">
        <v>124</v>
      </c>
      <c r="G369" s="575"/>
      <c r="H369" s="116"/>
      <c r="I369" s="117"/>
      <c r="K369" s="53"/>
      <c r="L369" s="270"/>
    </row>
    <row r="370" spans="1:14" s="128" customFormat="1" ht="4.2" customHeight="1" x14ac:dyDescent="0.2">
      <c r="A370" s="186"/>
      <c r="B370" s="186"/>
      <c r="C370" s="187"/>
      <c r="D370" s="79"/>
      <c r="E370" s="79"/>
      <c r="G370" s="85"/>
      <c r="H370" s="108"/>
      <c r="I370" s="109"/>
      <c r="J370" s="110"/>
      <c r="K370" s="53"/>
      <c r="L370" s="269"/>
    </row>
    <row r="371" spans="1:14" s="128" customFormat="1" ht="12.75" customHeight="1" x14ac:dyDescent="0.2">
      <c r="A371" s="188">
        <v>7</v>
      </c>
      <c r="B371" s="188" t="s">
        <v>13</v>
      </c>
      <c r="C371" s="228"/>
      <c r="D371" s="121"/>
      <c r="E371" s="121"/>
      <c r="F371" s="259"/>
      <c r="G371" s="576">
        <v>74.400000000000006</v>
      </c>
      <c r="H371" s="124">
        <v>2121</v>
      </c>
      <c r="I371" s="124">
        <v>4950</v>
      </c>
      <c r="J371" s="135">
        <v>2.6</v>
      </c>
      <c r="K371" s="78"/>
      <c r="L371" s="78"/>
      <c r="M371" s="271"/>
      <c r="N371" s="271"/>
    </row>
    <row r="372" spans="1:14" s="55" customFormat="1" ht="6" customHeight="1" x14ac:dyDescent="0.2">
      <c r="A372" s="56"/>
      <c r="B372" s="56"/>
      <c r="C372" s="142"/>
      <c r="F372" s="84"/>
      <c r="G372" s="138"/>
      <c r="H372" s="139"/>
      <c r="I372" s="140"/>
      <c r="J372" s="135"/>
      <c r="K372" s="78"/>
      <c r="L372" s="78"/>
      <c r="M372" s="271"/>
      <c r="N372" s="271"/>
    </row>
    <row r="373" spans="1:14" ht="10.95" customHeight="1" x14ac:dyDescent="0.2">
      <c r="A373" s="80">
        <v>7.1</v>
      </c>
      <c r="B373" s="80" t="s">
        <v>435</v>
      </c>
      <c r="D373" s="79"/>
      <c r="E373" s="79"/>
      <c r="G373" s="138">
        <v>30.9</v>
      </c>
      <c r="H373" s="132">
        <v>880</v>
      </c>
      <c r="I373" s="132">
        <v>1290</v>
      </c>
      <c r="J373" s="135">
        <v>5.4</v>
      </c>
      <c r="K373" s="78"/>
      <c r="L373" s="78"/>
      <c r="M373" s="271"/>
      <c r="N373" s="271"/>
    </row>
    <row r="374" spans="1:14" s="149" customFormat="1" ht="10.95" customHeight="1" x14ac:dyDescent="0.2">
      <c r="B374" s="56" t="s">
        <v>436</v>
      </c>
      <c r="C374" s="136" t="s">
        <v>437</v>
      </c>
      <c r="D374" s="55"/>
      <c r="E374" s="55"/>
      <c r="F374" s="84"/>
      <c r="G374" s="138">
        <v>9.8000000000000007</v>
      </c>
      <c r="H374" s="132">
        <v>280</v>
      </c>
      <c r="I374" s="132">
        <v>330</v>
      </c>
      <c r="J374" s="135">
        <v>10.8</v>
      </c>
      <c r="K374" s="78"/>
      <c r="L374" s="78"/>
      <c r="M374" s="271"/>
      <c r="N374" s="271"/>
    </row>
    <row r="375" spans="1:14" s="55" customFormat="1" ht="10.95" customHeight="1" x14ac:dyDescent="0.2">
      <c r="B375" s="56"/>
      <c r="C375" s="56" t="s">
        <v>438</v>
      </c>
      <c r="D375" s="56" t="s">
        <v>439</v>
      </c>
      <c r="F375" s="84"/>
      <c r="G375" s="138">
        <v>4.5</v>
      </c>
      <c r="H375" s="132">
        <v>128</v>
      </c>
      <c r="I375" s="132">
        <v>70</v>
      </c>
      <c r="J375" s="135">
        <v>15.8</v>
      </c>
      <c r="K375" s="78"/>
      <c r="L375" s="78"/>
      <c r="M375" s="271"/>
      <c r="N375" s="271"/>
    </row>
    <row r="376" spans="1:14" s="55" customFormat="1" ht="10.95" customHeight="1" x14ac:dyDescent="0.2">
      <c r="B376" s="56"/>
      <c r="C376" s="56" t="s">
        <v>440</v>
      </c>
      <c r="D376" s="55" t="s">
        <v>441</v>
      </c>
      <c r="F376" s="84"/>
      <c r="G376" s="138">
        <v>5.3</v>
      </c>
      <c r="H376" s="132">
        <v>152</v>
      </c>
      <c r="I376" s="132">
        <v>260</v>
      </c>
      <c r="J376" s="135">
        <v>15.1</v>
      </c>
      <c r="K376" s="78"/>
      <c r="L376" s="78"/>
      <c r="M376" s="271"/>
      <c r="N376" s="271"/>
    </row>
    <row r="377" spans="1:14" s="55" customFormat="1" ht="3" customHeight="1" x14ac:dyDescent="0.2">
      <c r="B377" s="56"/>
      <c r="C377" s="56"/>
      <c r="F377" s="84"/>
      <c r="G377" s="85"/>
      <c r="H377" s="86"/>
      <c r="I377" s="87"/>
      <c r="J377" s="231"/>
      <c r="K377" s="78"/>
      <c r="L377" s="78"/>
      <c r="M377" s="271"/>
      <c r="N377" s="271"/>
    </row>
    <row r="378" spans="1:14" s="55" customFormat="1" ht="10.95" customHeight="1" x14ac:dyDescent="0.2">
      <c r="B378" s="56" t="s">
        <v>442</v>
      </c>
      <c r="C378" s="56" t="s">
        <v>443</v>
      </c>
      <c r="D378" s="56"/>
      <c r="F378" s="84"/>
      <c r="G378" s="138">
        <v>20.2</v>
      </c>
      <c r="H378" s="132">
        <v>577</v>
      </c>
      <c r="I378" s="132">
        <v>950</v>
      </c>
      <c r="J378" s="135">
        <v>6.1</v>
      </c>
      <c r="K378" s="78"/>
      <c r="L378" s="78"/>
      <c r="M378" s="271"/>
      <c r="N378" s="271"/>
    </row>
    <row r="379" spans="1:14" s="55" customFormat="1" ht="10.95" customHeight="1" x14ac:dyDescent="0.2">
      <c r="B379" s="56"/>
      <c r="C379" s="56" t="s">
        <v>444</v>
      </c>
      <c r="D379" s="56" t="s">
        <v>439</v>
      </c>
      <c r="F379" s="84"/>
      <c r="G379" s="138">
        <v>11.9</v>
      </c>
      <c r="H379" s="132">
        <v>338</v>
      </c>
      <c r="I379" s="132">
        <v>420</v>
      </c>
      <c r="J379" s="135">
        <v>8.1</v>
      </c>
      <c r="K379" s="78"/>
      <c r="L379" s="78"/>
      <c r="M379" s="271"/>
      <c r="N379" s="271"/>
    </row>
    <row r="380" spans="1:14" s="55" customFormat="1" ht="10.95" customHeight="1" x14ac:dyDescent="0.2">
      <c r="B380" s="56"/>
      <c r="C380" s="56" t="s">
        <v>445</v>
      </c>
      <c r="D380" s="55" t="s">
        <v>446</v>
      </c>
      <c r="F380" s="84"/>
      <c r="G380" s="138">
        <v>8.4</v>
      </c>
      <c r="H380" s="132">
        <v>238</v>
      </c>
      <c r="I380" s="132">
        <v>570</v>
      </c>
      <c r="J380" s="135">
        <v>8.4</v>
      </c>
      <c r="K380" s="78"/>
      <c r="L380" s="78"/>
      <c r="M380" s="271"/>
      <c r="N380" s="271"/>
    </row>
    <row r="381" spans="1:14" s="55" customFormat="1" ht="3" customHeight="1" x14ac:dyDescent="0.2">
      <c r="B381" s="56"/>
      <c r="C381" s="56"/>
      <c r="D381" s="56"/>
      <c r="F381" s="84"/>
      <c r="G381" s="85"/>
      <c r="H381" s="86"/>
      <c r="I381" s="87"/>
      <c r="J381" s="217"/>
      <c r="K381" s="78"/>
      <c r="L381" s="78"/>
      <c r="M381" s="271"/>
      <c r="N381" s="271"/>
    </row>
    <row r="382" spans="1:14" s="55" customFormat="1" ht="10.95" customHeight="1" x14ac:dyDescent="0.2">
      <c r="B382" s="56" t="s">
        <v>447</v>
      </c>
      <c r="C382" s="136" t="s">
        <v>448</v>
      </c>
      <c r="D382" s="56"/>
      <c r="F382" s="84"/>
      <c r="G382" s="138">
        <v>0.8</v>
      </c>
      <c r="H382" s="132">
        <v>23</v>
      </c>
      <c r="I382" s="132">
        <v>70</v>
      </c>
      <c r="J382" s="135">
        <v>22.7</v>
      </c>
      <c r="K382" s="78"/>
      <c r="L382" s="78"/>
      <c r="M382" s="271"/>
      <c r="N382" s="271"/>
    </row>
    <row r="383" spans="1:14" s="55" customFormat="1" ht="10.95" customHeight="1" x14ac:dyDescent="0.2">
      <c r="B383" s="56"/>
      <c r="C383" s="56" t="s">
        <v>449</v>
      </c>
      <c r="D383" s="56" t="s">
        <v>450</v>
      </c>
      <c r="F383" s="84"/>
      <c r="G383" s="138">
        <v>0.2</v>
      </c>
      <c r="H383" s="132">
        <v>7</v>
      </c>
      <c r="I383" s="132">
        <v>20</v>
      </c>
      <c r="J383" s="135">
        <v>27.7</v>
      </c>
      <c r="K383" s="78"/>
      <c r="L383" s="78"/>
      <c r="M383" s="271"/>
      <c r="N383" s="271"/>
    </row>
    <row r="384" spans="1:14" s="55" customFormat="1" ht="10.95" customHeight="1" x14ac:dyDescent="0.2">
      <c r="B384" s="56"/>
      <c r="C384" s="56" t="s">
        <v>451</v>
      </c>
      <c r="D384" s="56" t="s">
        <v>452</v>
      </c>
      <c r="F384" s="84"/>
      <c r="G384" s="138">
        <v>0.1</v>
      </c>
      <c r="H384" s="132">
        <v>3</v>
      </c>
      <c r="I384" s="132">
        <v>10</v>
      </c>
      <c r="J384" s="135">
        <v>34.799999999999997</v>
      </c>
      <c r="K384" s="78"/>
      <c r="L384" s="78"/>
      <c r="M384" s="271"/>
      <c r="N384" s="271"/>
    </row>
    <row r="385" spans="1:14" s="55" customFormat="1" ht="10.95" customHeight="1" x14ac:dyDescent="0.2">
      <c r="B385" s="56"/>
      <c r="C385" s="56" t="s">
        <v>453</v>
      </c>
      <c r="D385" s="56" t="s">
        <v>454</v>
      </c>
      <c r="F385" s="84"/>
      <c r="G385" s="138">
        <v>0.5</v>
      </c>
      <c r="H385" s="132">
        <v>13</v>
      </c>
      <c r="I385" s="132">
        <v>40</v>
      </c>
      <c r="J385" s="135">
        <v>35</v>
      </c>
      <c r="K385" s="78"/>
      <c r="L385" s="78"/>
      <c r="M385" s="271"/>
      <c r="N385" s="271"/>
    </row>
    <row r="386" spans="1:14" s="55" customFormat="1" ht="3" customHeight="1" x14ac:dyDescent="0.2">
      <c r="A386" s="56"/>
      <c r="B386" s="56"/>
      <c r="C386" s="56"/>
      <c r="F386" s="84"/>
      <c r="G386" s="85"/>
      <c r="H386" s="86"/>
      <c r="I386" s="87"/>
      <c r="J386" s="231"/>
      <c r="K386" s="78"/>
      <c r="L386" s="78"/>
      <c r="M386" s="271"/>
      <c r="N386" s="271"/>
    </row>
    <row r="387" spans="1:14" ht="10.95" customHeight="1" x14ac:dyDescent="0.2">
      <c r="A387" s="80">
        <v>7.2</v>
      </c>
      <c r="B387" s="80" t="s">
        <v>455</v>
      </c>
      <c r="C387" s="80"/>
      <c r="D387" s="79"/>
      <c r="E387" s="79"/>
      <c r="G387" s="138">
        <v>30.7</v>
      </c>
      <c r="H387" s="132">
        <v>876</v>
      </c>
      <c r="I387" s="132">
        <v>4400</v>
      </c>
      <c r="J387" s="135">
        <v>2.2000000000000002</v>
      </c>
      <c r="K387" s="78"/>
      <c r="L387" s="78"/>
      <c r="M387" s="271"/>
      <c r="N387" s="271"/>
    </row>
    <row r="388" spans="1:14" s="55" customFormat="1" ht="10.95" customHeight="1" x14ac:dyDescent="0.2">
      <c r="B388" s="56" t="s">
        <v>456</v>
      </c>
      <c r="C388" s="136" t="s">
        <v>457</v>
      </c>
      <c r="F388" s="84"/>
      <c r="G388" s="138">
        <v>2.8</v>
      </c>
      <c r="H388" s="132">
        <v>80</v>
      </c>
      <c r="I388" s="132">
        <v>370</v>
      </c>
      <c r="J388" s="135">
        <v>12.8</v>
      </c>
      <c r="K388" s="78"/>
      <c r="L388" s="78"/>
      <c r="M388" s="271"/>
      <c r="N388" s="271"/>
    </row>
    <row r="389" spans="1:14" s="55" customFormat="1" ht="10.95" customHeight="1" x14ac:dyDescent="0.2">
      <c r="B389" s="56"/>
      <c r="C389" s="136" t="s">
        <v>458</v>
      </c>
      <c r="D389" s="56" t="s">
        <v>459</v>
      </c>
      <c r="F389" s="84"/>
      <c r="G389" s="138">
        <v>0.3</v>
      </c>
      <c r="H389" s="132">
        <v>9</v>
      </c>
      <c r="I389" s="132">
        <v>90</v>
      </c>
      <c r="J389" s="135">
        <v>26.1</v>
      </c>
      <c r="K389" s="78"/>
      <c r="L389" s="78"/>
      <c r="M389" s="271"/>
      <c r="N389" s="271"/>
    </row>
    <row r="390" spans="1:14" s="55" customFormat="1" ht="10.95" customHeight="1" x14ac:dyDescent="0.2">
      <c r="B390" s="56"/>
      <c r="C390" s="136" t="s">
        <v>460</v>
      </c>
      <c r="D390" s="56" t="s">
        <v>461</v>
      </c>
      <c r="F390" s="84"/>
      <c r="G390" s="138">
        <v>2.1</v>
      </c>
      <c r="H390" s="132">
        <v>59</v>
      </c>
      <c r="I390" s="132">
        <v>210</v>
      </c>
      <c r="J390" s="135">
        <v>16</v>
      </c>
      <c r="K390" s="78"/>
      <c r="L390" s="78"/>
      <c r="M390" s="271"/>
      <c r="N390" s="271"/>
    </row>
    <row r="391" spans="1:14" s="55" customFormat="1" ht="10.95" customHeight="1" x14ac:dyDescent="0.2">
      <c r="B391" s="56"/>
      <c r="C391" s="56" t="s">
        <v>462</v>
      </c>
      <c r="D391" s="56" t="s">
        <v>463</v>
      </c>
      <c r="F391" s="84"/>
      <c r="G391" s="138" t="s">
        <v>1009</v>
      </c>
      <c r="H391" s="132">
        <v>1</v>
      </c>
      <c r="I391" s="132">
        <v>10</v>
      </c>
      <c r="J391" s="135">
        <v>48.8</v>
      </c>
      <c r="K391" s="78"/>
      <c r="L391" s="78"/>
      <c r="M391" s="271"/>
      <c r="N391" s="271"/>
    </row>
    <row r="392" spans="1:14" s="55" customFormat="1" ht="10.95" customHeight="1" x14ac:dyDescent="0.2">
      <c r="B392" s="56"/>
      <c r="C392" s="56" t="s">
        <v>464</v>
      </c>
      <c r="D392" s="56" t="s">
        <v>465</v>
      </c>
      <c r="F392" s="84"/>
      <c r="G392" s="138">
        <v>0.4</v>
      </c>
      <c r="H392" s="132">
        <v>11</v>
      </c>
      <c r="I392" s="132">
        <v>90</v>
      </c>
      <c r="J392" s="135">
        <v>28.9</v>
      </c>
      <c r="K392" s="78"/>
      <c r="L392" s="78"/>
      <c r="M392" s="271"/>
      <c r="N392" s="271"/>
    </row>
    <row r="393" spans="1:14" s="55" customFormat="1" ht="3" customHeight="1" x14ac:dyDescent="0.2">
      <c r="A393" s="56"/>
      <c r="B393" s="56"/>
      <c r="C393" s="56"/>
      <c r="F393" s="84"/>
      <c r="G393" s="85"/>
      <c r="H393" s="86"/>
      <c r="I393" s="87"/>
      <c r="J393" s="231"/>
      <c r="K393" s="78"/>
      <c r="L393" s="78"/>
      <c r="M393" s="271"/>
      <c r="N393" s="271"/>
    </row>
    <row r="394" spans="1:14" s="55" customFormat="1" ht="10.95" customHeight="1" x14ac:dyDescent="0.2">
      <c r="B394" s="56" t="s">
        <v>466</v>
      </c>
      <c r="C394" s="56" t="s">
        <v>467</v>
      </c>
      <c r="D394" s="56"/>
      <c r="E394" s="56"/>
      <c r="F394" s="84"/>
      <c r="G394" s="138">
        <v>18.899999999999999</v>
      </c>
      <c r="H394" s="132">
        <v>538</v>
      </c>
      <c r="I394" s="132">
        <v>3290</v>
      </c>
      <c r="J394" s="135">
        <v>2</v>
      </c>
      <c r="K394" s="78"/>
      <c r="L394" s="78"/>
      <c r="M394" s="271"/>
      <c r="N394" s="271"/>
    </row>
    <row r="395" spans="1:14" s="55" customFormat="1" ht="10.95" customHeight="1" x14ac:dyDescent="0.2">
      <c r="B395" s="56"/>
      <c r="C395" s="56" t="s">
        <v>468</v>
      </c>
      <c r="D395" s="56" t="s">
        <v>469</v>
      </c>
      <c r="F395" s="84"/>
      <c r="G395" s="138">
        <v>11.6</v>
      </c>
      <c r="H395" s="132">
        <v>331</v>
      </c>
      <c r="I395" s="132">
        <v>2360</v>
      </c>
      <c r="J395" s="135">
        <v>2.4</v>
      </c>
      <c r="K395" s="78"/>
      <c r="L395" s="78"/>
      <c r="M395" s="271"/>
      <c r="N395" s="271"/>
    </row>
    <row r="396" spans="1:14" s="55" customFormat="1" ht="10.95" customHeight="1" x14ac:dyDescent="0.2">
      <c r="B396" s="56"/>
      <c r="C396" s="136" t="s">
        <v>470</v>
      </c>
      <c r="D396" s="56" t="s">
        <v>471</v>
      </c>
      <c r="F396" s="84"/>
      <c r="G396" s="138">
        <v>7.1</v>
      </c>
      <c r="H396" s="132">
        <v>203</v>
      </c>
      <c r="I396" s="132">
        <v>1290</v>
      </c>
      <c r="J396" s="135">
        <v>3.8</v>
      </c>
      <c r="K396" s="78"/>
      <c r="L396" s="78"/>
      <c r="M396" s="271"/>
      <c r="N396" s="271"/>
    </row>
    <row r="397" spans="1:14" s="55" customFormat="1" ht="10.95" customHeight="1" x14ac:dyDescent="0.2">
      <c r="B397" s="56"/>
      <c r="C397" s="136" t="s">
        <v>472</v>
      </c>
      <c r="D397" s="56" t="s">
        <v>473</v>
      </c>
      <c r="F397" s="84"/>
      <c r="G397" s="138">
        <v>0.1</v>
      </c>
      <c r="H397" s="132">
        <v>3</v>
      </c>
      <c r="I397" s="132">
        <v>70</v>
      </c>
      <c r="J397" s="135">
        <v>17.2</v>
      </c>
      <c r="K397" s="78"/>
      <c r="L397" s="78"/>
      <c r="M397" s="271"/>
      <c r="N397" s="271"/>
    </row>
    <row r="398" spans="1:14" s="55" customFormat="1" ht="3" customHeight="1" x14ac:dyDescent="0.2">
      <c r="B398" s="56"/>
      <c r="C398" s="56"/>
      <c r="D398" s="56"/>
      <c r="F398" s="84"/>
      <c r="G398" s="85"/>
      <c r="H398" s="86"/>
      <c r="I398" s="87"/>
      <c r="J398" s="231"/>
      <c r="K398" s="78"/>
      <c r="L398" s="78"/>
      <c r="M398" s="271"/>
      <c r="N398" s="271"/>
    </row>
    <row r="399" spans="1:14" s="55" customFormat="1" ht="10.95" customHeight="1" x14ac:dyDescent="0.2">
      <c r="B399" s="56" t="s">
        <v>474</v>
      </c>
      <c r="C399" s="56" t="s">
        <v>475</v>
      </c>
      <c r="D399" s="56"/>
      <c r="F399" s="84"/>
      <c r="G399" s="138">
        <v>7.1</v>
      </c>
      <c r="H399" s="132">
        <v>202</v>
      </c>
      <c r="I399" s="132">
        <v>3240</v>
      </c>
      <c r="J399" s="135">
        <v>4.0999999999999996</v>
      </c>
      <c r="K399" s="78"/>
      <c r="L399" s="78"/>
      <c r="M399" s="271"/>
      <c r="N399" s="271"/>
    </row>
    <row r="400" spans="1:14" s="55" customFormat="1" ht="10.95" customHeight="1" x14ac:dyDescent="0.2">
      <c r="B400" s="56"/>
      <c r="C400" s="56" t="s">
        <v>476</v>
      </c>
      <c r="D400" s="56" t="s">
        <v>477</v>
      </c>
      <c r="F400" s="84"/>
      <c r="G400" s="138">
        <v>7.1</v>
      </c>
      <c r="H400" s="132">
        <v>201</v>
      </c>
      <c r="I400" s="132">
        <v>3230</v>
      </c>
      <c r="J400" s="135">
        <v>4.0999999999999996</v>
      </c>
      <c r="K400" s="78"/>
      <c r="L400" s="78"/>
      <c r="M400" s="271"/>
      <c r="N400" s="271"/>
    </row>
    <row r="401" spans="1:14" s="55" customFormat="1" ht="10.95" customHeight="1" x14ac:dyDescent="0.2">
      <c r="B401" s="56"/>
      <c r="C401" s="56" t="s">
        <v>478</v>
      </c>
      <c r="D401" s="56" t="s">
        <v>479</v>
      </c>
      <c r="F401" s="84"/>
      <c r="G401" s="138" t="s">
        <v>1009</v>
      </c>
      <c r="H401" s="132">
        <v>1</v>
      </c>
      <c r="I401" s="132">
        <v>40</v>
      </c>
      <c r="J401" s="135">
        <v>22.4</v>
      </c>
      <c r="K401" s="78"/>
      <c r="L401" s="78"/>
      <c r="M401" s="271"/>
      <c r="N401" s="271"/>
    </row>
    <row r="402" spans="1:14" s="55" customFormat="1" ht="3" customHeight="1" x14ac:dyDescent="0.2">
      <c r="B402" s="56"/>
      <c r="C402" s="56"/>
      <c r="F402" s="84"/>
      <c r="G402" s="85"/>
      <c r="H402" s="86"/>
      <c r="I402" s="87"/>
      <c r="J402" s="231"/>
      <c r="K402" s="78"/>
      <c r="L402" s="78"/>
      <c r="M402" s="271"/>
      <c r="N402" s="271"/>
    </row>
    <row r="403" spans="1:14" s="55" customFormat="1" ht="10.95" customHeight="1" x14ac:dyDescent="0.2">
      <c r="B403" s="56" t="s">
        <v>480</v>
      </c>
      <c r="C403" s="56" t="s">
        <v>481</v>
      </c>
      <c r="F403" s="84"/>
      <c r="G403" s="138">
        <v>2</v>
      </c>
      <c r="H403" s="132">
        <v>56</v>
      </c>
      <c r="I403" s="132">
        <v>1710</v>
      </c>
      <c r="J403" s="135">
        <v>7.1</v>
      </c>
      <c r="K403" s="78"/>
      <c r="L403" s="78"/>
      <c r="M403" s="271"/>
      <c r="N403" s="271"/>
    </row>
    <row r="404" spans="1:14" s="55" customFormat="1" ht="10.95" customHeight="1" x14ac:dyDescent="0.2">
      <c r="B404" s="56"/>
      <c r="C404" s="56" t="s">
        <v>482</v>
      </c>
      <c r="D404" s="55" t="s">
        <v>483</v>
      </c>
      <c r="F404" s="84"/>
      <c r="G404" s="138">
        <v>0.3</v>
      </c>
      <c r="H404" s="132">
        <v>10</v>
      </c>
      <c r="I404" s="132">
        <v>560</v>
      </c>
      <c r="J404" s="135">
        <v>9.3000000000000007</v>
      </c>
      <c r="K404" s="78"/>
      <c r="L404" s="78"/>
      <c r="M404" s="271"/>
      <c r="N404" s="271"/>
    </row>
    <row r="405" spans="1:14" s="55" customFormat="1" ht="10.95" customHeight="1" x14ac:dyDescent="0.2">
      <c r="B405" s="56"/>
      <c r="C405" s="56" t="s">
        <v>484</v>
      </c>
      <c r="D405" s="56" t="s">
        <v>485</v>
      </c>
      <c r="F405" s="84"/>
      <c r="G405" s="138">
        <v>0.7</v>
      </c>
      <c r="H405" s="132">
        <v>20</v>
      </c>
      <c r="I405" s="132">
        <v>260</v>
      </c>
      <c r="J405" s="135">
        <v>14.1</v>
      </c>
      <c r="K405" s="78"/>
      <c r="L405" s="78"/>
      <c r="M405" s="271"/>
      <c r="N405" s="271"/>
    </row>
    <row r="406" spans="1:14" s="55" customFormat="1" ht="10.95" customHeight="1" x14ac:dyDescent="0.2">
      <c r="B406" s="56"/>
      <c r="C406" s="56" t="s">
        <v>486</v>
      </c>
      <c r="D406" s="56" t="s">
        <v>487</v>
      </c>
      <c r="F406" s="84"/>
      <c r="G406" s="138">
        <v>0.6</v>
      </c>
      <c r="H406" s="132">
        <v>18</v>
      </c>
      <c r="I406" s="132">
        <v>930</v>
      </c>
      <c r="J406" s="135">
        <v>7.2</v>
      </c>
      <c r="K406" s="78"/>
      <c r="L406" s="78"/>
      <c r="M406" s="271"/>
      <c r="N406" s="271"/>
    </row>
    <row r="407" spans="1:14" s="55" customFormat="1" ht="10.95" customHeight="1" x14ac:dyDescent="0.2">
      <c r="B407" s="56"/>
      <c r="C407" s="56" t="s">
        <v>488</v>
      </c>
      <c r="D407" s="56" t="s">
        <v>489</v>
      </c>
      <c r="F407" s="84"/>
      <c r="G407" s="138">
        <v>0.2</v>
      </c>
      <c r="H407" s="132">
        <v>5</v>
      </c>
      <c r="I407" s="132">
        <v>20</v>
      </c>
      <c r="J407" s="135">
        <v>29.5</v>
      </c>
      <c r="K407" s="78"/>
      <c r="L407" s="78"/>
      <c r="M407" s="271"/>
      <c r="N407" s="271"/>
    </row>
    <row r="408" spans="1:14" s="55" customFormat="1" ht="10.95" customHeight="1" x14ac:dyDescent="0.2">
      <c r="B408" s="56"/>
      <c r="C408" s="56" t="s">
        <v>490</v>
      </c>
      <c r="D408" s="55" t="s">
        <v>491</v>
      </c>
      <c r="F408" s="84"/>
      <c r="G408" s="138">
        <v>0.1</v>
      </c>
      <c r="H408" s="132">
        <v>3</v>
      </c>
      <c r="I408" s="132">
        <v>260</v>
      </c>
      <c r="J408" s="135">
        <v>12.8</v>
      </c>
      <c r="K408" s="78"/>
      <c r="L408" s="78"/>
      <c r="M408" s="271"/>
      <c r="N408" s="271"/>
    </row>
    <row r="409" spans="1:14" ht="3" customHeight="1" x14ac:dyDescent="0.2">
      <c r="K409" s="78"/>
      <c r="L409" s="78"/>
      <c r="M409" s="271"/>
      <c r="N409" s="271"/>
    </row>
    <row r="410" spans="1:14" ht="10.95" customHeight="1" x14ac:dyDescent="0.2">
      <c r="A410" s="80">
        <v>7.3</v>
      </c>
      <c r="B410" s="129" t="s">
        <v>492</v>
      </c>
      <c r="D410" s="79"/>
      <c r="E410" s="79"/>
      <c r="G410" s="138">
        <v>12.8</v>
      </c>
      <c r="H410" s="132">
        <v>365</v>
      </c>
      <c r="I410" s="132">
        <v>2180</v>
      </c>
      <c r="J410" s="135">
        <v>4.2</v>
      </c>
      <c r="K410" s="78"/>
      <c r="L410" s="78"/>
      <c r="M410" s="271"/>
      <c r="N410" s="271"/>
    </row>
    <row r="411" spans="1:14" ht="10.95" customHeight="1" x14ac:dyDescent="0.2">
      <c r="A411" s="55"/>
      <c r="B411" s="56" t="s">
        <v>493</v>
      </c>
      <c r="C411" s="136" t="s">
        <v>494</v>
      </c>
      <c r="D411" s="55"/>
      <c r="E411" s="55"/>
      <c r="F411" s="84"/>
      <c r="G411" s="138">
        <v>1.7</v>
      </c>
      <c r="H411" s="132">
        <v>48</v>
      </c>
      <c r="I411" s="132">
        <v>530</v>
      </c>
      <c r="J411" s="135">
        <v>8.1999999999999993</v>
      </c>
      <c r="K411" s="78"/>
      <c r="L411" s="78"/>
      <c r="M411" s="271"/>
      <c r="N411" s="271"/>
    </row>
    <row r="412" spans="1:14" ht="10.95" customHeight="1" x14ac:dyDescent="0.2">
      <c r="A412" s="55"/>
      <c r="B412" s="56"/>
      <c r="C412" s="56" t="s">
        <v>495</v>
      </c>
      <c r="D412" s="56" t="s">
        <v>496</v>
      </c>
      <c r="E412" s="55"/>
      <c r="F412" s="84"/>
      <c r="G412" s="138">
        <v>0.2</v>
      </c>
      <c r="H412" s="132">
        <v>6</v>
      </c>
      <c r="I412" s="132">
        <v>80</v>
      </c>
      <c r="J412" s="135">
        <v>24.6</v>
      </c>
      <c r="K412" s="78"/>
      <c r="L412" s="78"/>
      <c r="M412" s="271"/>
      <c r="N412" s="271"/>
    </row>
    <row r="413" spans="1:14" ht="10.95" customHeight="1" x14ac:dyDescent="0.2">
      <c r="A413" s="55"/>
      <c r="B413" s="56"/>
      <c r="C413" s="56" t="s">
        <v>497</v>
      </c>
      <c r="D413" s="56" t="s">
        <v>498</v>
      </c>
      <c r="E413" s="55"/>
      <c r="F413" s="84"/>
      <c r="G413" s="138">
        <v>1.4</v>
      </c>
      <c r="H413" s="132">
        <v>41</v>
      </c>
      <c r="I413" s="132">
        <v>470</v>
      </c>
      <c r="J413" s="135">
        <v>8.4</v>
      </c>
      <c r="K413" s="78"/>
      <c r="L413" s="78"/>
      <c r="M413" s="271"/>
      <c r="N413" s="271"/>
    </row>
    <row r="414" spans="1:14" ht="3" customHeight="1" x14ac:dyDescent="0.2">
      <c r="J414" s="217"/>
      <c r="K414" s="78"/>
      <c r="L414" s="78"/>
      <c r="M414" s="271"/>
      <c r="N414" s="271"/>
    </row>
    <row r="415" spans="1:14" s="55" customFormat="1" ht="10.95" customHeight="1" x14ac:dyDescent="0.2">
      <c r="A415" s="186"/>
      <c r="B415" s="272" t="s">
        <v>499</v>
      </c>
      <c r="C415" s="136" t="s">
        <v>500</v>
      </c>
      <c r="F415" s="84"/>
      <c r="G415" s="138">
        <v>0.8</v>
      </c>
      <c r="H415" s="132">
        <v>22</v>
      </c>
      <c r="I415" s="132">
        <v>500</v>
      </c>
      <c r="J415" s="135">
        <v>7</v>
      </c>
      <c r="K415" s="78"/>
      <c r="L415" s="78"/>
      <c r="M415" s="271"/>
      <c r="N415" s="271"/>
    </row>
    <row r="416" spans="1:14" s="55" customFormat="1" ht="10.95" customHeight="1" x14ac:dyDescent="0.2">
      <c r="A416" s="81"/>
      <c r="B416" s="56"/>
      <c r="C416" s="56" t="s">
        <v>501</v>
      </c>
      <c r="D416" s="55" t="s">
        <v>496</v>
      </c>
      <c r="F416" s="84"/>
      <c r="G416" s="138">
        <v>0.3</v>
      </c>
      <c r="H416" s="132">
        <v>9</v>
      </c>
      <c r="I416" s="132">
        <v>100</v>
      </c>
      <c r="J416" s="135">
        <v>10.7</v>
      </c>
      <c r="K416" s="78"/>
      <c r="L416" s="78"/>
      <c r="M416" s="271"/>
      <c r="N416" s="271"/>
    </row>
    <row r="417" spans="1:14" s="55" customFormat="1" ht="10.95" customHeight="1" x14ac:dyDescent="0.2">
      <c r="A417" s="186"/>
      <c r="B417" s="56"/>
      <c r="C417" s="56" t="s">
        <v>502</v>
      </c>
      <c r="D417" s="55" t="s">
        <v>498</v>
      </c>
      <c r="F417" s="84"/>
      <c r="G417" s="138">
        <v>0.4</v>
      </c>
      <c r="H417" s="132">
        <v>13</v>
      </c>
      <c r="I417" s="132">
        <v>430</v>
      </c>
      <c r="J417" s="135">
        <v>8.3000000000000007</v>
      </c>
      <c r="K417" s="78"/>
      <c r="L417" s="78"/>
      <c r="M417" s="271"/>
      <c r="N417" s="271"/>
    </row>
    <row r="418" spans="1:14" s="55" customFormat="1" ht="3" customHeight="1" x14ac:dyDescent="0.2">
      <c r="A418" s="80"/>
      <c r="B418" s="129"/>
      <c r="D418" s="79"/>
      <c r="E418" s="79"/>
      <c r="F418" s="219"/>
      <c r="G418" s="85"/>
      <c r="H418" s="86"/>
      <c r="I418" s="87"/>
      <c r="J418" s="217"/>
      <c r="K418" s="78"/>
      <c r="L418" s="78"/>
      <c r="M418" s="271"/>
      <c r="N418" s="271"/>
    </row>
    <row r="419" spans="1:14" ht="10.95" customHeight="1" x14ac:dyDescent="0.2">
      <c r="A419" s="79"/>
      <c r="B419" s="56" t="s">
        <v>503</v>
      </c>
      <c r="C419" s="56" t="s">
        <v>504</v>
      </c>
      <c r="D419" s="56"/>
      <c r="E419" s="55"/>
      <c r="F419" s="84"/>
      <c r="G419" s="138">
        <v>0.1</v>
      </c>
      <c r="H419" s="132">
        <v>2</v>
      </c>
      <c r="I419" s="132">
        <v>20</v>
      </c>
      <c r="J419" s="135">
        <v>36.4</v>
      </c>
      <c r="K419" s="78"/>
      <c r="L419" s="78"/>
      <c r="M419" s="271"/>
      <c r="N419" s="271"/>
    </row>
    <row r="420" spans="1:14" s="55" customFormat="1" ht="10.95" customHeight="1" x14ac:dyDescent="0.2">
      <c r="B420" s="56"/>
      <c r="C420" s="136" t="s">
        <v>505</v>
      </c>
      <c r="D420" s="56" t="s">
        <v>506</v>
      </c>
      <c r="F420" s="84"/>
      <c r="G420" s="138" t="s">
        <v>1009</v>
      </c>
      <c r="H420" s="132">
        <v>1</v>
      </c>
      <c r="I420" s="132">
        <v>10</v>
      </c>
      <c r="J420" s="135">
        <v>35</v>
      </c>
      <c r="K420" s="78"/>
      <c r="L420" s="78"/>
      <c r="M420" s="271"/>
      <c r="N420" s="271"/>
    </row>
    <row r="421" spans="1:14" s="55" customFormat="1" ht="10.95" customHeight="1" x14ac:dyDescent="0.2">
      <c r="B421" s="56"/>
      <c r="C421" s="136" t="s">
        <v>507</v>
      </c>
      <c r="D421" s="56" t="s">
        <v>508</v>
      </c>
      <c r="F421" s="84"/>
      <c r="G421" s="138" t="s">
        <v>1009</v>
      </c>
      <c r="H421" s="132">
        <v>1</v>
      </c>
      <c r="I421" s="132">
        <v>10</v>
      </c>
      <c r="J421" s="135">
        <v>63</v>
      </c>
      <c r="K421" s="78"/>
      <c r="L421" s="78"/>
      <c r="M421" s="271"/>
      <c r="N421" s="271"/>
    </row>
    <row r="422" spans="1:14" s="55" customFormat="1" ht="3" customHeight="1" x14ac:dyDescent="0.2">
      <c r="G422" s="85"/>
      <c r="H422" s="108"/>
      <c r="I422" s="79"/>
      <c r="J422" s="217"/>
      <c r="K422" s="78"/>
      <c r="L422" s="78"/>
      <c r="M422" s="271"/>
      <c r="N422" s="271"/>
    </row>
    <row r="423" spans="1:14" s="55" customFormat="1" ht="10.95" customHeight="1" x14ac:dyDescent="0.2">
      <c r="A423" s="56"/>
      <c r="B423" s="56" t="s">
        <v>509</v>
      </c>
      <c r="C423" s="136" t="s">
        <v>510</v>
      </c>
      <c r="D423" s="56"/>
      <c r="F423" s="84"/>
      <c r="G423" s="138">
        <v>10.3</v>
      </c>
      <c r="H423" s="132">
        <v>293</v>
      </c>
      <c r="I423" s="132">
        <v>1660</v>
      </c>
      <c r="J423" s="135">
        <v>5.2</v>
      </c>
      <c r="K423" s="78"/>
      <c r="L423" s="78"/>
      <c r="M423" s="271"/>
      <c r="N423" s="271"/>
    </row>
    <row r="424" spans="1:14" s="55" customFormat="1" ht="10.95" customHeight="1" x14ac:dyDescent="0.2">
      <c r="B424" s="56"/>
      <c r="C424" s="56" t="s">
        <v>511</v>
      </c>
      <c r="D424" s="55" t="s">
        <v>512</v>
      </c>
      <c r="F424" s="84"/>
      <c r="G424" s="138">
        <v>0.2</v>
      </c>
      <c r="H424" s="132">
        <v>7</v>
      </c>
      <c r="I424" s="132">
        <v>70</v>
      </c>
      <c r="J424" s="135">
        <v>42.5</v>
      </c>
      <c r="K424" s="78"/>
      <c r="L424" s="78"/>
      <c r="M424" s="271"/>
      <c r="N424" s="271"/>
    </row>
    <row r="425" spans="1:14" s="55" customFormat="1" ht="10.95" customHeight="1" x14ac:dyDescent="0.2">
      <c r="B425" s="56"/>
      <c r="C425" s="56" t="s">
        <v>513</v>
      </c>
      <c r="D425" s="55" t="s">
        <v>514</v>
      </c>
      <c r="F425" s="84"/>
      <c r="G425" s="138">
        <v>2.2000000000000002</v>
      </c>
      <c r="H425" s="132">
        <v>63</v>
      </c>
      <c r="I425" s="132">
        <v>260</v>
      </c>
      <c r="J425" s="135">
        <v>14.9</v>
      </c>
      <c r="K425" s="78"/>
      <c r="L425" s="78"/>
      <c r="M425" s="271"/>
      <c r="N425" s="271"/>
    </row>
    <row r="426" spans="1:14" s="55" customFormat="1" ht="10.95" customHeight="1" x14ac:dyDescent="0.2">
      <c r="B426" s="56"/>
      <c r="C426" s="136" t="s">
        <v>515</v>
      </c>
      <c r="D426" s="55" t="s">
        <v>516</v>
      </c>
      <c r="F426" s="84"/>
      <c r="G426" s="138" t="s">
        <v>1009</v>
      </c>
      <c r="H426" s="132">
        <v>0</v>
      </c>
      <c r="I426" s="132">
        <v>10</v>
      </c>
      <c r="J426" s="135">
        <v>50.2</v>
      </c>
      <c r="K426" s="78"/>
      <c r="L426" s="78"/>
      <c r="M426" s="271"/>
      <c r="N426" s="271"/>
    </row>
    <row r="427" spans="1:14" s="143" customFormat="1" ht="10.95" customHeight="1" x14ac:dyDescent="0.2">
      <c r="A427" s="55"/>
      <c r="B427" s="56"/>
      <c r="C427" s="136" t="s">
        <v>517</v>
      </c>
      <c r="D427" s="56" t="s">
        <v>518</v>
      </c>
      <c r="E427" s="55"/>
      <c r="F427" s="84"/>
      <c r="G427" s="138">
        <v>0.7</v>
      </c>
      <c r="H427" s="132">
        <v>21</v>
      </c>
      <c r="I427" s="132">
        <v>300</v>
      </c>
      <c r="J427" s="135">
        <v>8.9</v>
      </c>
      <c r="K427" s="78"/>
      <c r="L427" s="78"/>
      <c r="M427" s="271"/>
      <c r="N427" s="271"/>
    </row>
    <row r="428" spans="1:14" s="55" customFormat="1" ht="10.95" customHeight="1" x14ac:dyDescent="0.2">
      <c r="B428" s="56"/>
      <c r="C428" s="56" t="s">
        <v>519</v>
      </c>
      <c r="D428" s="56" t="s">
        <v>520</v>
      </c>
      <c r="F428" s="84"/>
      <c r="G428" s="138">
        <v>0.3</v>
      </c>
      <c r="H428" s="132">
        <v>10</v>
      </c>
      <c r="I428" s="132">
        <v>740</v>
      </c>
      <c r="J428" s="135">
        <v>8.1</v>
      </c>
      <c r="K428" s="78"/>
      <c r="L428" s="78"/>
      <c r="M428" s="271"/>
      <c r="N428" s="271"/>
    </row>
    <row r="429" spans="1:14" s="55" customFormat="1" ht="10.95" customHeight="1" x14ac:dyDescent="0.2">
      <c r="B429" s="56"/>
      <c r="C429" s="56" t="s">
        <v>521</v>
      </c>
      <c r="D429" s="56" t="s">
        <v>522</v>
      </c>
      <c r="F429" s="84"/>
      <c r="G429" s="138">
        <v>0.4</v>
      </c>
      <c r="H429" s="132">
        <v>12</v>
      </c>
      <c r="I429" s="132">
        <v>40</v>
      </c>
      <c r="J429" s="135">
        <v>28.6</v>
      </c>
      <c r="K429" s="78"/>
      <c r="L429" s="78"/>
      <c r="M429" s="271"/>
      <c r="N429" s="271"/>
    </row>
    <row r="430" spans="1:14" s="55" customFormat="1" ht="10.95" customHeight="1" x14ac:dyDescent="0.2">
      <c r="A430" s="56"/>
      <c r="C430" s="56" t="s">
        <v>523</v>
      </c>
      <c r="D430" s="56" t="s">
        <v>524</v>
      </c>
      <c r="F430" s="84"/>
      <c r="G430" s="138">
        <v>6.2</v>
      </c>
      <c r="H430" s="132">
        <v>177</v>
      </c>
      <c r="I430" s="132">
        <v>520</v>
      </c>
      <c r="J430" s="135">
        <v>5.3</v>
      </c>
      <c r="K430" s="78"/>
      <c r="L430" s="78"/>
      <c r="M430" s="271"/>
      <c r="N430" s="271"/>
    </row>
    <row r="431" spans="1:14" s="55" customFormat="1" ht="10.95" customHeight="1" x14ac:dyDescent="0.2">
      <c r="A431" s="56"/>
      <c r="C431" s="56" t="s">
        <v>525</v>
      </c>
      <c r="D431" s="56" t="s">
        <v>526</v>
      </c>
      <c r="F431" s="84"/>
      <c r="G431" s="138">
        <v>0.1</v>
      </c>
      <c r="H431" s="132">
        <v>3</v>
      </c>
      <c r="I431" s="132">
        <v>30</v>
      </c>
      <c r="J431" s="135">
        <v>34.299999999999997</v>
      </c>
      <c r="K431" s="78"/>
      <c r="L431" s="78"/>
      <c r="M431" s="271"/>
      <c r="N431" s="271"/>
    </row>
    <row r="432" spans="1:14" s="55" customFormat="1" ht="4.2" customHeight="1" x14ac:dyDescent="0.15">
      <c r="A432" s="557"/>
      <c r="B432" s="557"/>
      <c r="C432" s="557"/>
      <c r="D432" s="557"/>
      <c r="E432" s="557"/>
      <c r="F432" s="557"/>
      <c r="G432" s="559"/>
      <c r="H432" s="560"/>
      <c r="I432" s="557"/>
      <c r="J432" s="607"/>
      <c r="K432" s="275"/>
      <c r="L432" s="269"/>
    </row>
    <row r="433" spans="1:12" s="55" customFormat="1" ht="4.2" customHeight="1" x14ac:dyDescent="0.2">
      <c r="B433" s="56"/>
      <c r="C433" s="136"/>
      <c r="D433" s="144"/>
      <c r="F433" s="84"/>
      <c r="G433" s="241"/>
      <c r="H433" s="242"/>
      <c r="I433" s="243"/>
      <c r="K433" s="275"/>
      <c r="L433" s="269"/>
    </row>
    <row r="434" spans="1:12" s="55" customFormat="1" ht="10.95" customHeight="1" x14ac:dyDescent="0.2">
      <c r="A434" s="157" t="s">
        <v>111</v>
      </c>
      <c r="B434" s="56"/>
      <c r="C434" s="56"/>
      <c r="E434" s="137"/>
      <c r="F434" s="142"/>
      <c r="G434" s="241"/>
      <c r="H434" s="242"/>
      <c r="I434" s="243"/>
      <c r="K434" s="275"/>
      <c r="L434" s="269"/>
    </row>
    <row r="435" spans="1:12" s="55" customFormat="1" ht="10.95" customHeight="1" x14ac:dyDescent="0.2">
      <c r="A435" s="157" t="s">
        <v>182</v>
      </c>
      <c r="B435" s="56"/>
      <c r="C435" s="56"/>
      <c r="E435" s="137"/>
      <c r="F435" s="142"/>
      <c r="G435" s="241"/>
      <c r="H435" s="242"/>
      <c r="I435" s="243"/>
      <c r="K435" s="275"/>
      <c r="L435" s="269"/>
    </row>
    <row r="436" spans="1:12" s="55" customFormat="1" ht="10.95" customHeight="1" x14ac:dyDescent="0.2">
      <c r="A436" s="157" t="s">
        <v>112</v>
      </c>
      <c r="B436" s="56"/>
      <c r="C436" s="56"/>
      <c r="E436" s="137"/>
      <c r="F436" s="142"/>
      <c r="G436" s="241"/>
      <c r="H436" s="242"/>
      <c r="I436" s="243"/>
      <c r="K436" s="275"/>
      <c r="L436" s="269"/>
    </row>
    <row r="437" spans="1:12" s="55" customFormat="1" ht="10.95" customHeight="1" x14ac:dyDescent="0.2">
      <c r="B437" s="56"/>
      <c r="C437" s="136"/>
      <c r="D437" s="144"/>
      <c r="F437" s="84"/>
      <c r="G437" s="241"/>
      <c r="H437" s="242"/>
      <c r="I437" s="243"/>
      <c r="K437" s="275"/>
      <c r="L437" s="269"/>
    </row>
    <row r="438" spans="1:12" s="55" customFormat="1" ht="10.95" customHeight="1" x14ac:dyDescent="0.2">
      <c r="B438" s="56"/>
      <c r="C438" s="136"/>
      <c r="D438" s="144"/>
      <c r="F438" s="84"/>
      <c r="G438" s="241"/>
      <c r="H438" s="242"/>
      <c r="I438" s="243"/>
      <c r="K438" s="275"/>
      <c r="L438" s="269"/>
    </row>
    <row r="439" spans="1:12" s="55" customFormat="1" ht="10.95" customHeight="1" x14ac:dyDescent="0.15">
      <c r="A439" s="56"/>
      <c r="G439" s="563"/>
      <c r="H439" s="250"/>
      <c r="K439" s="218"/>
      <c r="L439" s="269"/>
    </row>
    <row r="440" spans="1:12" s="55" customFormat="1" ht="10.95" customHeight="1" x14ac:dyDescent="0.15">
      <c r="A440" s="56"/>
      <c r="G440" s="563"/>
      <c r="H440" s="250"/>
      <c r="K440" s="218"/>
      <c r="L440" s="269"/>
    </row>
    <row r="441" spans="1:12" s="55" customFormat="1" ht="15.75" customHeight="1" x14ac:dyDescent="0.15">
      <c r="A441" s="159" t="s">
        <v>114</v>
      </c>
      <c r="G441" s="563"/>
      <c r="H441" s="250"/>
      <c r="K441" s="218"/>
      <c r="L441" s="269"/>
    </row>
    <row r="442" spans="1:12" s="31" customFormat="1" ht="20.25" customHeight="1" x14ac:dyDescent="0.3">
      <c r="A442" s="160" t="s">
        <v>183</v>
      </c>
      <c r="B442" s="161"/>
      <c r="D442" s="32"/>
      <c r="E442" s="32"/>
      <c r="F442" s="33"/>
      <c r="G442" s="551"/>
      <c r="H442" s="35"/>
      <c r="I442" s="36"/>
      <c r="J442" s="246"/>
      <c r="K442" s="37"/>
      <c r="L442" s="269"/>
    </row>
    <row r="443" spans="1:12" ht="15.75" customHeight="1" x14ac:dyDescent="0.25">
      <c r="A443" s="41" t="s">
        <v>1359</v>
      </c>
      <c r="B443" s="81"/>
      <c r="C443" s="192"/>
      <c r="D443" s="247"/>
      <c r="L443" s="269"/>
    </row>
    <row r="444" spans="1:12" ht="4.2" customHeight="1" x14ac:dyDescent="0.3">
      <c r="A444" s="601"/>
      <c r="B444" s="564"/>
      <c r="C444" s="565"/>
      <c r="D444" s="566"/>
      <c r="E444" s="566"/>
      <c r="F444" s="566"/>
      <c r="G444" s="567"/>
      <c r="H444" s="572"/>
      <c r="I444" s="573"/>
      <c r="J444" s="570"/>
      <c r="L444" s="269"/>
    </row>
    <row r="445" spans="1:12" s="55" customFormat="1" ht="4.2" customHeight="1" x14ac:dyDescent="0.2">
      <c r="A445" s="81"/>
      <c r="B445" s="81"/>
      <c r="D445" s="84"/>
      <c r="E445" s="84"/>
      <c r="F445" s="84"/>
      <c r="G445" s="563"/>
      <c r="H445" s="250"/>
      <c r="I445" s="251"/>
      <c r="J445" s="252"/>
      <c r="K445" s="53"/>
      <c r="L445" s="269"/>
    </row>
    <row r="446" spans="1:12" s="180" customFormat="1" ht="10.95" customHeight="1" x14ac:dyDescent="0.15">
      <c r="A446" s="172"/>
      <c r="B446" s="172"/>
      <c r="C446" s="173"/>
      <c r="D446" s="174"/>
      <c r="E446" s="174"/>
      <c r="F446" s="59"/>
      <c r="G446" s="60" t="s">
        <v>116</v>
      </c>
      <c r="H446" s="61" t="s">
        <v>25</v>
      </c>
      <c r="I446" s="62" t="s">
        <v>26</v>
      </c>
      <c r="J446" s="63" t="s">
        <v>117</v>
      </c>
      <c r="K446" s="179"/>
      <c r="L446" s="269"/>
    </row>
    <row r="447" spans="1:12" s="180" customFormat="1" ht="10.95" customHeight="1" x14ac:dyDescent="0.15">
      <c r="A447" s="172"/>
      <c r="B447" s="172"/>
      <c r="C447" s="181"/>
      <c r="D447" s="174"/>
      <c r="E447" s="174"/>
      <c r="F447" s="59"/>
      <c r="G447" s="67" t="s">
        <v>29</v>
      </c>
      <c r="H447" s="61" t="s">
        <v>27</v>
      </c>
      <c r="I447" s="62" t="s">
        <v>28</v>
      </c>
      <c r="J447" s="63" t="s">
        <v>118</v>
      </c>
      <c r="K447" s="179"/>
      <c r="L447" s="269"/>
    </row>
    <row r="448" spans="1:12" s="180" customFormat="1" ht="10.95" customHeight="1" x14ac:dyDescent="0.15">
      <c r="A448" s="172"/>
      <c r="B448" s="172"/>
      <c r="C448" s="181"/>
      <c r="D448" s="174"/>
      <c r="E448" s="174"/>
      <c r="F448" s="59"/>
      <c r="G448" s="60" t="s">
        <v>31</v>
      </c>
      <c r="H448" s="61" t="s">
        <v>29</v>
      </c>
      <c r="I448" s="62" t="s">
        <v>30</v>
      </c>
      <c r="J448" s="69" t="s">
        <v>119</v>
      </c>
      <c r="K448" s="179"/>
      <c r="L448" s="269"/>
    </row>
    <row r="449" spans="1:14" s="180" customFormat="1" ht="10.95" customHeight="1" x14ac:dyDescent="0.15">
      <c r="A449" s="172"/>
      <c r="B449" s="172"/>
      <c r="C449" s="181"/>
      <c r="D449" s="174"/>
      <c r="E449" s="174"/>
      <c r="F449" s="59"/>
      <c r="G449" s="67" t="s">
        <v>32</v>
      </c>
      <c r="H449" s="61" t="s">
        <v>33</v>
      </c>
      <c r="I449" s="62" t="s">
        <v>120</v>
      </c>
      <c r="J449" s="70" t="s">
        <v>121</v>
      </c>
      <c r="K449" s="179"/>
      <c r="L449" s="269"/>
    </row>
    <row r="450" spans="1:14" ht="4.2" customHeight="1" x14ac:dyDescent="0.2">
      <c r="A450" s="564"/>
      <c r="B450" s="564"/>
      <c r="C450" s="565"/>
      <c r="D450" s="566"/>
      <c r="E450" s="566"/>
      <c r="F450" s="566"/>
      <c r="G450" s="567"/>
      <c r="H450" s="572"/>
      <c r="I450" s="573"/>
      <c r="J450" s="566"/>
      <c r="L450" s="269"/>
    </row>
    <row r="451" spans="1:14" ht="4.2" customHeight="1" x14ac:dyDescent="0.2">
      <c r="B451" s="81"/>
      <c r="C451" s="82"/>
      <c r="D451" s="83"/>
      <c r="E451" s="83"/>
      <c r="F451" s="84"/>
      <c r="H451" s="86"/>
      <c r="I451" s="87"/>
      <c r="J451" s="83"/>
      <c r="L451" s="269"/>
    </row>
    <row r="452" spans="1:14" s="93" customFormat="1" ht="10.95" customHeight="1" x14ac:dyDescent="0.2">
      <c r="A452" s="111" t="s">
        <v>123</v>
      </c>
      <c r="B452" s="112"/>
      <c r="C452" s="113"/>
      <c r="F452" s="114" t="s">
        <v>124</v>
      </c>
      <c r="G452" s="575"/>
      <c r="H452" s="116"/>
      <c r="I452" s="117"/>
      <c r="K452" s="53"/>
      <c r="L452" s="270"/>
    </row>
    <row r="453" spans="1:14" s="128" customFormat="1" ht="4.2" customHeight="1" x14ac:dyDescent="0.2">
      <c r="A453" s="186"/>
      <c r="B453" s="186"/>
      <c r="C453" s="187"/>
      <c r="D453" s="79"/>
      <c r="E453" s="79"/>
      <c r="G453" s="85"/>
      <c r="H453" s="108"/>
      <c r="I453" s="109"/>
      <c r="J453" s="110"/>
      <c r="K453" s="53"/>
      <c r="L453" s="269"/>
    </row>
    <row r="454" spans="1:14" s="128" customFormat="1" ht="12.75" customHeight="1" x14ac:dyDescent="0.25">
      <c r="A454" s="276">
        <v>8</v>
      </c>
      <c r="B454" s="277" t="s">
        <v>527</v>
      </c>
      <c r="C454" s="188"/>
      <c r="D454" s="121"/>
      <c r="E454" s="121"/>
      <c r="F454" s="259"/>
      <c r="G454" s="576">
        <v>21.2</v>
      </c>
      <c r="H454" s="124">
        <v>605</v>
      </c>
      <c r="I454" s="124">
        <v>5550</v>
      </c>
      <c r="J454" s="125">
        <v>1.2</v>
      </c>
      <c r="K454" s="78"/>
      <c r="L454" s="78"/>
      <c r="M454" s="271"/>
      <c r="N454" s="271"/>
    </row>
    <row r="455" spans="1:14" s="55" customFormat="1" ht="6" customHeight="1" x14ac:dyDescent="0.2">
      <c r="A455" s="56"/>
      <c r="B455" s="56"/>
      <c r="F455" s="84"/>
      <c r="G455" s="85"/>
      <c r="H455" s="86"/>
      <c r="I455" s="87"/>
      <c r="J455" s="231"/>
      <c r="K455" s="78"/>
      <c r="L455" s="78"/>
      <c r="M455" s="271"/>
      <c r="N455" s="271"/>
    </row>
    <row r="456" spans="1:14" ht="10.95" customHeight="1" x14ac:dyDescent="0.2">
      <c r="A456" s="80">
        <v>8.1</v>
      </c>
      <c r="B456" s="80" t="s">
        <v>528</v>
      </c>
      <c r="C456" s="80"/>
      <c r="D456" s="79"/>
      <c r="E456" s="79"/>
      <c r="G456" s="138">
        <v>0.7</v>
      </c>
      <c r="H456" s="132">
        <v>21</v>
      </c>
      <c r="I456" s="132">
        <v>940</v>
      </c>
      <c r="J456" s="135">
        <v>5.7</v>
      </c>
      <c r="K456" s="78"/>
      <c r="L456" s="78"/>
      <c r="M456" s="271"/>
      <c r="N456" s="271"/>
    </row>
    <row r="457" spans="1:14" ht="3" customHeight="1" x14ac:dyDescent="0.2">
      <c r="B457" s="129"/>
      <c r="C457" s="55"/>
      <c r="D457" s="79"/>
      <c r="E457" s="79"/>
      <c r="H457" s="86"/>
      <c r="I457" s="87"/>
      <c r="J457" s="217"/>
      <c r="K457" s="78"/>
      <c r="L457" s="78"/>
      <c r="M457" s="271"/>
      <c r="N457" s="271"/>
    </row>
    <row r="458" spans="1:14" ht="10.95" customHeight="1" x14ac:dyDescent="0.2">
      <c r="A458" s="80">
        <v>8.1999999999999993</v>
      </c>
      <c r="B458" s="129" t="s">
        <v>529</v>
      </c>
      <c r="D458" s="79"/>
      <c r="E458" s="79"/>
      <c r="G458" s="138">
        <v>1.1000000000000001</v>
      </c>
      <c r="H458" s="132">
        <v>32</v>
      </c>
      <c r="I458" s="132">
        <v>230</v>
      </c>
      <c r="J458" s="135">
        <v>15.9</v>
      </c>
      <c r="K458" s="78"/>
      <c r="L458" s="78"/>
      <c r="M458" s="271"/>
      <c r="N458" s="271"/>
    </row>
    <row r="459" spans="1:14" s="55" customFormat="1" ht="10.95" customHeight="1" x14ac:dyDescent="0.2">
      <c r="A459" s="56"/>
      <c r="B459" s="56" t="s">
        <v>530</v>
      </c>
      <c r="C459" s="136" t="s">
        <v>531</v>
      </c>
      <c r="F459" s="84"/>
      <c r="G459" s="138">
        <v>0.1</v>
      </c>
      <c r="H459" s="132">
        <v>2</v>
      </c>
      <c r="I459" s="132">
        <v>30</v>
      </c>
      <c r="J459" s="135">
        <v>32.799999999999997</v>
      </c>
      <c r="K459" s="78"/>
      <c r="L459" s="78"/>
      <c r="M459" s="271"/>
      <c r="N459" s="271"/>
    </row>
    <row r="460" spans="1:14" s="55" customFormat="1" ht="10.95" customHeight="1" x14ac:dyDescent="0.2">
      <c r="A460" s="56"/>
      <c r="B460" s="56" t="s">
        <v>532</v>
      </c>
      <c r="C460" s="136" t="s">
        <v>533</v>
      </c>
      <c r="F460" s="84"/>
      <c r="G460" s="138">
        <v>1.1000000000000001</v>
      </c>
      <c r="H460" s="132">
        <v>30</v>
      </c>
      <c r="I460" s="132">
        <v>210</v>
      </c>
      <c r="J460" s="135">
        <v>16.600000000000001</v>
      </c>
      <c r="K460" s="78"/>
      <c r="L460" s="78"/>
      <c r="M460" s="271"/>
      <c r="N460" s="271"/>
    </row>
    <row r="461" spans="1:14" s="55" customFormat="1" ht="10.95" customHeight="1" x14ac:dyDescent="0.2">
      <c r="A461" s="56"/>
      <c r="B461" s="56" t="s">
        <v>534</v>
      </c>
      <c r="C461" s="136" t="s">
        <v>535</v>
      </c>
      <c r="F461" s="84"/>
      <c r="G461" s="138">
        <v>0</v>
      </c>
      <c r="H461" s="132">
        <v>0</v>
      </c>
      <c r="I461" s="132">
        <v>0</v>
      </c>
      <c r="J461" s="135">
        <v>0</v>
      </c>
      <c r="K461" s="78"/>
      <c r="L461" s="78"/>
      <c r="M461" s="271"/>
      <c r="N461" s="271"/>
    </row>
    <row r="462" spans="1:14" s="55" customFormat="1" ht="3" customHeight="1" x14ac:dyDescent="0.2">
      <c r="A462" s="80"/>
      <c r="B462" s="129"/>
      <c r="D462" s="79"/>
      <c r="E462" s="79"/>
      <c r="F462" s="219"/>
      <c r="G462" s="85"/>
      <c r="H462" s="86"/>
      <c r="I462" s="87"/>
      <c r="J462" s="231"/>
      <c r="K462" s="78"/>
      <c r="L462" s="78"/>
      <c r="M462" s="271"/>
      <c r="N462" s="271"/>
    </row>
    <row r="463" spans="1:14" ht="10.95" customHeight="1" x14ac:dyDescent="0.2">
      <c r="A463" s="80">
        <v>8.3000000000000007</v>
      </c>
      <c r="B463" s="80" t="s">
        <v>536</v>
      </c>
      <c r="D463" s="79"/>
      <c r="E463" s="79"/>
      <c r="G463" s="138">
        <v>8.6</v>
      </c>
      <c r="H463" s="132">
        <v>245</v>
      </c>
      <c r="I463" s="132">
        <v>4580</v>
      </c>
      <c r="J463" s="135">
        <v>1.5</v>
      </c>
      <c r="K463" s="78"/>
      <c r="L463" s="78"/>
      <c r="M463" s="271"/>
      <c r="N463" s="271"/>
    </row>
    <row r="464" spans="1:14" s="55" customFormat="1" ht="10.95" customHeight="1" x14ac:dyDescent="0.2">
      <c r="B464" s="56" t="s">
        <v>537</v>
      </c>
      <c r="C464" s="56" t="s">
        <v>538</v>
      </c>
      <c r="D464" s="56"/>
      <c r="E464" s="56"/>
      <c r="F464" s="84"/>
      <c r="G464" s="138">
        <v>0.4</v>
      </c>
      <c r="H464" s="132">
        <v>11</v>
      </c>
      <c r="I464" s="132">
        <v>310</v>
      </c>
      <c r="J464" s="135">
        <v>7.1</v>
      </c>
      <c r="K464" s="78"/>
      <c r="L464" s="78"/>
      <c r="M464" s="271"/>
      <c r="N464" s="271"/>
    </row>
    <row r="465" spans="1:14" s="55" customFormat="1" ht="10.95" customHeight="1" x14ac:dyDescent="0.2">
      <c r="B465" s="56" t="s">
        <v>539</v>
      </c>
      <c r="C465" s="56" t="s">
        <v>540</v>
      </c>
      <c r="F465" s="84"/>
      <c r="G465" s="138" t="s">
        <v>1009</v>
      </c>
      <c r="H465" s="132">
        <v>0</v>
      </c>
      <c r="I465" s="132">
        <v>0</v>
      </c>
      <c r="J465" s="135">
        <v>70.8</v>
      </c>
      <c r="K465" s="78"/>
      <c r="L465" s="78"/>
      <c r="M465" s="271"/>
      <c r="N465" s="271"/>
    </row>
    <row r="466" spans="1:14" s="55" customFormat="1" ht="10.95" customHeight="1" x14ac:dyDescent="0.2">
      <c r="B466" s="56" t="s">
        <v>541</v>
      </c>
      <c r="C466" s="56" t="s">
        <v>542</v>
      </c>
      <c r="D466" s="56"/>
      <c r="E466" s="56"/>
      <c r="F466" s="84"/>
      <c r="G466" s="138">
        <v>8.1</v>
      </c>
      <c r="H466" s="132">
        <v>230</v>
      </c>
      <c r="I466" s="132">
        <v>4410</v>
      </c>
      <c r="J466" s="135">
        <v>1.5</v>
      </c>
      <c r="K466" s="78"/>
      <c r="L466" s="78"/>
      <c r="M466" s="271"/>
      <c r="N466" s="271"/>
    </row>
    <row r="467" spans="1:14" s="55" customFormat="1" ht="10.95" customHeight="1" x14ac:dyDescent="0.2">
      <c r="B467" s="56" t="s">
        <v>543</v>
      </c>
      <c r="C467" s="56" t="s">
        <v>544</v>
      </c>
      <c r="D467" s="56"/>
      <c r="E467" s="56"/>
      <c r="F467" s="84"/>
      <c r="G467" s="138">
        <v>0.1</v>
      </c>
      <c r="H467" s="132">
        <v>3</v>
      </c>
      <c r="I467" s="132">
        <v>80</v>
      </c>
      <c r="J467" s="135">
        <v>17</v>
      </c>
      <c r="K467" s="78"/>
      <c r="L467" s="78"/>
      <c r="M467" s="271"/>
      <c r="N467" s="271"/>
    </row>
    <row r="468" spans="1:14" s="55" customFormat="1" ht="3" customHeight="1" x14ac:dyDescent="0.2">
      <c r="B468" s="56"/>
      <c r="C468" s="56"/>
      <c r="D468" s="56"/>
      <c r="E468" s="56"/>
      <c r="F468" s="84"/>
      <c r="G468" s="85"/>
      <c r="H468" s="86"/>
      <c r="I468" s="87"/>
      <c r="J468" s="231"/>
      <c r="K468" s="78"/>
      <c r="L468" s="78"/>
      <c r="M468" s="271"/>
      <c r="N468" s="271"/>
    </row>
    <row r="469" spans="1:14" s="55" customFormat="1" ht="10.95" customHeight="1" x14ac:dyDescent="0.2">
      <c r="A469" s="80">
        <v>8.4</v>
      </c>
      <c r="B469" s="80" t="s">
        <v>545</v>
      </c>
      <c r="C469" s="56"/>
      <c r="D469" s="56"/>
      <c r="E469" s="56"/>
      <c r="F469" s="84"/>
      <c r="G469" s="138">
        <v>0.8</v>
      </c>
      <c r="H469" s="132">
        <v>24</v>
      </c>
      <c r="I469" s="132">
        <v>680</v>
      </c>
      <c r="J469" s="135">
        <v>4.5</v>
      </c>
      <c r="K469" s="78"/>
      <c r="L469" s="78"/>
      <c r="M469" s="271"/>
      <c r="N469" s="271"/>
    </row>
    <row r="470" spans="1:14" ht="3" customHeight="1" x14ac:dyDescent="0.2">
      <c r="A470" s="56"/>
      <c r="B470" s="56"/>
      <c r="C470" s="56"/>
      <c r="D470" s="55"/>
      <c r="E470" s="55"/>
      <c r="F470" s="84"/>
      <c r="H470" s="278"/>
      <c r="I470" s="87"/>
      <c r="J470" s="231"/>
      <c r="K470" s="78"/>
      <c r="L470" s="78"/>
      <c r="M470" s="271"/>
      <c r="N470" s="271"/>
    </row>
    <row r="471" spans="1:14" s="55" customFormat="1" ht="10.95" customHeight="1" x14ac:dyDescent="0.2">
      <c r="A471" s="80">
        <v>8.5</v>
      </c>
      <c r="B471" s="80" t="s">
        <v>546</v>
      </c>
      <c r="C471" s="56"/>
      <c r="D471" s="56"/>
      <c r="E471" s="56"/>
      <c r="F471" s="84"/>
      <c r="G471" s="138">
        <v>9.9</v>
      </c>
      <c r="H471" s="132">
        <v>283</v>
      </c>
      <c r="I471" s="132">
        <v>4540</v>
      </c>
      <c r="J471" s="135">
        <v>1.2</v>
      </c>
      <c r="K471" s="78"/>
      <c r="L471" s="78"/>
      <c r="M471" s="271"/>
      <c r="N471" s="271"/>
    </row>
    <row r="472" spans="1:14" ht="4.2" customHeight="1" x14ac:dyDescent="0.2">
      <c r="A472" s="555"/>
      <c r="B472" s="555"/>
      <c r="C472" s="555"/>
      <c r="D472" s="557"/>
      <c r="E472" s="557"/>
      <c r="F472" s="558"/>
      <c r="G472" s="567"/>
      <c r="H472" s="608"/>
      <c r="I472" s="569"/>
      <c r="J472" s="602"/>
      <c r="K472" s="78"/>
      <c r="L472" s="78"/>
      <c r="M472" s="271"/>
      <c r="N472" s="271"/>
    </row>
    <row r="473" spans="1:14" s="229" customFormat="1" ht="4.2" customHeight="1" x14ac:dyDescent="0.2">
      <c r="A473" s="56"/>
      <c r="B473" s="56"/>
      <c r="C473" s="56"/>
      <c r="D473" s="56"/>
      <c r="E473" s="56"/>
      <c r="F473" s="84"/>
      <c r="G473" s="85"/>
      <c r="H473" s="280"/>
      <c r="I473" s="87"/>
      <c r="J473" s="231"/>
      <c r="K473" s="78"/>
      <c r="L473" s="78"/>
      <c r="M473" s="271"/>
      <c r="N473" s="271"/>
    </row>
    <row r="474" spans="1:14" s="128" customFormat="1" ht="12.75" customHeight="1" x14ac:dyDescent="0.25">
      <c r="A474" s="188">
        <v>9</v>
      </c>
      <c r="B474" s="281" t="s">
        <v>15</v>
      </c>
      <c r="C474" s="188"/>
      <c r="D474" s="188"/>
      <c r="E474" s="188"/>
      <c r="F474" s="259"/>
      <c r="G474" s="576">
        <v>56.1</v>
      </c>
      <c r="H474" s="124">
        <v>1598</v>
      </c>
      <c r="I474" s="124">
        <v>5570</v>
      </c>
      <c r="J474" s="125">
        <v>3</v>
      </c>
      <c r="K474" s="78"/>
      <c r="L474" s="78"/>
      <c r="M474" s="271"/>
      <c r="N474" s="271"/>
    </row>
    <row r="475" spans="1:14" s="128" customFormat="1" ht="6" customHeight="1" x14ac:dyDescent="0.2">
      <c r="A475" s="80"/>
      <c r="B475" s="129"/>
      <c r="C475" s="56"/>
      <c r="D475" s="79"/>
      <c r="E475" s="79"/>
      <c r="F475" s="219"/>
      <c r="G475" s="85"/>
      <c r="H475" s="86"/>
      <c r="I475" s="87"/>
      <c r="J475" s="217"/>
      <c r="K475" s="78"/>
      <c r="L475" s="78"/>
      <c r="M475" s="271"/>
      <c r="N475" s="271"/>
    </row>
    <row r="476" spans="1:14" ht="10.95" customHeight="1" x14ac:dyDescent="0.2">
      <c r="A476" s="80">
        <v>9.1</v>
      </c>
      <c r="B476" s="129" t="s">
        <v>548</v>
      </c>
      <c r="C476" s="80"/>
      <c r="D476" s="79"/>
      <c r="E476" s="79"/>
      <c r="G476" s="138">
        <v>4.5</v>
      </c>
      <c r="H476" s="132">
        <v>129</v>
      </c>
      <c r="I476" s="132">
        <v>810</v>
      </c>
      <c r="J476" s="135">
        <v>13.1</v>
      </c>
      <c r="K476" s="78"/>
      <c r="L476" s="78"/>
      <c r="M476" s="271"/>
      <c r="N476" s="271"/>
    </row>
    <row r="477" spans="1:14" s="55" customFormat="1" ht="10.95" customHeight="1" x14ac:dyDescent="0.2">
      <c r="A477" s="56"/>
      <c r="B477" s="56" t="s">
        <v>549</v>
      </c>
      <c r="C477" s="56" t="s">
        <v>550</v>
      </c>
      <c r="F477" s="84"/>
      <c r="G477" s="138">
        <v>0.8</v>
      </c>
      <c r="H477" s="132">
        <v>23</v>
      </c>
      <c r="I477" s="132">
        <v>300</v>
      </c>
      <c r="J477" s="135">
        <v>12.3</v>
      </c>
      <c r="K477" s="78"/>
      <c r="L477" s="78"/>
      <c r="M477" s="271"/>
      <c r="N477" s="271"/>
    </row>
    <row r="478" spans="1:14" s="55" customFormat="1" ht="10.95" customHeight="1" x14ac:dyDescent="0.2">
      <c r="A478" s="56"/>
      <c r="C478" s="56" t="s">
        <v>551</v>
      </c>
      <c r="D478" s="56" t="s">
        <v>552</v>
      </c>
      <c r="E478" s="56"/>
      <c r="F478" s="84"/>
      <c r="G478" s="138">
        <v>0.3</v>
      </c>
      <c r="H478" s="132">
        <v>7</v>
      </c>
      <c r="I478" s="132">
        <v>40</v>
      </c>
      <c r="J478" s="135">
        <v>24.5</v>
      </c>
      <c r="K478" s="78"/>
      <c r="L478" s="78"/>
      <c r="M478" s="271"/>
      <c r="N478" s="271"/>
    </row>
    <row r="479" spans="1:14" s="55" customFormat="1" ht="10.95" customHeight="1" x14ac:dyDescent="0.2">
      <c r="A479" s="56"/>
      <c r="C479" s="56" t="s">
        <v>553</v>
      </c>
      <c r="D479" s="56" t="s">
        <v>554</v>
      </c>
      <c r="E479" s="56"/>
      <c r="F479" s="84"/>
      <c r="G479" s="138">
        <v>0.6</v>
      </c>
      <c r="H479" s="132">
        <v>16</v>
      </c>
      <c r="I479" s="132">
        <v>260</v>
      </c>
      <c r="J479" s="135">
        <v>12.9</v>
      </c>
      <c r="K479" s="78"/>
      <c r="L479" s="78"/>
      <c r="M479" s="271"/>
      <c r="N479" s="271"/>
    </row>
    <row r="480" spans="1:14" s="55" customFormat="1" ht="3" customHeight="1" x14ac:dyDescent="0.2">
      <c r="A480" s="56"/>
      <c r="B480" s="136"/>
      <c r="C480" s="56"/>
      <c r="F480" s="84"/>
      <c r="G480" s="85"/>
      <c r="H480" s="86"/>
      <c r="I480" s="87"/>
      <c r="J480" s="217"/>
      <c r="K480" s="78"/>
      <c r="L480" s="78"/>
      <c r="M480" s="271"/>
      <c r="N480" s="271"/>
    </row>
    <row r="481" spans="1:14" s="55" customFormat="1" ht="10.95" customHeight="1" x14ac:dyDescent="0.2">
      <c r="B481" s="56" t="s">
        <v>555</v>
      </c>
      <c r="C481" s="136" t="s">
        <v>556</v>
      </c>
      <c r="F481" s="84"/>
      <c r="G481" s="138">
        <v>3.6</v>
      </c>
      <c r="H481" s="132">
        <v>102</v>
      </c>
      <c r="I481" s="132">
        <v>550</v>
      </c>
      <c r="J481" s="135">
        <v>16.399999999999999</v>
      </c>
      <c r="L481" s="78"/>
      <c r="M481" s="271"/>
      <c r="N481" s="271"/>
    </row>
    <row r="482" spans="1:14" s="55" customFormat="1" ht="10.95" customHeight="1" x14ac:dyDescent="0.2">
      <c r="A482" s="56"/>
      <c r="C482" s="136" t="s">
        <v>557</v>
      </c>
      <c r="D482" s="56" t="s">
        <v>558</v>
      </c>
      <c r="E482" s="56"/>
      <c r="F482" s="84"/>
      <c r="G482" s="138">
        <v>0.8</v>
      </c>
      <c r="H482" s="132">
        <v>23</v>
      </c>
      <c r="I482" s="132">
        <v>50</v>
      </c>
      <c r="J482" s="135">
        <v>25.6</v>
      </c>
      <c r="K482" s="282"/>
      <c r="L482" s="78"/>
      <c r="M482" s="271"/>
      <c r="N482" s="271"/>
    </row>
    <row r="483" spans="1:14" s="55" customFormat="1" ht="10.95" customHeight="1" x14ac:dyDescent="0.2">
      <c r="A483" s="56"/>
      <c r="C483" s="136" t="s">
        <v>559</v>
      </c>
      <c r="D483" s="56" t="s">
        <v>560</v>
      </c>
      <c r="E483" s="56"/>
      <c r="F483" s="84"/>
      <c r="G483" s="138" t="s">
        <v>1009</v>
      </c>
      <c r="H483" s="132">
        <v>0</v>
      </c>
      <c r="I483" s="132">
        <v>0</v>
      </c>
      <c r="J483" s="135">
        <v>100.4</v>
      </c>
      <c r="K483" s="78"/>
      <c r="L483" s="78"/>
      <c r="M483" s="271"/>
      <c r="N483" s="271"/>
    </row>
    <row r="484" spans="1:14" s="55" customFormat="1" ht="10.95" customHeight="1" x14ac:dyDescent="0.2">
      <c r="A484" s="56"/>
      <c r="C484" s="56" t="s">
        <v>561</v>
      </c>
      <c r="D484" s="55" t="s">
        <v>562</v>
      </c>
      <c r="F484" s="84"/>
      <c r="G484" s="138">
        <v>0</v>
      </c>
      <c r="H484" s="132">
        <v>0</v>
      </c>
      <c r="I484" s="132">
        <v>0</v>
      </c>
      <c r="J484" s="135">
        <v>85.6</v>
      </c>
      <c r="K484" s="78"/>
      <c r="L484" s="78"/>
      <c r="M484" s="271"/>
      <c r="N484" s="271"/>
    </row>
    <row r="485" spans="1:14" s="55" customFormat="1" ht="10.95" customHeight="1" x14ac:dyDescent="0.2">
      <c r="A485" s="56"/>
      <c r="C485" s="56" t="s">
        <v>563</v>
      </c>
      <c r="D485" s="55" t="s">
        <v>564</v>
      </c>
      <c r="F485" s="84"/>
      <c r="G485" s="138" t="s">
        <v>1009</v>
      </c>
      <c r="H485" s="132">
        <v>1</v>
      </c>
      <c r="I485" s="132">
        <v>0</v>
      </c>
      <c r="J485" s="135">
        <v>93.6</v>
      </c>
      <c r="K485" s="78"/>
      <c r="L485" s="78"/>
      <c r="M485" s="271"/>
      <c r="N485" s="271"/>
    </row>
    <row r="486" spans="1:14" s="55" customFormat="1" ht="10.95" customHeight="1" x14ac:dyDescent="0.2">
      <c r="A486" s="56"/>
      <c r="C486" s="56" t="s">
        <v>565</v>
      </c>
      <c r="D486" s="55" t="s">
        <v>566</v>
      </c>
      <c r="F486" s="84"/>
      <c r="G486" s="138" t="s">
        <v>1009</v>
      </c>
      <c r="H486" s="132">
        <v>0</v>
      </c>
      <c r="I486" s="132">
        <v>10</v>
      </c>
      <c r="J486" s="135">
        <v>45.4</v>
      </c>
      <c r="K486" s="78"/>
      <c r="L486" s="78"/>
      <c r="M486" s="271"/>
      <c r="N486" s="271"/>
    </row>
    <row r="487" spans="1:14" s="55" customFormat="1" ht="10.95" customHeight="1" x14ac:dyDescent="0.2">
      <c r="A487" s="56"/>
      <c r="C487" s="56" t="s">
        <v>567</v>
      </c>
      <c r="D487" s="56" t="s">
        <v>568</v>
      </c>
      <c r="E487" s="56"/>
      <c r="F487" s="84"/>
      <c r="G487" s="138">
        <v>0.1</v>
      </c>
      <c r="H487" s="132">
        <v>4</v>
      </c>
      <c r="I487" s="132">
        <v>110</v>
      </c>
      <c r="J487" s="135">
        <v>13.6</v>
      </c>
      <c r="K487" s="78"/>
      <c r="L487" s="78"/>
      <c r="M487" s="271"/>
      <c r="N487" s="271"/>
    </row>
    <row r="488" spans="1:14" s="55" customFormat="1" ht="10.95" customHeight="1" x14ac:dyDescent="0.2">
      <c r="A488" s="56"/>
      <c r="C488" s="56" t="s">
        <v>569</v>
      </c>
      <c r="D488" s="56" t="s">
        <v>570</v>
      </c>
      <c r="E488" s="56"/>
      <c r="F488" s="84"/>
      <c r="G488" s="138">
        <v>2.5</v>
      </c>
      <c r="H488" s="132">
        <v>73</v>
      </c>
      <c r="I488" s="132">
        <v>380</v>
      </c>
      <c r="J488" s="135">
        <v>21.9</v>
      </c>
      <c r="K488" s="78"/>
      <c r="L488" s="78"/>
      <c r="M488" s="271"/>
      <c r="N488" s="271"/>
    </row>
    <row r="489" spans="1:14" s="55" customFormat="1" ht="10.95" customHeight="1" x14ac:dyDescent="0.2">
      <c r="A489" s="56"/>
      <c r="C489" s="56" t="s">
        <v>571</v>
      </c>
      <c r="D489" s="55" t="s">
        <v>572</v>
      </c>
      <c r="F489" s="84"/>
      <c r="G489" s="138" t="s">
        <v>1009</v>
      </c>
      <c r="H489" s="132">
        <v>1</v>
      </c>
      <c r="I489" s="132">
        <v>30</v>
      </c>
      <c r="J489" s="135">
        <v>38.299999999999997</v>
      </c>
      <c r="K489" s="78"/>
      <c r="L489" s="78"/>
      <c r="M489" s="271"/>
      <c r="N489" s="271"/>
    </row>
    <row r="490" spans="1:14" s="55" customFormat="1" ht="10.95" customHeight="1" x14ac:dyDescent="0.2">
      <c r="A490" s="56"/>
      <c r="C490" s="56" t="s">
        <v>573</v>
      </c>
      <c r="D490" s="56" t="s">
        <v>574</v>
      </c>
      <c r="E490" s="56"/>
      <c r="F490" s="84"/>
      <c r="G490" s="138">
        <v>0.1</v>
      </c>
      <c r="H490" s="132">
        <v>2</v>
      </c>
      <c r="I490" s="132">
        <v>10</v>
      </c>
      <c r="J490" s="135">
        <v>38.799999999999997</v>
      </c>
      <c r="K490" s="78"/>
      <c r="L490" s="78"/>
      <c r="M490" s="271"/>
      <c r="N490" s="271"/>
    </row>
    <row r="491" spans="1:14" s="55" customFormat="1" ht="3" customHeight="1" x14ac:dyDescent="0.2">
      <c r="A491" s="56"/>
      <c r="B491" s="56"/>
      <c r="F491" s="84"/>
      <c r="G491" s="85"/>
      <c r="H491" s="86"/>
      <c r="I491" s="87"/>
      <c r="J491" s="231"/>
      <c r="K491" s="78"/>
      <c r="L491" s="78"/>
      <c r="M491" s="271"/>
      <c r="N491" s="271"/>
    </row>
    <row r="492" spans="1:14" s="55" customFormat="1" ht="10.95" customHeight="1" x14ac:dyDescent="0.2">
      <c r="B492" s="56" t="s">
        <v>575</v>
      </c>
      <c r="C492" s="56" t="s">
        <v>576</v>
      </c>
      <c r="F492" s="84"/>
      <c r="G492" s="138">
        <v>0.1</v>
      </c>
      <c r="H492" s="132">
        <v>4</v>
      </c>
      <c r="I492" s="132">
        <v>40</v>
      </c>
      <c r="J492" s="135">
        <v>21.5</v>
      </c>
      <c r="K492" s="78"/>
      <c r="L492" s="78"/>
      <c r="M492" s="271"/>
      <c r="N492" s="271"/>
    </row>
    <row r="493" spans="1:14" s="55" customFormat="1" ht="10.95" customHeight="1" x14ac:dyDescent="0.2">
      <c r="B493" s="56"/>
      <c r="C493" s="56" t="s">
        <v>577</v>
      </c>
      <c r="D493" s="55" t="s">
        <v>578</v>
      </c>
      <c r="F493" s="84"/>
      <c r="G493" s="138">
        <v>0.1</v>
      </c>
      <c r="H493" s="132">
        <v>3</v>
      </c>
      <c r="I493" s="132">
        <v>40</v>
      </c>
      <c r="J493" s="135">
        <v>24</v>
      </c>
      <c r="K493" s="78"/>
      <c r="L493" s="78"/>
      <c r="M493" s="271"/>
      <c r="N493" s="271"/>
    </row>
    <row r="494" spans="1:14" s="55" customFormat="1" ht="10.95" customHeight="1" x14ac:dyDescent="0.2">
      <c r="B494" s="56"/>
      <c r="C494" s="56" t="s">
        <v>579</v>
      </c>
      <c r="D494" s="55" t="s">
        <v>580</v>
      </c>
      <c r="F494" s="84"/>
      <c r="G494" s="138" t="s">
        <v>1009</v>
      </c>
      <c r="H494" s="132">
        <v>0</v>
      </c>
      <c r="I494" s="132">
        <v>10</v>
      </c>
      <c r="J494" s="135">
        <v>47.4</v>
      </c>
      <c r="K494" s="78"/>
      <c r="L494" s="78"/>
      <c r="M494" s="271"/>
      <c r="N494" s="271"/>
    </row>
    <row r="495" spans="1:14" s="55" customFormat="1" ht="10.95" customHeight="1" x14ac:dyDescent="0.2">
      <c r="C495" s="56" t="s">
        <v>581</v>
      </c>
      <c r="D495" s="56" t="s">
        <v>582</v>
      </c>
      <c r="F495" s="84"/>
      <c r="G495" s="138" t="s">
        <v>1009</v>
      </c>
      <c r="H495" s="132">
        <v>0</v>
      </c>
      <c r="I495" s="132">
        <v>0</v>
      </c>
      <c r="J495" s="135">
        <v>68.3</v>
      </c>
      <c r="K495" s="78"/>
      <c r="L495" s="78"/>
      <c r="M495" s="271"/>
      <c r="N495" s="271"/>
    </row>
    <row r="496" spans="1:14" ht="3" customHeight="1" x14ac:dyDescent="0.2">
      <c r="J496" s="231"/>
      <c r="K496" s="78"/>
      <c r="L496" s="78"/>
      <c r="M496" s="271"/>
      <c r="N496" s="271"/>
    </row>
    <row r="497" spans="1:14" ht="10.95" customHeight="1" x14ac:dyDescent="0.2">
      <c r="A497" s="80">
        <v>9.1999999999999993</v>
      </c>
      <c r="B497" s="129" t="s">
        <v>583</v>
      </c>
      <c r="C497" s="80"/>
      <c r="D497" s="79"/>
      <c r="E497" s="79"/>
      <c r="G497" s="138">
        <v>4</v>
      </c>
      <c r="H497" s="132">
        <v>114</v>
      </c>
      <c r="I497" s="132">
        <v>130</v>
      </c>
      <c r="J497" s="135">
        <v>23.8</v>
      </c>
      <c r="K497" s="78"/>
      <c r="L497" s="78"/>
      <c r="M497" s="271"/>
      <c r="N497" s="271"/>
    </row>
    <row r="498" spans="1:14" s="55" customFormat="1" ht="10.95" customHeight="1" x14ac:dyDescent="0.2">
      <c r="B498" s="56" t="s">
        <v>584</v>
      </c>
      <c r="C498" s="55" t="s">
        <v>585</v>
      </c>
      <c r="F498" s="84"/>
      <c r="G498" s="138">
        <v>0.2</v>
      </c>
      <c r="H498" s="132">
        <v>7</v>
      </c>
      <c r="I498" s="132">
        <v>10</v>
      </c>
      <c r="J498" s="135">
        <v>45.6</v>
      </c>
      <c r="K498" s="78"/>
      <c r="L498" s="78"/>
      <c r="M498" s="271"/>
      <c r="N498" s="271"/>
    </row>
    <row r="499" spans="1:14" s="55" customFormat="1" ht="10.95" customHeight="1" x14ac:dyDescent="0.2">
      <c r="B499" s="56" t="s">
        <v>586</v>
      </c>
      <c r="C499" s="56" t="s">
        <v>587</v>
      </c>
      <c r="F499" s="84"/>
      <c r="G499" s="138">
        <v>2.2000000000000002</v>
      </c>
      <c r="H499" s="132">
        <v>64</v>
      </c>
      <c r="I499" s="132">
        <v>30</v>
      </c>
      <c r="J499" s="135">
        <v>39.799999999999997</v>
      </c>
      <c r="K499" s="78"/>
      <c r="L499" s="78"/>
      <c r="M499" s="271"/>
      <c r="N499" s="271"/>
    </row>
    <row r="500" spans="1:14" s="55" customFormat="1" ht="10.95" customHeight="1" x14ac:dyDescent="0.2">
      <c r="B500" s="56" t="s">
        <v>588</v>
      </c>
      <c r="C500" s="55" t="s">
        <v>589</v>
      </c>
      <c r="F500" s="84"/>
      <c r="G500" s="138">
        <v>0.1</v>
      </c>
      <c r="H500" s="132">
        <v>3</v>
      </c>
      <c r="I500" s="132">
        <v>10</v>
      </c>
      <c r="J500" s="135">
        <v>46.5</v>
      </c>
      <c r="K500" s="78"/>
      <c r="L500" s="78"/>
      <c r="M500" s="271"/>
      <c r="N500" s="271"/>
    </row>
    <row r="501" spans="1:14" s="55" customFormat="1" ht="10.95" customHeight="1" x14ac:dyDescent="0.2">
      <c r="B501" s="56" t="s">
        <v>590</v>
      </c>
      <c r="C501" s="56" t="s">
        <v>591</v>
      </c>
      <c r="F501" s="84"/>
      <c r="G501" s="138">
        <v>0.2</v>
      </c>
      <c r="H501" s="132">
        <v>5</v>
      </c>
      <c r="I501" s="132">
        <v>30</v>
      </c>
      <c r="J501" s="135">
        <v>30.7</v>
      </c>
      <c r="K501" s="78"/>
      <c r="L501" s="78"/>
      <c r="M501" s="271"/>
      <c r="N501" s="271"/>
    </row>
    <row r="502" spans="1:14" s="55" customFormat="1" ht="10.95" customHeight="1" x14ac:dyDescent="0.2">
      <c r="B502" s="56" t="s">
        <v>592</v>
      </c>
      <c r="C502" s="55" t="s">
        <v>593</v>
      </c>
      <c r="F502" s="84"/>
      <c r="G502" s="138" t="s">
        <v>1009</v>
      </c>
      <c r="H502" s="132">
        <v>1</v>
      </c>
      <c r="I502" s="132">
        <v>0</v>
      </c>
      <c r="J502" s="135">
        <v>77.099999999999994</v>
      </c>
      <c r="K502" s="78"/>
      <c r="L502" s="78"/>
      <c r="M502" s="271"/>
      <c r="N502" s="271"/>
    </row>
    <row r="503" spans="1:14" s="143" customFormat="1" ht="10.95" customHeight="1" x14ac:dyDescent="0.2">
      <c r="A503" s="55"/>
      <c r="B503" s="56" t="s">
        <v>594</v>
      </c>
      <c r="C503" s="56" t="s">
        <v>595</v>
      </c>
      <c r="D503" s="55"/>
      <c r="E503" s="55"/>
      <c r="F503" s="55"/>
      <c r="G503" s="138">
        <v>0.4</v>
      </c>
      <c r="H503" s="132">
        <v>12</v>
      </c>
      <c r="I503" s="132">
        <v>50</v>
      </c>
      <c r="J503" s="135">
        <v>22.7</v>
      </c>
      <c r="K503" s="78"/>
      <c r="L503" s="78"/>
      <c r="M503" s="271"/>
      <c r="N503" s="271"/>
    </row>
    <row r="504" spans="1:14" s="143" customFormat="1" ht="10.95" customHeight="1" x14ac:dyDescent="0.2">
      <c r="A504" s="55"/>
      <c r="B504" s="136" t="s">
        <v>596</v>
      </c>
      <c r="C504" s="55" t="s">
        <v>597</v>
      </c>
      <c r="D504" s="55"/>
      <c r="E504" s="55"/>
      <c r="F504" s="84"/>
      <c r="G504" s="138">
        <v>0.7</v>
      </c>
      <c r="H504" s="132">
        <v>20</v>
      </c>
      <c r="I504" s="132">
        <v>10</v>
      </c>
      <c r="J504" s="135">
        <v>38.9</v>
      </c>
      <c r="K504" s="78"/>
      <c r="L504" s="78"/>
      <c r="M504" s="271"/>
      <c r="N504" s="271"/>
    </row>
    <row r="505" spans="1:14" s="143" customFormat="1" ht="10.95" customHeight="1" x14ac:dyDescent="0.2">
      <c r="A505" s="55"/>
      <c r="B505" s="136" t="s">
        <v>598</v>
      </c>
      <c r="C505" s="55" t="s">
        <v>599</v>
      </c>
      <c r="D505" s="55"/>
      <c r="E505" s="55"/>
      <c r="F505" s="84"/>
      <c r="G505" s="138" t="s">
        <v>1009</v>
      </c>
      <c r="H505" s="132">
        <v>1</v>
      </c>
      <c r="I505" s="132">
        <v>0</v>
      </c>
      <c r="J505" s="135">
        <v>70.7</v>
      </c>
      <c r="K505" s="78"/>
      <c r="L505" s="78"/>
      <c r="M505" s="271"/>
      <c r="N505" s="271"/>
    </row>
    <row r="506" spans="1:14" ht="3" customHeight="1" x14ac:dyDescent="0.2">
      <c r="A506" s="56"/>
      <c r="B506" s="56"/>
      <c r="C506" s="55"/>
      <c r="D506" s="55"/>
      <c r="E506" s="55"/>
      <c r="F506" s="84"/>
      <c r="H506" s="86"/>
      <c r="I506" s="87"/>
      <c r="J506" s="231"/>
      <c r="K506" s="78"/>
      <c r="L506" s="78"/>
      <c r="M506" s="271"/>
      <c r="N506" s="271"/>
    </row>
    <row r="507" spans="1:14" ht="10.95" customHeight="1" x14ac:dyDescent="0.2">
      <c r="A507" s="80">
        <v>9.3000000000000007</v>
      </c>
      <c r="B507" s="80" t="s">
        <v>600</v>
      </c>
      <c r="D507" s="79"/>
      <c r="E507" s="79"/>
      <c r="G507" s="138">
        <v>16.8</v>
      </c>
      <c r="H507" s="132">
        <v>478</v>
      </c>
      <c r="I507" s="132">
        <v>3940</v>
      </c>
      <c r="J507" s="135">
        <v>4.8</v>
      </c>
      <c r="K507" s="78"/>
      <c r="L507" s="78"/>
      <c r="M507" s="271"/>
      <c r="N507" s="271"/>
    </row>
    <row r="508" spans="1:14" s="55" customFormat="1" ht="10.95" customHeight="1" x14ac:dyDescent="0.2">
      <c r="B508" s="56" t="s">
        <v>601</v>
      </c>
      <c r="C508" s="136" t="s">
        <v>602</v>
      </c>
      <c r="F508" s="84"/>
      <c r="G508" s="138">
        <v>3</v>
      </c>
      <c r="H508" s="132">
        <v>84</v>
      </c>
      <c r="I508" s="132">
        <v>1400</v>
      </c>
      <c r="J508" s="135">
        <v>5.4</v>
      </c>
      <c r="K508" s="78"/>
      <c r="L508" s="78"/>
      <c r="M508" s="271"/>
      <c r="N508" s="271"/>
    </row>
    <row r="509" spans="1:14" s="55" customFormat="1" ht="3" customHeight="1" x14ac:dyDescent="0.2">
      <c r="A509" s="56"/>
      <c r="B509" s="56"/>
      <c r="F509" s="84"/>
      <c r="G509" s="85"/>
      <c r="H509" s="86"/>
      <c r="I509" s="87"/>
      <c r="J509" s="231"/>
      <c r="K509" s="78"/>
      <c r="L509" s="78"/>
      <c r="M509" s="271"/>
      <c r="N509" s="271"/>
    </row>
    <row r="510" spans="1:14" s="55" customFormat="1" ht="10.95" customHeight="1" x14ac:dyDescent="0.2">
      <c r="B510" s="56" t="s">
        <v>603</v>
      </c>
      <c r="C510" s="56" t="s">
        <v>604</v>
      </c>
      <c r="F510" s="84"/>
      <c r="G510" s="138">
        <v>1</v>
      </c>
      <c r="H510" s="132">
        <v>28</v>
      </c>
      <c r="I510" s="132">
        <v>330</v>
      </c>
      <c r="J510" s="135">
        <v>12</v>
      </c>
      <c r="K510" s="78"/>
      <c r="L510" s="78"/>
      <c r="M510" s="271"/>
      <c r="N510" s="271"/>
    </row>
    <row r="511" spans="1:14" s="55" customFormat="1" ht="10.95" customHeight="1" x14ac:dyDescent="0.2">
      <c r="B511" s="56"/>
      <c r="C511" s="136" t="s">
        <v>605</v>
      </c>
      <c r="D511" s="56" t="s">
        <v>606</v>
      </c>
      <c r="E511" s="56"/>
      <c r="F511" s="84"/>
      <c r="G511" s="138">
        <v>0.6</v>
      </c>
      <c r="H511" s="132">
        <v>16</v>
      </c>
      <c r="I511" s="132">
        <v>300</v>
      </c>
      <c r="J511" s="135">
        <v>10.7</v>
      </c>
      <c r="K511" s="78"/>
      <c r="L511" s="78"/>
      <c r="M511" s="271"/>
      <c r="N511" s="271"/>
    </row>
    <row r="512" spans="1:14" s="149" customFormat="1" ht="10.95" customHeight="1" x14ac:dyDescent="0.2">
      <c r="B512" s="56"/>
      <c r="C512" s="136" t="s">
        <v>607</v>
      </c>
      <c r="D512" s="56" t="s">
        <v>608</v>
      </c>
      <c r="E512" s="56"/>
      <c r="F512" s="84"/>
      <c r="G512" s="138">
        <v>0.4</v>
      </c>
      <c r="H512" s="132">
        <v>11</v>
      </c>
      <c r="I512" s="132">
        <v>50</v>
      </c>
      <c r="J512" s="135">
        <v>24.4</v>
      </c>
      <c r="K512" s="78"/>
      <c r="L512" s="78"/>
      <c r="M512" s="271"/>
      <c r="N512" s="271"/>
    </row>
    <row r="513" spans="1:14" s="55" customFormat="1" ht="3" customHeight="1" x14ac:dyDescent="0.2">
      <c r="A513" s="56"/>
      <c r="B513" s="56"/>
      <c r="F513" s="84"/>
      <c r="G513" s="85"/>
      <c r="H513" s="86"/>
      <c r="I513" s="87"/>
      <c r="J513" s="231"/>
      <c r="K513" s="78"/>
      <c r="L513" s="78"/>
      <c r="M513" s="271"/>
      <c r="N513" s="271"/>
    </row>
    <row r="514" spans="1:14" s="55" customFormat="1" ht="10.95" customHeight="1" x14ac:dyDescent="0.2">
      <c r="B514" s="56" t="s">
        <v>609</v>
      </c>
      <c r="C514" s="56" t="s">
        <v>610</v>
      </c>
      <c r="D514" s="56"/>
      <c r="E514" s="56"/>
      <c r="F514" s="84"/>
      <c r="G514" s="138">
        <v>2.2000000000000002</v>
      </c>
      <c r="H514" s="132">
        <v>62</v>
      </c>
      <c r="I514" s="132">
        <v>410</v>
      </c>
      <c r="J514" s="135">
        <v>22.9</v>
      </c>
      <c r="K514" s="78"/>
      <c r="L514" s="78"/>
      <c r="M514" s="271"/>
      <c r="N514" s="271"/>
    </row>
    <row r="515" spans="1:14" s="55" customFormat="1" ht="3" customHeight="1" x14ac:dyDescent="0.2">
      <c r="B515" s="56"/>
      <c r="C515" s="56"/>
      <c r="D515" s="56"/>
      <c r="E515" s="56"/>
      <c r="F515" s="84"/>
      <c r="G515" s="85"/>
      <c r="H515" s="86"/>
      <c r="I515" s="87"/>
      <c r="J515" s="231"/>
      <c r="K515" s="78"/>
      <c r="L515" s="78"/>
      <c r="M515" s="271"/>
      <c r="N515" s="271"/>
    </row>
    <row r="516" spans="1:14" s="55" customFormat="1" ht="10.95" customHeight="1" x14ac:dyDescent="0.2">
      <c r="B516" s="56" t="s">
        <v>611</v>
      </c>
      <c r="C516" s="56" t="s">
        <v>612</v>
      </c>
      <c r="F516" s="84"/>
      <c r="G516" s="138">
        <v>3.9</v>
      </c>
      <c r="H516" s="132">
        <v>112</v>
      </c>
      <c r="I516" s="132">
        <v>2080</v>
      </c>
      <c r="J516" s="135">
        <v>6.2</v>
      </c>
      <c r="K516" s="78"/>
      <c r="L516" s="78"/>
      <c r="M516" s="271"/>
      <c r="N516" s="271"/>
    </row>
    <row r="517" spans="1:14" s="55" customFormat="1" ht="10.95" customHeight="1" x14ac:dyDescent="0.2">
      <c r="B517" s="56"/>
      <c r="C517" s="56" t="s">
        <v>613</v>
      </c>
      <c r="D517" s="55" t="s">
        <v>614</v>
      </c>
      <c r="F517" s="84"/>
      <c r="G517" s="138">
        <v>0.2</v>
      </c>
      <c r="H517" s="132">
        <v>6</v>
      </c>
      <c r="I517" s="132">
        <v>50</v>
      </c>
      <c r="J517" s="135">
        <v>31.9</v>
      </c>
      <c r="K517" s="78"/>
      <c r="L517" s="78"/>
      <c r="M517" s="271"/>
      <c r="N517" s="271"/>
    </row>
    <row r="518" spans="1:14" s="55" customFormat="1" ht="10.95" customHeight="1" x14ac:dyDescent="0.2">
      <c r="B518" s="56"/>
      <c r="C518" s="56" t="s">
        <v>615</v>
      </c>
      <c r="D518" s="55" t="s">
        <v>616</v>
      </c>
      <c r="F518" s="84"/>
      <c r="G518" s="138">
        <v>3.4</v>
      </c>
      <c r="H518" s="132">
        <v>98</v>
      </c>
      <c r="I518" s="132">
        <v>2000</v>
      </c>
      <c r="J518" s="135">
        <v>6.4</v>
      </c>
      <c r="K518" s="78"/>
      <c r="L518" s="78"/>
      <c r="M518" s="271"/>
      <c r="N518" s="271"/>
    </row>
    <row r="519" spans="1:14" s="55" customFormat="1" ht="10.95" customHeight="1" x14ac:dyDescent="0.2">
      <c r="B519" s="56"/>
      <c r="C519" s="56" t="s">
        <v>617</v>
      </c>
      <c r="D519" s="56" t="s">
        <v>618</v>
      </c>
      <c r="E519" s="56"/>
      <c r="F519" s="84"/>
      <c r="G519" s="138">
        <v>0.2</v>
      </c>
      <c r="H519" s="132">
        <v>6</v>
      </c>
      <c r="I519" s="132">
        <v>140</v>
      </c>
      <c r="J519" s="135">
        <v>21.9</v>
      </c>
      <c r="K519" s="78"/>
      <c r="L519" s="78"/>
      <c r="M519" s="271"/>
      <c r="N519" s="271"/>
    </row>
    <row r="520" spans="1:14" s="55" customFormat="1" ht="10.95" customHeight="1" x14ac:dyDescent="0.2">
      <c r="B520" s="56"/>
      <c r="C520" s="56" t="s">
        <v>619</v>
      </c>
      <c r="D520" s="56" t="s">
        <v>620</v>
      </c>
      <c r="E520" s="56"/>
      <c r="F520" s="84"/>
      <c r="G520" s="138" t="s">
        <v>1009</v>
      </c>
      <c r="H520" s="132">
        <v>1</v>
      </c>
      <c r="I520" s="132">
        <v>70</v>
      </c>
      <c r="J520" s="135">
        <v>18.8</v>
      </c>
      <c r="K520" s="78"/>
      <c r="L520" s="78"/>
      <c r="M520" s="271"/>
      <c r="N520" s="271"/>
    </row>
    <row r="521" spans="1:14" s="55" customFormat="1" ht="3" customHeight="1" x14ac:dyDescent="0.2">
      <c r="B521" s="56"/>
      <c r="C521" s="56"/>
      <c r="D521" s="144"/>
      <c r="E521" s="144"/>
      <c r="F521" s="84"/>
      <c r="G521" s="85"/>
      <c r="H521" s="139"/>
      <c r="I521" s="140"/>
      <c r="J521" s="135"/>
      <c r="K521" s="78"/>
      <c r="L521" s="78"/>
      <c r="M521" s="271"/>
      <c r="N521" s="271"/>
    </row>
    <row r="522" spans="1:14" s="55" customFormat="1" ht="10.95" customHeight="1" x14ac:dyDescent="0.2">
      <c r="B522" s="56" t="s">
        <v>621</v>
      </c>
      <c r="C522" s="56" t="s">
        <v>622</v>
      </c>
      <c r="F522" s="84"/>
      <c r="G522" s="138">
        <v>6.7</v>
      </c>
      <c r="H522" s="132">
        <v>192</v>
      </c>
      <c r="I522" s="132">
        <v>2260</v>
      </c>
      <c r="J522" s="135">
        <v>5.7</v>
      </c>
      <c r="K522" s="78"/>
      <c r="L522" s="78"/>
      <c r="M522" s="271"/>
      <c r="N522" s="271"/>
    </row>
    <row r="523" spans="1:14" s="55" customFormat="1" ht="10.95" customHeight="1" x14ac:dyDescent="0.2">
      <c r="B523" s="56"/>
      <c r="C523" s="136" t="s">
        <v>623</v>
      </c>
      <c r="D523" s="56" t="s">
        <v>624</v>
      </c>
      <c r="E523" s="56"/>
      <c r="F523" s="84"/>
      <c r="G523" s="138">
        <v>2.8</v>
      </c>
      <c r="H523" s="132">
        <v>80</v>
      </c>
      <c r="I523" s="132">
        <v>2030</v>
      </c>
      <c r="J523" s="135">
        <v>3.4</v>
      </c>
      <c r="K523" s="78"/>
      <c r="L523" s="78"/>
      <c r="M523" s="271"/>
      <c r="N523" s="271"/>
    </row>
    <row r="524" spans="1:14" s="55" customFormat="1" ht="10.95" customHeight="1" x14ac:dyDescent="0.2">
      <c r="B524" s="56"/>
      <c r="C524" s="136" t="s">
        <v>625</v>
      </c>
      <c r="D524" s="56" t="s">
        <v>626</v>
      </c>
      <c r="E524" s="56"/>
      <c r="F524" s="84"/>
      <c r="G524" s="138">
        <v>1.4</v>
      </c>
      <c r="H524" s="132">
        <v>40</v>
      </c>
      <c r="I524" s="132">
        <v>760</v>
      </c>
      <c r="J524" s="135">
        <v>13.7</v>
      </c>
      <c r="K524" s="78"/>
      <c r="L524" s="78"/>
      <c r="M524" s="271"/>
      <c r="N524" s="271"/>
    </row>
    <row r="525" spans="1:14" s="55" customFormat="1" ht="10.95" customHeight="1" x14ac:dyDescent="0.2">
      <c r="B525" s="56"/>
      <c r="C525" s="56" t="s">
        <v>627</v>
      </c>
      <c r="D525" s="56" t="s">
        <v>628</v>
      </c>
      <c r="E525" s="56"/>
      <c r="F525" s="84"/>
      <c r="G525" s="138">
        <v>2.5</v>
      </c>
      <c r="H525" s="132">
        <v>71</v>
      </c>
      <c r="I525" s="132">
        <v>350</v>
      </c>
      <c r="J525" s="135">
        <v>11.9</v>
      </c>
      <c r="K525" s="78"/>
      <c r="L525" s="78"/>
      <c r="M525" s="271"/>
      <c r="N525" s="271"/>
    </row>
    <row r="526" spans="1:14" s="55" customFormat="1" ht="4.2" customHeight="1" x14ac:dyDescent="0.2">
      <c r="A526" s="557"/>
      <c r="B526" s="555"/>
      <c r="C526" s="555"/>
      <c r="D526" s="593"/>
      <c r="E526" s="593"/>
      <c r="F526" s="558"/>
      <c r="G526" s="597"/>
      <c r="H526" s="598"/>
      <c r="I526" s="599"/>
      <c r="J526" s="606"/>
      <c r="K526" s="218"/>
      <c r="L526" s="269"/>
    </row>
    <row r="527" spans="1:14" s="55" customFormat="1" ht="4.2" customHeight="1" x14ac:dyDescent="0.2">
      <c r="B527" s="56"/>
      <c r="C527" s="56"/>
      <c r="D527" s="144"/>
      <c r="E527" s="144"/>
      <c r="F527" s="84"/>
      <c r="G527" s="138"/>
      <c r="H527" s="139"/>
      <c r="I527" s="140"/>
      <c r="J527" s="286"/>
      <c r="K527" s="218"/>
      <c r="L527" s="269"/>
    </row>
    <row r="528" spans="1:14" s="55" customFormat="1" ht="10.95" customHeight="1" x14ac:dyDescent="0.2">
      <c r="A528" s="157" t="s">
        <v>111</v>
      </c>
      <c r="B528" s="56"/>
      <c r="C528" s="56"/>
      <c r="E528" s="137"/>
      <c r="F528" s="142"/>
      <c r="G528" s="138"/>
      <c r="H528" s="139"/>
      <c r="I528" s="140"/>
      <c r="J528" s="286"/>
      <c r="K528" s="218"/>
      <c r="L528" s="269"/>
    </row>
    <row r="529" spans="1:12" s="55" customFormat="1" ht="10.95" customHeight="1" x14ac:dyDescent="0.2">
      <c r="A529" s="157" t="s">
        <v>182</v>
      </c>
      <c r="B529" s="56"/>
      <c r="C529" s="56"/>
      <c r="E529" s="137"/>
      <c r="F529" s="142"/>
      <c r="G529" s="138"/>
      <c r="H529" s="139"/>
      <c r="I529" s="140"/>
      <c r="J529" s="286"/>
      <c r="K529" s="218"/>
      <c r="L529" s="269"/>
    </row>
    <row r="530" spans="1:12" s="55" customFormat="1" ht="10.95" customHeight="1" x14ac:dyDescent="0.2">
      <c r="A530" s="157" t="s">
        <v>112</v>
      </c>
      <c r="B530" s="56"/>
      <c r="C530" s="56"/>
      <c r="E530" s="137"/>
      <c r="F530" s="142"/>
      <c r="G530" s="138"/>
      <c r="H530" s="139"/>
      <c r="I530" s="140"/>
      <c r="J530" s="286"/>
      <c r="K530" s="218"/>
      <c r="L530" s="269"/>
    </row>
    <row r="531" spans="1:12" s="143" customFormat="1" ht="13.5" customHeight="1" x14ac:dyDescent="0.2">
      <c r="A531" s="157" t="s">
        <v>629</v>
      </c>
      <c r="B531" s="287"/>
      <c r="C531" s="287"/>
      <c r="D531" s="287"/>
      <c r="E531" s="287"/>
      <c r="F531" s="137"/>
      <c r="G531" s="138"/>
      <c r="H531" s="288"/>
      <c r="I531" s="140"/>
      <c r="J531" s="244"/>
    </row>
    <row r="532" spans="1:12" s="143" customFormat="1" ht="10.95" customHeight="1" x14ac:dyDescent="0.2">
      <c r="A532" s="157" t="s">
        <v>630</v>
      </c>
      <c r="B532" s="287"/>
      <c r="C532" s="287"/>
      <c r="D532" s="287"/>
      <c r="E532" s="287"/>
      <c r="F532" s="137"/>
      <c r="G532" s="138"/>
      <c r="H532" s="288"/>
      <c r="I532" s="140"/>
      <c r="J532" s="244"/>
    </row>
    <row r="533" spans="1:12" s="143" customFormat="1" ht="13.5" customHeight="1" x14ac:dyDescent="0.2">
      <c r="A533" s="157" t="s">
        <v>631</v>
      </c>
      <c r="B533" s="287"/>
      <c r="C533" s="287"/>
      <c r="D533" s="287"/>
      <c r="E533" s="287"/>
      <c r="F533" s="137"/>
      <c r="G533" s="138"/>
      <c r="H533" s="288"/>
      <c r="I533" s="140"/>
      <c r="J533" s="244"/>
    </row>
    <row r="534" spans="1:12" s="143" customFormat="1" ht="13.5" customHeight="1" x14ac:dyDescent="0.2">
      <c r="A534" s="157" t="s">
        <v>632</v>
      </c>
      <c r="B534" s="287"/>
      <c r="C534" s="287"/>
      <c r="D534" s="287"/>
      <c r="E534" s="287"/>
      <c r="F534" s="137"/>
      <c r="G534" s="138"/>
      <c r="H534" s="288"/>
      <c r="I534" s="140"/>
      <c r="J534" s="244"/>
    </row>
    <row r="535" spans="1:12" s="143" customFormat="1" ht="13.5" customHeight="1" x14ac:dyDescent="0.2">
      <c r="A535" s="157" t="s">
        <v>633</v>
      </c>
      <c r="B535" s="287"/>
      <c r="C535" s="287"/>
      <c r="D535" s="287"/>
      <c r="E535" s="287"/>
      <c r="F535" s="137"/>
      <c r="G535" s="138"/>
      <c r="H535" s="288"/>
      <c r="I535" s="140"/>
      <c r="J535" s="244"/>
    </row>
    <row r="536" spans="1:12" s="143" customFormat="1" ht="13.5" customHeight="1" x14ac:dyDescent="0.2">
      <c r="A536" s="157" t="s">
        <v>634</v>
      </c>
      <c r="B536" s="287"/>
      <c r="C536" s="287"/>
      <c r="D536" s="287"/>
      <c r="E536" s="287"/>
      <c r="F536" s="137"/>
      <c r="G536" s="138"/>
      <c r="H536" s="288"/>
      <c r="I536" s="140"/>
      <c r="J536" s="244"/>
    </row>
    <row r="537" spans="1:12" s="143" customFormat="1" ht="10.95" customHeight="1" x14ac:dyDescent="0.2">
      <c r="A537" s="157" t="s">
        <v>635</v>
      </c>
      <c r="B537" s="287"/>
      <c r="C537" s="287"/>
      <c r="D537" s="287"/>
      <c r="E537" s="287"/>
      <c r="F537" s="137"/>
      <c r="G537" s="138"/>
      <c r="H537" s="288"/>
      <c r="I537" s="140"/>
      <c r="J537" s="244"/>
    </row>
    <row r="538" spans="1:12" s="55" customFormat="1" ht="10.95" customHeight="1" x14ac:dyDescent="0.2">
      <c r="B538" s="56"/>
      <c r="C538" s="56"/>
      <c r="D538" s="144"/>
      <c r="E538" s="144"/>
      <c r="F538" s="84"/>
      <c r="G538" s="138"/>
      <c r="H538" s="139"/>
      <c r="I538" s="140"/>
      <c r="J538" s="286"/>
      <c r="K538" s="218"/>
      <c r="L538" s="269"/>
    </row>
    <row r="539" spans="1:12" s="55" customFormat="1" ht="10.95" customHeight="1" x14ac:dyDescent="0.2">
      <c r="A539" s="158"/>
      <c r="B539" s="56"/>
      <c r="C539" s="56"/>
      <c r="D539" s="144"/>
      <c r="E539" s="144"/>
      <c r="F539" s="84"/>
      <c r="G539" s="138"/>
      <c r="H539" s="139"/>
      <c r="I539" s="140"/>
      <c r="J539" s="244"/>
      <c r="K539" s="218"/>
      <c r="L539" s="269"/>
    </row>
    <row r="540" spans="1:12" s="55" customFormat="1" ht="10.95" customHeight="1" x14ac:dyDescent="0.2">
      <c r="A540" s="158"/>
      <c r="B540" s="56"/>
      <c r="C540" s="56"/>
      <c r="D540" s="144"/>
      <c r="E540" s="144"/>
      <c r="F540" s="84"/>
      <c r="G540" s="138"/>
      <c r="H540" s="139"/>
      <c r="I540" s="140"/>
      <c r="J540" s="244"/>
      <c r="K540" s="218"/>
      <c r="L540" s="269"/>
    </row>
    <row r="541" spans="1:12" s="55" customFormat="1" ht="10.95" customHeight="1" x14ac:dyDescent="0.2">
      <c r="B541" s="56"/>
      <c r="C541" s="56"/>
      <c r="D541" s="144"/>
      <c r="E541" s="144"/>
      <c r="F541" s="84"/>
      <c r="G541" s="138"/>
      <c r="H541" s="139"/>
      <c r="I541" s="140"/>
      <c r="J541" s="244"/>
      <c r="K541" s="218"/>
      <c r="L541" s="269"/>
    </row>
    <row r="542" spans="1:12" s="55" customFormat="1" ht="15.75" customHeight="1" x14ac:dyDescent="0.15">
      <c r="A542" s="159" t="s">
        <v>114</v>
      </c>
      <c r="B542" s="56"/>
      <c r="C542" s="56"/>
      <c r="D542" s="144"/>
      <c r="E542" s="144"/>
      <c r="F542" s="84"/>
      <c r="G542" s="609"/>
      <c r="H542" s="289"/>
      <c r="I542" s="290"/>
      <c r="J542" s="291"/>
      <c r="K542" s="218"/>
      <c r="L542" s="269"/>
    </row>
    <row r="543" spans="1:12" s="31" customFormat="1" ht="20.25" customHeight="1" x14ac:dyDescent="0.3">
      <c r="A543" s="160" t="s">
        <v>183</v>
      </c>
      <c r="B543" s="161"/>
      <c r="D543" s="32"/>
      <c r="E543" s="32"/>
      <c r="F543" s="33"/>
      <c r="G543" s="175"/>
      <c r="H543" s="165"/>
      <c r="I543" s="166"/>
      <c r="J543" s="292"/>
      <c r="K543" s="37"/>
      <c r="L543" s="269"/>
    </row>
    <row r="544" spans="1:12" s="31" customFormat="1" ht="15.75" customHeight="1" x14ac:dyDescent="0.25">
      <c r="A544" s="41" t="s">
        <v>1359</v>
      </c>
      <c r="B544" s="168"/>
      <c r="C544" s="43"/>
      <c r="D544" s="44"/>
      <c r="E544" s="32"/>
      <c r="F544" s="33"/>
      <c r="G544" s="175"/>
      <c r="H544" s="165"/>
      <c r="I544" s="166"/>
      <c r="J544" s="292"/>
      <c r="K544" s="37"/>
      <c r="L544" s="269"/>
    </row>
    <row r="545" spans="1:14" ht="4.2" customHeight="1" x14ac:dyDescent="0.2">
      <c r="A545" s="564"/>
      <c r="B545" s="564"/>
      <c r="C545" s="565"/>
      <c r="D545" s="566"/>
      <c r="E545" s="566"/>
      <c r="F545" s="566"/>
      <c r="G545" s="567"/>
      <c r="H545" s="572"/>
      <c r="I545" s="573"/>
      <c r="J545" s="562"/>
      <c r="L545" s="269"/>
    </row>
    <row r="546" spans="1:14" s="55" customFormat="1" ht="4.2" customHeight="1" x14ac:dyDescent="0.2">
      <c r="A546" s="81"/>
      <c r="B546" s="81"/>
      <c r="D546" s="84"/>
      <c r="E546" s="84"/>
      <c r="F546" s="84"/>
      <c r="G546" s="66"/>
      <c r="H546" s="250"/>
      <c r="K546" s="53"/>
      <c r="L546" s="269"/>
    </row>
    <row r="547" spans="1:14" s="180" customFormat="1" ht="10.95" customHeight="1" x14ac:dyDescent="0.15">
      <c r="A547" s="172"/>
      <c r="B547" s="172"/>
      <c r="C547" s="173"/>
      <c r="D547" s="174"/>
      <c r="E547" s="174"/>
      <c r="F547" s="59"/>
      <c r="G547" s="60" t="s">
        <v>116</v>
      </c>
      <c r="H547" s="61" t="s">
        <v>25</v>
      </c>
      <c r="I547" s="60" t="s">
        <v>26</v>
      </c>
      <c r="J547" s="60" t="s">
        <v>117</v>
      </c>
      <c r="K547" s="179"/>
      <c r="L547" s="269"/>
    </row>
    <row r="548" spans="1:14" s="180" customFormat="1" ht="10.95" customHeight="1" x14ac:dyDescent="0.15">
      <c r="A548" s="172"/>
      <c r="B548" s="172"/>
      <c r="C548" s="181"/>
      <c r="D548" s="174"/>
      <c r="E548" s="174"/>
      <c r="F548" s="59"/>
      <c r="G548" s="60" t="s">
        <v>29</v>
      </c>
      <c r="H548" s="61" t="s">
        <v>27</v>
      </c>
      <c r="I548" s="60" t="s">
        <v>28</v>
      </c>
      <c r="J548" s="60" t="s">
        <v>118</v>
      </c>
      <c r="K548" s="179"/>
      <c r="L548" s="269"/>
    </row>
    <row r="549" spans="1:14" s="180" customFormat="1" ht="10.95" customHeight="1" x14ac:dyDescent="0.15">
      <c r="A549" s="172"/>
      <c r="B549" s="172"/>
      <c r="C549" s="181"/>
      <c r="D549" s="174"/>
      <c r="E549" s="174"/>
      <c r="F549" s="59"/>
      <c r="G549" s="60" t="s">
        <v>31</v>
      </c>
      <c r="H549" s="61" t="s">
        <v>29</v>
      </c>
      <c r="I549" s="60" t="s">
        <v>30</v>
      </c>
      <c r="J549" s="60" t="s">
        <v>119</v>
      </c>
      <c r="K549" s="179"/>
      <c r="L549" s="269"/>
    </row>
    <row r="550" spans="1:14" s="180" customFormat="1" ht="10.95" customHeight="1" x14ac:dyDescent="0.15">
      <c r="A550" s="172"/>
      <c r="B550" s="172"/>
      <c r="C550" s="181"/>
      <c r="D550" s="174"/>
      <c r="E550" s="174"/>
      <c r="F550" s="59"/>
      <c r="G550" s="60" t="s">
        <v>32</v>
      </c>
      <c r="H550" s="61" t="s">
        <v>33</v>
      </c>
      <c r="I550" s="60" t="s">
        <v>120</v>
      </c>
      <c r="J550" s="60" t="s">
        <v>121</v>
      </c>
      <c r="K550" s="179"/>
      <c r="L550" s="269"/>
    </row>
    <row r="551" spans="1:14" ht="4.2" customHeight="1" x14ac:dyDescent="0.2">
      <c r="A551" s="564"/>
      <c r="B551" s="564"/>
      <c r="C551" s="565"/>
      <c r="D551" s="566"/>
      <c r="E551" s="566"/>
      <c r="F551" s="566"/>
      <c r="G551" s="567"/>
      <c r="H551" s="568"/>
      <c r="I551" s="569"/>
      <c r="J551" s="610"/>
      <c r="L551" s="269"/>
    </row>
    <row r="552" spans="1:14" ht="4.2" customHeight="1" x14ac:dyDescent="0.2">
      <c r="B552" s="81"/>
      <c r="C552" s="82"/>
      <c r="D552" s="83"/>
      <c r="E552" s="83"/>
      <c r="F552" s="84"/>
      <c r="G552" s="611"/>
      <c r="H552" s="295"/>
      <c r="I552" s="296"/>
      <c r="J552" s="128"/>
      <c r="L552" s="269"/>
    </row>
    <row r="553" spans="1:14" s="93" customFormat="1" ht="10.95" customHeight="1" x14ac:dyDescent="0.2">
      <c r="A553" s="111" t="s">
        <v>123</v>
      </c>
      <c r="B553" s="112"/>
      <c r="C553" s="113"/>
      <c r="F553" s="114" t="s">
        <v>124</v>
      </c>
      <c r="G553" s="85"/>
      <c r="H553" s="108"/>
      <c r="I553" s="109"/>
      <c r="J553" s="110"/>
      <c r="K553" s="53"/>
      <c r="L553" s="270"/>
    </row>
    <row r="554" spans="1:14" s="55" customFormat="1" ht="4.2" customHeight="1" x14ac:dyDescent="0.15">
      <c r="B554" s="56"/>
      <c r="C554" s="56"/>
      <c r="D554" s="144"/>
      <c r="E554" s="144"/>
      <c r="F554" s="84"/>
      <c r="G554" s="85"/>
      <c r="H554" s="86"/>
      <c r="I554" s="87"/>
      <c r="J554" s="231"/>
      <c r="K554" s="218"/>
      <c r="L554" s="269"/>
    </row>
    <row r="555" spans="1:14" s="55" customFormat="1" ht="12.75" customHeight="1" x14ac:dyDescent="0.15">
      <c r="A555" s="188">
        <v>9</v>
      </c>
      <c r="B555" s="188" t="s">
        <v>636</v>
      </c>
      <c r="C555" s="297"/>
      <c r="D555" s="297"/>
      <c r="E555" s="297"/>
      <c r="F555" s="84"/>
      <c r="G555" s="85"/>
      <c r="H555" s="86"/>
      <c r="I555" s="87"/>
      <c r="J555" s="286"/>
      <c r="K555" s="218"/>
      <c r="L555" s="269"/>
    </row>
    <row r="556" spans="1:14" s="55" customFormat="1" ht="6" customHeight="1" x14ac:dyDescent="0.15">
      <c r="A556" s="186"/>
      <c r="B556" s="186"/>
      <c r="C556" s="56"/>
      <c r="D556" s="56"/>
      <c r="E556" s="56"/>
      <c r="F556" s="84"/>
      <c r="G556" s="85"/>
      <c r="H556" s="86"/>
      <c r="I556" s="87"/>
      <c r="J556" s="231"/>
      <c r="K556" s="218"/>
      <c r="L556" s="269"/>
    </row>
    <row r="557" spans="1:14" ht="10.95" customHeight="1" x14ac:dyDescent="0.2">
      <c r="A557" s="80">
        <v>9.4</v>
      </c>
      <c r="B557" s="80" t="s">
        <v>637</v>
      </c>
      <c r="C557" s="80"/>
      <c r="D557" s="79"/>
      <c r="E557" s="79"/>
      <c r="F557" s="298"/>
      <c r="G557" s="138">
        <v>15.9</v>
      </c>
      <c r="H557" s="132">
        <v>455</v>
      </c>
      <c r="I557" s="132">
        <v>5420</v>
      </c>
      <c r="J557" s="135">
        <v>2.6</v>
      </c>
      <c r="K557" s="78"/>
      <c r="L557" s="78"/>
      <c r="M557" s="255"/>
      <c r="N557" s="255"/>
    </row>
    <row r="558" spans="1:14" s="55" customFormat="1" ht="10.95" customHeight="1" x14ac:dyDescent="0.2">
      <c r="B558" s="56" t="s">
        <v>638</v>
      </c>
      <c r="C558" s="136" t="s">
        <v>639</v>
      </c>
      <c r="F558" s="84"/>
      <c r="G558" s="138">
        <v>5.6</v>
      </c>
      <c r="H558" s="132">
        <v>161</v>
      </c>
      <c r="I558" s="132">
        <v>1650</v>
      </c>
      <c r="J558" s="135">
        <v>5.5</v>
      </c>
      <c r="K558" s="78"/>
      <c r="L558" s="78"/>
      <c r="M558" s="255"/>
      <c r="N558" s="255"/>
    </row>
    <row r="559" spans="1:14" s="55" customFormat="1" ht="10.95" customHeight="1" x14ac:dyDescent="0.2">
      <c r="B559" s="56"/>
      <c r="C559" s="136" t="s">
        <v>640</v>
      </c>
      <c r="D559" s="55" t="s">
        <v>641</v>
      </c>
      <c r="F559" s="84"/>
      <c r="G559" s="138">
        <v>0.4</v>
      </c>
      <c r="H559" s="132">
        <v>11</v>
      </c>
      <c r="I559" s="132">
        <v>110</v>
      </c>
      <c r="J559" s="135">
        <v>16.8</v>
      </c>
      <c r="K559" s="78"/>
      <c r="L559" s="78"/>
      <c r="M559" s="255"/>
      <c r="N559" s="255"/>
    </row>
    <row r="560" spans="1:14" s="55" customFormat="1" ht="10.95" customHeight="1" x14ac:dyDescent="0.2">
      <c r="B560" s="56"/>
      <c r="C560" s="136" t="s">
        <v>642</v>
      </c>
      <c r="D560" s="55" t="s">
        <v>643</v>
      </c>
      <c r="F560" s="84"/>
      <c r="G560" s="138">
        <v>1.1000000000000001</v>
      </c>
      <c r="H560" s="132">
        <v>31</v>
      </c>
      <c r="I560" s="132">
        <v>520</v>
      </c>
      <c r="J560" s="135">
        <v>8.6999999999999993</v>
      </c>
      <c r="K560" s="78"/>
      <c r="L560" s="78"/>
      <c r="M560" s="255"/>
      <c r="N560" s="255"/>
    </row>
    <row r="561" spans="1:14" s="55" customFormat="1" ht="10.95" customHeight="1" x14ac:dyDescent="0.2">
      <c r="B561" s="56"/>
      <c r="C561" s="136" t="s">
        <v>644</v>
      </c>
      <c r="D561" s="55" t="s">
        <v>645</v>
      </c>
      <c r="F561" s="84"/>
      <c r="G561" s="138">
        <v>1.9</v>
      </c>
      <c r="H561" s="132">
        <v>55</v>
      </c>
      <c r="I561" s="132">
        <v>860</v>
      </c>
      <c r="J561" s="135">
        <v>7.2</v>
      </c>
      <c r="K561" s="78"/>
      <c r="L561" s="78"/>
      <c r="M561" s="255"/>
      <c r="N561" s="255"/>
    </row>
    <row r="562" spans="1:14" s="55" customFormat="1" ht="10.95" customHeight="1" x14ac:dyDescent="0.2">
      <c r="B562" s="56"/>
      <c r="C562" s="136" t="s">
        <v>646</v>
      </c>
      <c r="D562" s="55" t="s">
        <v>647</v>
      </c>
      <c r="F562" s="84"/>
      <c r="G562" s="138">
        <v>2.2000000000000002</v>
      </c>
      <c r="H562" s="132">
        <v>62</v>
      </c>
      <c r="I562" s="132">
        <v>540</v>
      </c>
      <c r="J562" s="135">
        <v>10.5</v>
      </c>
      <c r="K562" s="78"/>
      <c r="L562" s="78"/>
      <c r="M562" s="255"/>
      <c r="N562" s="255"/>
    </row>
    <row r="563" spans="1:14" s="55" customFormat="1" ht="10.95" customHeight="1" x14ac:dyDescent="0.2">
      <c r="B563" s="56"/>
      <c r="C563" s="136" t="s">
        <v>648</v>
      </c>
      <c r="D563" s="55" t="s">
        <v>649</v>
      </c>
      <c r="F563" s="84"/>
      <c r="G563" s="138">
        <v>0.1</v>
      </c>
      <c r="H563" s="132">
        <v>2</v>
      </c>
      <c r="I563" s="132">
        <v>30</v>
      </c>
      <c r="J563" s="135">
        <v>31.6</v>
      </c>
      <c r="K563" s="78"/>
      <c r="L563" s="78"/>
      <c r="M563" s="255"/>
      <c r="N563" s="255"/>
    </row>
    <row r="564" spans="1:14" s="55" customFormat="1" ht="3" customHeight="1" x14ac:dyDescent="0.2">
      <c r="A564" s="56"/>
      <c r="B564" s="136"/>
      <c r="F564" s="84"/>
      <c r="G564" s="85"/>
      <c r="H564" s="86"/>
      <c r="I564" s="87"/>
      <c r="J564" s="231"/>
      <c r="K564" s="78"/>
      <c r="L564" s="78"/>
      <c r="M564" s="255"/>
      <c r="N564" s="255"/>
    </row>
    <row r="565" spans="1:14" s="55" customFormat="1" ht="10.95" customHeight="1" x14ac:dyDescent="0.2">
      <c r="B565" s="56" t="s">
        <v>650</v>
      </c>
      <c r="C565" s="136" t="s">
        <v>651</v>
      </c>
      <c r="F565" s="84"/>
      <c r="G565" s="138">
        <v>1.9</v>
      </c>
      <c r="H565" s="132">
        <v>53</v>
      </c>
      <c r="I565" s="132">
        <v>530</v>
      </c>
      <c r="J565" s="135">
        <v>10.3</v>
      </c>
      <c r="K565" s="78"/>
      <c r="L565" s="78"/>
      <c r="M565" s="255"/>
      <c r="N565" s="255"/>
    </row>
    <row r="566" spans="1:14" s="55" customFormat="1" ht="10.95" customHeight="1" x14ac:dyDescent="0.2">
      <c r="B566" s="56"/>
      <c r="C566" s="136" t="s">
        <v>652</v>
      </c>
      <c r="D566" s="55" t="s">
        <v>653</v>
      </c>
      <c r="F566" s="84"/>
      <c r="G566" s="138">
        <v>0.3</v>
      </c>
      <c r="H566" s="132">
        <v>9</v>
      </c>
      <c r="I566" s="132">
        <v>200</v>
      </c>
      <c r="J566" s="135">
        <v>8.1</v>
      </c>
      <c r="K566" s="78"/>
      <c r="L566" s="78"/>
      <c r="M566" s="255"/>
      <c r="N566" s="255"/>
    </row>
    <row r="567" spans="1:14" s="55" customFormat="1" ht="10.95" customHeight="1" x14ac:dyDescent="0.2">
      <c r="B567" s="56"/>
      <c r="C567" s="56" t="s">
        <v>654</v>
      </c>
      <c r="D567" s="56" t="s">
        <v>655</v>
      </c>
      <c r="E567" s="56"/>
      <c r="F567" s="84"/>
      <c r="G567" s="138">
        <v>0.9</v>
      </c>
      <c r="H567" s="132">
        <v>24</v>
      </c>
      <c r="I567" s="132">
        <v>160</v>
      </c>
      <c r="J567" s="135">
        <v>12.1</v>
      </c>
      <c r="K567" s="78"/>
      <c r="L567" s="78"/>
      <c r="M567" s="255"/>
      <c r="N567" s="255"/>
    </row>
    <row r="568" spans="1:14" s="55" customFormat="1" ht="10.95" customHeight="1" x14ac:dyDescent="0.2">
      <c r="B568" s="56"/>
      <c r="C568" s="56" t="s">
        <v>656</v>
      </c>
      <c r="D568" s="56" t="s">
        <v>657</v>
      </c>
      <c r="E568" s="56"/>
      <c r="F568" s="84"/>
      <c r="G568" s="138">
        <v>0.7</v>
      </c>
      <c r="H568" s="132">
        <v>20</v>
      </c>
      <c r="I568" s="132">
        <v>210</v>
      </c>
      <c r="J568" s="135">
        <v>22.1</v>
      </c>
      <c r="K568" s="78"/>
      <c r="L568" s="78"/>
      <c r="M568" s="255"/>
      <c r="N568" s="255"/>
    </row>
    <row r="569" spans="1:14" s="55" customFormat="1" ht="3" customHeight="1" x14ac:dyDescent="0.2">
      <c r="B569" s="56"/>
      <c r="C569" s="56"/>
      <c r="F569" s="84"/>
      <c r="G569" s="85"/>
      <c r="H569" s="86"/>
      <c r="I569" s="87"/>
      <c r="J569" s="231"/>
      <c r="K569" s="78"/>
      <c r="L569" s="78"/>
      <c r="M569" s="255"/>
      <c r="N569" s="255"/>
    </row>
    <row r="570" spans="1:14" s="149" customFormat="1" ht="10.95" customHeight="1" x14ac:dyDescent="0.2">
      <c r="B570" s="56" t="s">
        <v>658</v>
      </c>
      <c r="C570" s="56" t="s">
        <v>659</v>
      </c>
      <c r="D570" s="56"/>
      <c r="E570" s="56"/>
      <c r="F570" s="84"/>
      <c r="G570" s="138">
        <v>5.8</v>
      </c>
      <c r="H570" s="132">
        <v>165</v>
      </c>
      <c r="I570" s="132">
        <v>5330</v>
      </c>
      <c r="J570" s="135">
        <v>1.3</v>
      </c>
      <c r="K570" s="78"/>
      <c r="L570" s="78"/>
      <c r="M570" s="255"/>
      <c r="N570" s="255"/>
    </row>
    <row r="571" spans="1:14" s="55" customFormat="1" ht="10.95" customHeight="1" x14ac:dyDescent="0.2">
      <c r="B571" s="56"/>
      <c r="C571" s="56" t="s">
        <v>660</v>
      </c>
      <c r="D571" s="56" t="s">
        <v>661</v>
      </c>
      <c r="E571" s="56"/>
      <c r="F571" s="84"/>
      <c r="G571" s="138">
        <v>2.7</v>
      </c>
      <c r="H571" s="132">
        <v>78</v>
      </c>
      <c r="I571" s="132">
        <v>5120</v>
      </c>
      <c r="J571" s="135">
        <v>0.6</v>
      </c>
      <c r="K571" s="78"/>
      <c r="L571" s="78"/>
      <c r="M571" s="255"/>
      <c r="N571" s="255"/>
    </row>
    <row r="572" spans="1:14" s="55" customFormat="1" ht="10.95" customHeight="1" x14ac:dyDescent="0.2">
      <c r="B572" s="56"/>
      <c r="C572" s="56" t="s">
        <v>662</v>
      </c>
      <c r="D572" s="55" t="s">
        <v>663</v>
      </c>
      <c r="F572" s="84"/>
      <c r="G572" s="138">
        <v>1.4</v>
      </c>
      <c r="H572" s="132">
        <v>40</v>
      </c>
      <c r="I572" s="132">
        <v>660</v>
      </c>
      <c r="J572" s="135">
        <v>4.0999999999999996</v>
      </c>
      <c r="K572" s="78"/>
      <c r="L572" s="78"/>
      <c r="M572" s="255"/>
      <c r="N572" s="255"/>
    </row>
    <row r="573" spans="1:14" s="55" customFormat="1" ht="10.95" customHeight="1" x14ac:dyDescent="0.2">
      <c r="B573" s="56"/>
      <c r="C573" s="56" t="s">
        <v>664</v>
      </c>
      <c r="D573" s="56" t="s">
        <v>665</v>
      </c>
      <c r="E573" s="56"/>
      <c r="F573" s="84"/>
      <c r="G573" s="138" t="s">
        <v>1009</v>
      </c>
      <c r="H573" s="132">
        <v>0</v>
      </c>
      <c r="I573" s="132">
        <v>0</v>
      </c>
      <c r="J573" s="135">
        <v>78.400000000000006</v>
      </c>
      <c r="K573" s="78"/>
      <c r="L573" s="78"/>
      <c r="M573" s="255"/>
      <c r="N573" s="255"/>
    </row>
    <row r="574" spans="1:14" s="55" customFormat="1" ht="10.95" customHeight="1" x14ac:dyDescent="0.2">
      <c r="B574" s="56"/>
      <c r="C574" s="56" t="s">
        <v>666</v>
      </c>
      <c r="D574" s="55" t="s">
        <v>667</v>
      </c>
      <c r="F574" s="84"/>
      <c r="G574" s="138">
        <v>0.2</v>
      </c>
      <c r="H574" s="132">
        <v>5</v>
      </c>
      <c r="I574" s="132">
        <v>180</v>
      </c>
      <c r="J574" s="135">
        <v>11.1</v>
      </c>
      <c r="K574" s="78"/>
      <c r="L574" s="78"/>
      <c r="M574" s="255"/>
      <c r="N574" s="255"/>
    </row>
    <row r="575" spans="1:14" s="55" customFormat="1" ht="10.95" customHeight="1" x14ac:dyDescent="0.2">
      <c r="B575" s="56"/>
      <c r="C575" s="56" t="s">
        <v>668</v>
      </c>
      <c r="D575" s="56" t="s">
        <v>669</v>
      </c>
      <c r="E575" s="56"/>
      <c r="F575" s="84"/>
      <c r="G575" s="138" t="s">
        <v>1009</v>
      </c>
      <c r="H575" s="132">
        <v>0</v>
      </c>
      <c r="I575" s="132">
        <v>0</v>
      </c>
      <c r="J575" s="135">
        <v>55.9</v>
      </c>
      <c r="K575" s="78"/>
      <c r="L575" s="78"/>
      <c r="M575" s="255"/>
      <c r="N575" s="255"/>
    </row>
    <row r="576" spans="1:14" s="55" customFormat="1" ht="10.95" customHeight="1" x14ac:dyDescent="0.2">
      <c r="B576" s="56"/>
      <c r="C576" s="56" t="s">
        <v>670</v>
      </c>
      <c r="D576" s="56" t="s">
        <v>671</v>
      </c>
      <c r="E576" s="56"/>
      <c r="F576" s="84"/>
      <c r="G576" s="138">
        <v>1.5</v>
      </c>
      <c r="H576" s="132">
        <v>43</v>
      </c>
      <c r="I576" s="132">
        <v>2200</v>
      </c>
      <c r="J576" s="135">
        <v>2.8</v>
      </c>
      <c r="K576" s="78"/>
      <c r="L576" s="78"/>
      <c r="M576" s="255"/>
      <c r="N576" s="255"/>
    </row>
    <row r="577" spans="1:14" s="55" customFormat="1" ht="3" customHeight="1" x14ac:dyDescent="0.2">
      <c r="B577" s="56"/>
      <c r="C577" s="56"/>
      <c r="F577" s="84"/>
      <c r="G577" s="85"/>
      <c r="H577" s="86"/>
      <c r="I577" s="87"/>
      <c r="J577" s="231"/>
      <c r="K577" s="78"/>
      <c r="L577" s="78"/>
      <c r="M577" s="255"/>
      <c r="N577" s="255"/>
    </row>
    <row r="578" spans="1:14" s="55" customFormat="1" ht="10.95" customHeight="1" x14ac:dyDescent="0.2">
      <c r="B578" s="56" t="s">
        <v>672</v>
      </c>
      <c r="C578" s="56" t="s">
        <v>673</v>
      </c>
      <c r="F578" s="84"/>
      <c r="G578" s="138">
        <v>1.4</v>
      </c>
      <c r="H578" s="132">
        <v>39</v>
      </c>
      <c r="I578" s="132">
        <v>1000</v>
      </c>
      <c r="J578" s="135">
        <v>7.4</v>
      </c>
      <c r="K578" s="78"/>
      <c r="L578" s="78"/>
      <c r="M578" s="255"/>
      <c r="N578" s="255"/>
    </row>
    <row r="579" spans="1:14" s="55" customFormat="1" ht="10.95" customHeight="1" x14ac:dyDescent="0.2">
      <c r="B579" s="56"/>
      <c r="C579" s="56" t="s">
        <v>674</v>
      </c>
      <c r="D579" s="56" t="s">
        <v>675</v>
      </c>
      <c r="E579" s="56"/>
      <c r="F579" s="84"/>
      <c r="G579" s="138">
        <v>0.4</v>
      </c>
      <c r="H579" s="132">
        <v>12</v>
      </c>
      <c r="I579" s="132">
        <v>220</v>
      </c>
      <c r="J579" s="135">
        <v>11.5</v>
      </c>
      <c r="K579" s="78"/>
      <c r="L579" s="78"/>
      <c r="M579" s="255"/>
      <c r="N579" s="255"/>
    </row>
    <row r="580" spans="1:14" s="55" customFormat="1" ht="10.95" customHeight="1" x14ac:dyDescent="0.2">
      <c r="B580" s="56"/>
      <c r="C580" s="136" t="s">
        <v>676</v>
      </c>
      <c r="D580" s="55" t="s">
        <v>677</v>
      </c>
      <c r="F580" s="84"/>
      <c r="G580" s="138">
        <v>0.2</v>
      </c>
      <c r="H580" s="132">
        <v>6</v>
      </c>
      <c r="I580" s="132">
        <v>90</v>
      </c>
      <c r="J580" s="135">
        <v>20.8</v>
      </c>
      <c r="K580" s="78"/>
      <c r="L580" s="78"/>
      <c r="M580" s="255"/>
      <c r="N580" s="255"/>
    </row>
    <row r="581" spans="1:14" s="55" customFormat="1" ht="10.95" customHeight="1" x14ac:dyDescent="0.2">
      <c r="B581" s="56"/>
      <c r="C581" s="136" t="s">
        <v>678</v>
      </c>
      <c r="D581" s="55" t="s">
        <v>679</v>
      </c>
      <c r="F581" s="84"/>
      <c r="G581" s="138">
        <v>0.7</v>
      </c>
      <c r="H581" s="132">
        <v>21</v>
      </c>
      <c r="I581" s="132">
        <v>760</v>
      </c>
      <c r="J581" s="135">
        <v>11.1</v>
      </c>
      <c r="K581" s="78"/>
      <c r="L581" s="78"/>
      <c r="M581" s="255"/>
      <c r="N581" s="255"/>
    </row>
    <row r="582" spans="1:14" s="55" customFormat="1" ht="3" customHeight="1" x14ac:dyDescent="0.2">
      <c r="A582" s="56"/>
      <c r="B582" s="136"/>
      <c r="F582" s="84"/>
      <c r="G582" s="85"/>
      <c r="H582" s="86"/>
      <c r="I582" s="87"/>
      <c r="J582" s="231"/>
      <c r="K582" s="78"/>
      <c r="L582" s="78"/>
      <c r="M582" s="255"/>
      <c r="N582" s="255"/>
    </row>
    <row r="583" spans="1:14" s="55" customFormat="1" ht="10.95" customHeight="1" x14ac:dyDescent="0.2">
      <c r="B583" s="56" t="s">
        <v>680</v>
      </c>
      <c r="C583" s="136" t="s">
        <v>681</v>
      </c>
      <c r="F583" s="84"/>
      <c r="G583" s="85"/>
      <c r="H583" s="108"/>
      <c r="I583" s="109"/>
      <c r="J583" s="231"/>
      <c r="K583" s="78"/>
      <c r="L583" s="78"/>
      <c r="M583" s="255"/>
      <c r="N583" s="255"/>
    </row>
    <row r="584" spans="1:14" s="55" customFormat="1" ht="10.95" customHeight="1" x14ac:dyDescent="0.2">
      <c r="B584" s="56"/>
      <c r="C584" s="136" t="s">
        <v>682</v>
      </c>
      <c r="F584" s="84"/>
      <c r="G584" s="138">
        <v>0.2</v>
      </c>
      <c r="H584" s="132">
        <v>6</v>
      </c>
      <c r="I584" s="132">
        <v>120</v>
      </c>
      <c r="J584" s="135">
        <v>43.6</v>
      </c>
      <c r="K584" s="78"/>
      <c r="L584" s="78"/>
      <c r="M584" s="255"/>
      <c r="N584" s="255"/>
    </row>
    <row r="585" spans="1:14" s="55" customFormat="1" ht="3" customHeight="1" x14ac:dyDescent="0.2">
      <c r="A585" s="80"/>
      <c r="B585" s="80"/>
      <c r="C585" s="79"/>
      <c r="D585" s="219"/>
      <c r="E585" s="219"/>
      <c r="F585" s="219"/>
      <c r="G585" s="85"/>
      <c r="H585" s="108"/>
      <c r="I585" s="109"/>
      <c r="J585" s="231"/>
      <c r="K585" s="78"/>
      <c r="L585" s="78"/>
      <c r="M585" s="255"/>
      <c r="N585" s="255"/>
    </row>
    <row r="586" spans="1:14" s="55" customFormat="1" ht="10.95" customHeight="1" x14ac:dyDescent="0.2">
      <c r="A586" s="56"/>
      <c r="B586" s="56" t="s">
        <v>683</v>
      </c>
      <c r="C586" s="136" t="s">
        <v>684</v>
      </c>
      <c r="F586" s="84"/>
      <c r="G586" s="138">
        <v>1.1000000000000001</v>
      </c>
      <c r="H586" s="132">
        <v>30</v>
      </c>
      <c r="I586" s="132">
        <v>1050</v>
      </c>
      <c r="J586" s="135">
        <v>5.5</v>
      </c>
      <c r="K586" s="78"/>
      <c r="L586" s="78"/>
      <c r="M586" s="255"/>
      <c r="N586" s="255"/>
    </row>
    <row r="587" spans="1:14" s="55" customFormat="1" ht="10.95" customHeight="1" x14ac:dyDescent="0.2">
      <c r="A587" s="56"/>
      <c r="B587" s="56"/>
      <c r="C587" s="56" t="s">
        <v>685</v>
      </c>
      <c r="D587" s="84" t="s">
        <v>686</v>
      </c>
      <c r="E587" s="84"/>
      <c r="F587" s="84"/>
      <c r="G587" s="138">
        <v>0</v>
      </c>
      <c r="H587" s="132">
        <v>0</v>
      </c>
      <c r="I587" s="132">
        <v>10</v>
      </c>
      <c r="J587" s="135">
        <v>45.4</v>
      </c>
      <c r="K587" s="78"/>
      <c r="L587" s="78"/>
      <c r="M587" s="255"/>
      <c r="N587" s="255"/>
    </row>
    <row r="588" spans="1:14" s="55" customFormat="1" ht="10.95" customHeight="1" x14ac:dyDescent="0.2">
      <c r="A588" s="56"/>
      <c r="B588" s="56"/>
      <c r="C588" s="56" t="s">
        <v>687</v>
      </c>
      <c r="D588" s="56" t="s">
        <v>688</v>
      </c>
      <c r="E588" s="56"/>
      <c r="F588" s="84"/>
      <c r="G588" s="138">
        <v>0.1</v>
      </c>
      <c r="H588" s="132">
        <v>2</v>
      </c>
      <c r="I588" s="132">
        <v>30</v>
      </c>
      <c r="J588" s="135">
        <v>25.6</v>
      </c>
      <c r="K588" s="78"/>
      <c r="L588" s="78"/>
      <c r="M588" s="255"/>
      <c r="N588" s="255"/>
    </row>
    <row r="589" spans="1:14" s="55" customFormat="1" ht="10.95" customHeight="1" x14ac:dyDescent="0.2">
      <c r="A589" s="56"/>
      <c r="C589" s="136" t="s">
        <v>689</v>
      </c>
      <c r="D589" s="55" t="s">
        <v>690</v>
      </c>
      <c r="F589" s="84"/>
      <c r="G589" s="138">
        <v>0.8</v>
      </c>
      <c r="H589" s="132">
        <v>24</v>
      </c>
      <c r="I589" s="132">
        <v>950</v>
      </c>
      <c r="J589" s="135">
        <v>5.6</v>
      </c>
      <c r="K589" s="78"/>
      <c r="L589" s="78"/>
      <c r="M589" s="255"/>
      <c r="N589" s="255"/>
    </row>
    <row r="590" spans="1:14" s="55" customFormat="1" ht="10.95" customHeight="1" x14ac:dyDescent="0.2">
      <c r="A590" s="56"/>
      <c r="C590" s="136" t="s">
        <v>691</v>
      </c>
      <c r="D590" s="55" t="s">
        <v>692</v>
      </c>
      <c r="F590" s="84"/>
      <c r="G590" s="138">
        <v>0.2</v>
      </c>
      <c r="H590" s="132">
        <v>4</v>
      </c>
      <c r="I590" s="132">
        <v>120</v>
      </c>
      <c r="J590" s="135">
        <v>17.899999999999999</v>
      </c>
      <c r="K590" s="78"/>
      <c r="L590" s="78"/>
      <c r="M590" s="255"/>
      <c r="N590" s="255"/>
    </row>
    <row r="591" spans="1:14" ht="3" customHeight="1" x14ac:dyDescent="0.2">
      <c r="A591" s="56"/>
      <c r="B591" s="56"/>
      <c r="C591" s="55"/>
      <c r="D591" s="55"/>
      <c r="E591" s="55"/>
      <c r="F591" s="84"/>
      <c r="H591" s="86"/>
      <c r="I591" s="87"/>
      <c r="J591" s="231"/>
      <c r="K591" s="78"/>
      <c r="L591" s="78"/>
      <c r="M591" s="255"/>
      <c r="N591" s="255"/>
    </row>
    <row r="592" spans="1:14" ht="10.95" customHeight="1" x14ac:dyDescent="0.2">
      <c r="A592" s="80">
        <v>9.5</v>
      </c>
      <c r="B592" s="80" t="s">
        <v>693</v>
      </c>
      <c r="D592" s="79"/>
      <c r="E592" s="79"/>
      <c r="G592" s="138">
        <v>4.4000000000000004</v>
      </c>
      <c r="H592" s="132">
        <v>124</v>
      </c>
      <c r="I592" s="132">
        <v>3760</v>
      </c>
      <c r="J592" s="135">
        <v>2.7</v>
      </c>
      <c r="K592" s="78"/>
      <c r="L592" s="78"/>
      <c r="M592" s="255"/>
      <c r="N592" s="255"/>
    </row>
    <row r="593" spans="1:14" s="143" customFormat="1" ht="10.95" customHeight="1" x14ac:dyDescent="0.2">
      <c r="A593" s="55"/>
      <c r="B593" s="56" t="s">
        <v>694</v>
      </c>
      <c r="C593" s="143" t="s">
        <v>695</v>
      </c>
      <c r="D593" s="55"/>
      <c r="E593" s="55"/>
      <c r="F593" s="84"/>
      <c r="G593" s="138">
        <v>1.1000000000000001</v>
      </c>
      <c r="H593" s="132">
        <v>30</v>
      </c>
      <c r="I593" s="132">
        <v>940</v>
      </c>
      <c r="J593" s="135">
        <v>5.6</v>
      </c>
      <c r="K593" s="78"/>
      <c r="L593" s="78"/>
      <c r="M593" s="255"/>
      <c r="N593" s="255"/>
    </row>
    <row r="594" spans="1:14" s="55" customFormat="1" ht="10.95" customHeight="1" x14ac:dyDescent="0.2">
      <c r="A594" s="56"/>
      <c r="B594" s="55" t="s">
        <v>696</v>
      </c>
      <c r="C594" s="56" t="s">
        <v>697</v>
      </c>
      <c r="E594" s="56"/>
      <c r="F594" s="84"/>
      <c r="G594" s="138">
        <v>0.8</v>
      </c>
      <c r="H594" s="132">
        <v>24</v>
      </c>
      <c r="I594" s="132">
        <v>1190</v>
      </c>
      <c r="J594" s="135">
        <v>6.2</v>
      </c>
      <c r="K594" s="78"/>
      <c r="L594" s="78"/>
      <c r="M594" s="255"/>
      <c r="N594" s="255"/>
    </row>
    <row r="595" spans="1:14" s="55" customFormat="1" ht="10.95" customHeight="1" x14ac:dyDescent="0.2">
      <c r="A595" s="56"/>
      <c r="B595" s="55" t="s">
        <v>698</v>
      </c>
      <c r="C595" s="56" t="s">
        <v>699</v>
      </c>
      <c r="E595" s="56"/>
      <c r="F595" s="84"/>
      <c r="G595" s="138">
        <v>1.1000000000000001</v>
      </c>
      <c r="H595" s="132">
        <v>32</v>
      </c>
      <c r="I595" s="132">
        <v>2080</v>
      </c>
      <c r="J595" s="135">
        <v>3.9</v>
      </c>
      <c r="K595" s="78"/>
      <c r="L595" s="78"/>
      <c r="M595" s="255"/>
      <c r="N595" s="255"/>
    </row>
    <row r="596" spans="1:14" s="55" customFormat="1" ht="10.95" customHeight="1" x14ac:dyDescent="0.2">
      <c r="A596" s="56"/>
      <c r="B596" s="55" t="s">
        <v>700</v>
      </c>
      <c r="C596" s="56" t="s">
        <v>701</v>
      </c>
      <c r="E596" s="56"/>
      <c r="F596" s="84"/>
      <c r="G596" s="138">
        <v>0.9</v>
      </c>
      <c r="H596" s="132">
        <v>25</v>
      </c>
      <c r="I596" s="132">
        <v>1270</v>
      </c>
      <c r="J596" s="135">
        <v>4.2</v>
      </c>
      <c r="K596" s="78"/>
      <c r="L596" s="78"/>
      <c r="M596" s="255"/>
      <c r="N596" s="255"/>
    </row>
    <row r="597" spans="1:14" s="55" customFormat="1" ht="11.25" customHeight="1" x14ac:dyDescent="0.2">
      <c r="A597" s="56"/>
      <c r="B597" s="55" t="s">
        <v>702</v>
      </c>
      <c r="C597" s="56" t="s">
        <v>703</v>
      </c>
      <c r="F597" s="84"/>
      <c r="G597" s="138">
        <v>0.5</v>
      </c>
      <c r="H597" s="132">
        <v>14</v>
      </c>
      <c r="I597" s="132">
        <v>1090</v>
      </c>
      <c r="J597" s="135">
        <v>5.9</v>
      </c>
      <c r="K597" s="78"/>
      <c r="L597" s="78"/>
      <c r="M597" s="255"/>
      <c r="N597" s="255"/>
    </row>
    <row r="598" spans="1:14" s="55" customFormat="1" ht="3" customHeight="1" x14ac:dyDescent="0.2">
      <c r="A598" s="56"/>
      <c r="B598" s="56"/>
      <c r="C598" s="56"/>
      <c r="F598" s="84"/>
      <c r="G598" s="85"/>
      <c r="H598" s="108"/>
      <c r="I598" s="87"/>
      <c r="J598" s="231"/>
      <c r="K598" s="78"/>
      <c r="L598" s="78"/>
      <c r="M598" s="255"/>
      <c r="N598" s="255"/>
    </row>
    <row r="599" spans="1:14" ht="10.95" customHeight="1" x14ac:dyDescent="0.2">
      <c r="A599" s="80">
        <v>9.6</v>
      </c>
      <c r="B599" s="129" t="s">
        <v>704</v>
      </c>
      <c r="C599" s="80"/>
      <c r="D599" s="79"/>
      <c r="E599" s="79"/>
      <c r="G599" s="138">
        <v>10.5</v>
      </c>
      <c r="H599" s="132">
        <v>299</v>
      </c>
      <c r="I599" s="132">
        <v>570</v>
      </c>
      <c r="J599" s="135">
        <v>7.1</v>
      </c>
      <c r="K599" s="78"/>
      <c r="L599" s="78"/>
      <c r="M599" s="255"/>
      <c r="N599" s="255"/>
    </row>
    <row r="600" spans="1:14" s="55" customFormat="1" ht="10.95" customHeight="1" x14ac:dyDescent="0.2">
      <c r="B600" s="56" t="s">
        <v>705</v>
      </c>
      <c r="C600" s="56" t="s">
        <v>706</v>
      </c>
      <c r="F600" s="84"/>
      <c r="G600" s="138">
        <v>1.8</v>
      </c>
      <c r="H600" s="132">
        <v>50</v>
      </c>
      <c r="I600" s="132">
        <v>190</v>
      </c>
      <c r="J600" s="135">
        <v>10</v>
      </c>
      <c r="K600" s="78"/>
      <c r="L600" s="78"/>
      <c r="M600" s="255"/>
      <c r="N600" s="255"/>
    </row>
    <row r="601" spans="1:14" s="55" customFormat="1" ht="10.95" customHeight="1" x14ac:dyDescent="0.2">
      <c r="B601" s="56" t="s">
        <v>707</v>
      </c>
      <c r="C601" s="56" t="s">
        <v>708</v>
      </c>
      <c r="F601" s="84"/>
      <c r="G601" s="138">
        <v>8.6999999999999993</v>
      </c>
      <c r="H601" s="132">
        <v>249</v>
      </c>
      <c r="I601" s="132">
        <v>400</v>
      </c>
      <c r="J601" s="135">
        <v>8</v>
      </c>
      <c r="K601" s="78"/>
      <c r="L601" s="78"/>
      <c r="M601" s="255"/>
      <c r="N601" s="255"/>
    </row>
    <row r="602" spans="1:14" s="55" customFormat="1" ht="4.2" customHeight="1" x14ac:dyDescent="0.2">
      <c r="A602" s="555"/>
      <c r="B602" s="555"/>
      <c r="C602" s="555"/>
      <c r="D602" s="557"/>
      <c r="E602" s="557"/>
      <c r="F602" s="558"/>
      <c r="G602" s="567"/>
      <c r="H602" s="612"/>
      <c r="I602" s="569"/>
      <c r="J602" s="602"/>
      <c r="K602" s="78"/>
      <c r="L602" s="78"/>
      <c r="M602" s="255"/>
      <c r="N602" s="255"/>
    </row>
    <row r="603" spans="1:14" ht="4.2" customHeight="1" x14ac:dyDescent="0.2">
      <c r="A603" s="56"/>
      <c r="B603" s="136"/>
      <c r="C603" s="56"/>
      <c r="D603" s="55"/>
      <c r="E603" s="55"/>
      <c r="F603" s="84"/>
      <c r="G603" s="175"/>
      <c r="H603" s="300"/>
      <c r="I603" s="177"/>
      <c r="J603" s="301"/>
      <c r="K603" s="78"/>
      <c r="L603" s="78"/>
      <c r="M603" s="255"/>
      <c r="N603" s="255"/>
    </row>
    <row r="604" spans="1:14" s="128" customFormat="1" ht="12.75" customHeight="1" x14ac:dyDescent="0.2">
      <c r="A604" s="188">
        <v>10</v>
      </c>
      <c r="B604" s="120" t="s">
        <v>16</v>
      </c>
      <c r="C604" s="188"/>
      <c r="D604" s="121"/>
      <c r="E604" s="121"/>
      <c r="F604" s="259"/>
      <c r="G604" s="576">
        <v>5.2</v>
      </c>
      <c r="H604" s="124">
        <v>147</v>
      </c>
      <c r="I604" s="124">
        <v>200</v>
      </c>
      <c r="J604" s="125">
        <v>16.5</v>
      </c>
      <c r="K604" s="78"/>
      <c r="L604" s="78"/>
      <c r="M604" s="255"/>
      <c r="N604" s="255"/>
    </row>
    <row r="605" spans="1:14" s="55" customFormat="1" ht="6" customHeight="1" x14ac:dyDescent="0.2">
      <c r="A605" s="80"/>
      <c r="B605" s="129"/>
      <c r="C605" s="80"/>
      <c r="D605" s="79"/>
      <c r="E605" s="79"/>
      <c r="F605" s="219"/>
      <c r="G605" s="85"/>
      <c r="H605" s="86"/>
      <c r="I605" s="87"/>
      <c r="J605" s="231"/>
      <c r="K605" s="78"/>
      <c r="L605" s="78"/>
      <c r="M605" s="255"/>
      <c r="N605" s="255"/>
    </row>
    <row r="606" spans="1:14" ht="10.95" customHeight="1" x14ac:dyDescent="0.2">
      <c r="A606" s="302">
        <v>10.1</v>
      </c>
      <c r="B606" s="80" t="s">
        <v>709</v>
      </c>
      <c r="C606" s="80"/>
      <c r="D606" s="79"/>
      <c r="E606" s="79"/>
      <c r="G606" s="138">
        <v>4.9000000000000004</v>
      </c>
      <c r="H606" s="132">
        <v>139</v>
      </c>
      <c r="I606" s="132">
        <v>160</v>
      </c>
      <c r="J606" s="135">
        <v>16.8</v>
      </c>
      <c r="K606" s="78"/>
      <c r="L606" s="78"/>
      <c r="M606" s="255"/>
      <c r="N606" s="255"/>
    </row>
    <row r="607" spans="1:14" ht="10.95" customHeight="1" x14ac:dyDescent="0.2">
      <c r="A607" s="302"/>
      <c r="B607" s="56" t="s">
        <v>710</v>
      </c>
      <c r="C607" s="136" t="s">
        <v>711</v>
      </c>
      <c r="D607" s="79"/>
      <c r="E607" s="79"/>
      <c r="G607" s="138">
        <v>0.9</v>
      </c>
      <c r="H607" s="132">
        <v>25</v>
      </c>
      <c r="I607" s="132">
        <v>20</v>
      </c>
      <c r="J607" s="135">
        <v>36.1</v>
      </c>
      <c r="K607" s="78"/>
      <c r="L607" s="78"/>
      <c r="M607" s="255"/>
      <c r="N607" s="255"/>
    </row>
    <row r="608" spans="1:14" ht="10.95" customHeight="1" x14ac:dyDescent="0.2">
      <c r="A608" s="302"/>
      <c r="B608" s="56" t="s">
        <v>712</v>
      </c>
      <c r="C608" s="56" t="s">
        <v>713</v>
      </c>
      <c r="D608" s="79"/>
      <c r="E608" s="79"/>
      <c r="G608" s="138">
        <v>1.3</v>
      </c>
      <c r="H608" s="132">
        <v>37</v>
      </c>
      <c r="I608" s="132">
        <v>20</v>
      </c>
      <c r="J608" s="135">
        <v>26.8</v>
      </c>
      <c r="K608" s="78"/>
      <c r="L608" s="78"/>
      <c r="M608" s="255"/>
      <c r="N608" s="255"/>
    </row>
    <row r="609" spans="1:14" ht="10.95" customHeight="1" x14ac:dyDescent="0.2">
      <c r="A609" s="302"/>
      <c r="B609" s="56" t="s">
        <v>714</v>
      </c>
      <c r="C609" s="56" t="s">
        <v>715</v>
      </c>
      <c r="D609" s="79"/>
      <c r="E609" s="79"/>
      <c r="G609" s="138">
        <v>0.4</v>
      </c>
      <c r="H609" s="132">
        <v>12</v>
      </c>
      <c r="I609" s="132">
        <v>10</v>
      </c>
      <c r="J609" s="135">
        <v>48.4</v>
      </c>
      <c r="K609" s="78"/>
      <c r="L609" s="78"/>
      <c r="M609" s="255"/>
      <c r="N609" s="255"/>
    </row>
    <row r="610" spans="1:14" ht="10.95" customHeight="1" x14ac:dyDescent="0.2">
      <c r="A610" s="302"/>
      <c r="B610" s="56" t="s">
        <v>716</v>
      </c>
      <c r="C610" s="56" t="s">
        <v>717</v>
      </c>
      <c r="D610" s="79"/>
      <c r="E610" s="79"/>
      <c r="G610" s="138">
        <v>1.8</v>
      </c>
      <c r="H610" s="132">
        <v>50</v>
      </c>
      <c r="I610" s="132">
        <v>40</v>
      </c>
      <c r="J610" s="135">
        <v>33.4</v>
      </c>
      <c r="K610" s="78"/>
      <c r="L610" s="78"/>
      <c r="M610" s="255"/>
      <c r="N610" s="255"/>
    </row>
    <row r="611" spans="1:14" ht="10.95" customHeight="1" x14ac:dyDescent="0.2">
      <c r="A611" s="302"/>
      <c r="B611" s="56" t="s">
        <v>718</v>
      </c>
      <c r="C611" s="136" t="s">
        <v>719</v>
      </c>
      <c r="D611" s="79"/>
      <c r="E611" s="79"/>
      <c r="G611" s="138">
        <v>0.6</v>
      </c>
      <c r="H611" s="132">
        <v>16</v>
      </c>
      <c r="I611" s="132">
        <v>70</v>
      </c>
      <c r="J611" s="135">
        <v>17.899999999999999</v>
      </c>
      <c r="K611" s="78"/>
      <c r="L611" s="78"/>
      <c r="M611" s="255"/>
      <c r="N611" s="255"/>
    </row>
    <row r="612" spans="1:14" s="55" customFormat="1" ht="3" customHeight="1" x14ac:dyDescent="0.2">
      <c r="A612" s="56"/>
      <c r="B612" s="56"/>
      <c r="C612" s="56"/>
      <c r="F612" s="84"/>
      <c r="G612" s="85"/>
      <c r="H612" s="86"/>
      <c r="I612" s="86"/>
      <c r="J612" s="231"/>
      <c r="K612" s="78"/>
      <c r="L612" s="78"/>
      <c r="M612" s="255"/>
      <c r="N612" s="255"/>
    </row>
    <row r="613" spans="1:14" ht="10.95" customHeight="1" x14ac:dyDescent="0.2">
      <c r="A613" s="302">
        <v>10.199999999999999</v>
      </c>
      <c r="B613" s="80" t="s">
        <v>720</v>
      </c>
      <c r="D613" s="79"/>
      <c r="E613" s="79"/>
      <c r="G613" s="138">
        <v>0.3</v>
      </c>
      <c r="H613" s="132">
        <v>8</v>
      </c>
      <c r="I613" s="132">
        <v>40</v>
      </c>
      <c r="J613" s="135">
        <v>32.4</v>
      </c>
      <c r="K613" s="78"/>
      <c r="L613" s="78"/>
      <c r="M613" s="255"/>
      <c r="N613" s="255"/>
    </row>
    <row r="614" spans="1:14" s="55" customFormat="1" ht="10.95" customHeight="1" x14ac:dyDescent="0.2">
      <c r="A614" s="56"/>
      <c r="B614" s="56" t="s">
        <v>721</v>
      </c>
      <c r="C614" s="136" t="s">
        <v>711</v>
      </c>
      <c r="F614" s="84"/>
      <c r="G614" s="138">
        <v>0.1</v>
      </c>
      <c r="H614" s="132">
        <v>3</v>
      </c>
      <c r="I614" s="132">
        <v>20</v>
      </c>
      <c r="J614" s="135">
        <v>40.1</v>
      </c>
      <c r="K614" s="78"/>
      <c r="L614" s="78"/>
      <c r="M614" s="255"/>
      <c r="N614" s="255"/>
    </row>
    <row r="615" spans="1:14" s="55" customFormat="1" ht="10.95" customHeight="1" x14ac:dyDescent="0.2">
      <c r="A615" s="56"/>
      <c r="B615" s="56" t="s">
        <v>722</v>
      </c>
      <c r="C615" s="56" t="s">
        <v>713</v>
      </c>
      <c r="F615" s="84"/>
      <c r="G615" s="138">
        <v>0.2</v>
      </c>
      <c r="H615" s="132">
        <v>5</v>
      </c>
      <c r="I615" s="132">
        <v>20</v>
      </c>
      <c r="J615" s="135">
        <v>48.5</v>
      </c>
      <c r="K615" s="78"/>
      <c r="L615" s="78"/>
      <c r="M615" s="255"/>
      <c r="N615" s="255"/>
    </row>
    <row r="616" spans="1:14" s="55" customFormat="1" ht="10.95" customHeight="1" x14ac:dyDescent="0.2">
      <c r="A616" s="56"/>
      <c r="B616" s="56" t="s">
        <v>723</v>
      </c>
      <c r="C616" s="56" t="s">
        <v>715</v>
      </c>
      <c r="F616" s="84"/>
      <c r="G616" s="138">
        <v>0</v>
      </c>
      <c r="H616" s="132">
        <v>0</v>
      </c>
      <c r="I616" s="132">
        <v>0</v>
      </c>
      <c r="J616" s="135">
        <v>88.6</v>
      </c>
      <c r="K616" s="78"/>
      <c r="L616" s="78"/>
      <c r="M616" s="255"/>
      <c r="N616" s="255"/>
    </row>
    <row r="617" spans="1:14" s="55" customFormat="1" ht="10.95" customHeight="1" x14ac:dyDescent="0.2">
      <c r="A617" s="56"/>
      <c r="B617" s="56" t="s">
        <v>724</v>
      </c>
      <c r="C617" s="56" t="s">
        <v>717</v>
      </c>
      <c r="F617" s="84"/>
      <c r="G617" s="138" t="s">
        <v>1009</v>
      </c>
      <c r="H617" s="132">
        <v>0</v>
      </c>
      <c r="I617" s="132">
        <v>0</v>
      </c>
      <c r="J617" s="135">
        <v>73.5</v>
      </c>
      <c r="K617" s="78"/>
      <c r="L617" s="78"/>
      <c r="M617" s="255"/>
      <c r="N617" s="255"/>
    </row>
    <row r="618" spans="1:14" s="55" customFormat="1" ht="10.95" customHeight="1" x14ac:dyDescent="0.2">
      <c r="A618" s="56"/>
      <c r="B618" s="56" t="s">
        <v>725</v>
      </c>
      <c r="C618" s="136" t="s">
        <v>719</v>
      </c>
      <c r="F618" s="84"/>
      <c r="G618" s="138" t="s">
        <v>1009</v>
      </c>
      <c r="H618" s="132">
        <v>0</v>
      </c>
      <c r="I618" s="132">
        <v>0</v>
      </c>
      <c r="J618" s="135">
        <v>69.099999999999994</v>
      </c>
      <c r="K618" s="78"/>
      <c r="L618" s="78"/>
      <c r="M618" s="255"/>
      <c r="N618" s="255"/>
    </row>
    <row r="619" spans="1:14" s="55" customFormat="1" ht="4.2" customHeight="1" x14ac:dyDescent="0.2">
      <c r="A619" s="564"/>
      <c r="B619" s="583"/>
      <c r="C619" s="593"/>
      <c r="D619" s="565"/>
      <c r="E619" s="565"/>
      <c r="F619" s="566"/>
      <c r="G619" s="579"/>
      <c r="H619" s="580"/>
      <c r="I619" s="581"/>
      <c r="J619" s="582"/>
      <c r="K619" s="214"/>
      <c r="L619" s="255"/>
      <c r="M619" s="255"/>
      <c r="N619" s="255"/>
    </row>
    <row r="620" spans="1:14" s="55" customFormat="1" ht="4.2" customHeight="1" x14ac:dyDescent="0.2">
      <c r="A620" s="80"/>
      <c r="B620" s="129"/>
      <c r="C620" s="144"/>
      <c r="D620" s="79"/>
      <c r="E620" s="79"/>
      <c r="F620" s="219"/>
      <c r="G620" s="138"/>
      <c r="H620" s="139"/>
      <c r="I620" s="140"/>
      <c r="J620" s="135"/>
      <c r="K620" s="214"/>
      <c r="L620" s="255"/>
      <c r="M620" s="255"/>
      <c r="N620" s="255"/>
    </row>
    <row r="621" spans="1:14" s="55" customFormat="1" ht="10.95" customHeight="1" x14ac:dyDescent="0.2">
      <c r="A621" s="157" t="s">
        <v>111</v>
      </c>
      <c r="B621" s="56"/>
      <c r="C621" s="56"/>
      <c r="E621" s="137"/>
      <c r="F621" s="142"/>
      <c r="G621" s="241"/>
      <c r="H621" s="242"/>
      <c r="I621" s="140"/>
      <c r="J621" s="135"/>
      <c r="K621" s="214"/>
      <c r="L621" s="255"/>
      <c r="M621" s="255"/>
      <c r="N621" s="255"/>
    </row>
    <row r="622" spans="1:14" s="55" customFormat="1" ht="10.95" customHeight="1" x14ac:dyDescent="0.2">
      <c r="A622" s="157" t="s">
        <v>182</v>
      </c>
      <c r="B622" s="56"/>
      <c r="C622" s="56"/>
      <c r="E622" s="137"/>
      <c r="F622" s="142"/>
      <c r="G622" s="241"/>
      <c r="H622" s="242"/>
      <c r="I622" s="140"/>
      <c r="J622" s="135"/>
      <c r="K622" s="214"/>
      <c r="L622" s="255"/>
      <c r="M622" s="255"/>
      <c r="N622" s="255"/>
    </row>
    <row r="623" spans="1:14" s="55" customFormat="1" ht="10.95" customHeight="1" x14ac:dyDescent="0.2">
      <c r="A623" s="157" t="s">
        <v>112</v>
      </c>
      <c r="B623" s="56"/>
      <c r="C623" s="56"/>
      <c r="E623" s="137"/>
      <c r="F623" s="142"/>
      <c r="G623" s="241"/>
      <c r="H623" s="242"/>
      <c r="I623" s="140"/>
      <c r="J623" s="135"/>
      <c r="K623" s="214"/>
      <c r="L623" s="255"/>
      <c r="M623" s="255"/>
      <c r="N623" s="255"/>
    </row>
    <row r="624" spans="1:14" s="55" customFormat="1" ht="13.5" customHeight="1" x14ac:dyDescent="0.2">
      <c r="A624" s="245" t="s">
        <v>726</v>
      </c>
      <c r="B624" s="56"/>
      <c r="C624" s="56"/>
      <c r="D624" s="56"/>
      <c r="E624" s="56"/>
      <c r="F624" s="84"/>
      <c r="G624" s="85"/>
      <c r="H624" s="280"/>
      <c r="I624" s="87"/>
      <c r="J624" s="286"/>
    </row>
    <row r="625" spans="1:14" s="55" customFormat="1" ht="13.5" customHeight="1" x14ac:dyDescent="0.2">
      <c r="A625" s="245" t="s">
        <v>727</v>
      </c>
      <c r="B625" s="56"/>
      <c r="C625" s="56"/>
      <c r="D625" s="56"/>
      <c r="E625" s="56"/>
      <c r="F625" s="84"/>
      <c r="G625" s="85"/>
      <c r="H625" s="280"/>
      <c r="I625" s="87"/>
      <c r="J625" s="286"/>
    </row>
    <row r="626" spans="1:14" s="55" customFormat="1" ht="13.5" customHeight="1" x14ac:dyDescent="0.2">
      <c r="A626" s="245" t="s">
        <v>728</v>
      </c>
      <c r="B626" s="56"/>
      <c r="C626" s="56"/>
      <c r="D626" s="56"/>
      <c r="E626" s="56"/>
      <c r="F626" s="84"/>
      <c r="G626" s="85"/>
      <c r="H626" s="280"/>
      <c r="I626" s="87"/>
      <c r="J626" s="286"/>
    </row>
    <row r="627" spans="1:14" s="55" customFormat="1" ht="13.5" customHeight="1" x14ac:dyDescent="0.2">
      <c r="A627" s="157" t="s">
        <v>729</v>
      </c>
      <c r="B627" s="56"/>
      <c r="C627" s="56"/>
      <c r="D627" s="56"/>
      <c r="E627" s="56"/>
      <c r="F627" s="84"/>
      <c r="G627" s="85"/>
      <c r="H627" s="280"/>
      <c r="I627" s="87"/>
      <c r="J627" s="286"/>
    </row>
    <row r="628" spans="1:14" s="55" customFormat="1" ht="10.95" customHeight="1" x14ac:dyDescent="0.2">
      <c r="A628" s="80"/>
      <c r="B628" s="129"/>
      <c r="C628" s="144"/>
      <c r="D628" s="79"/>
      <c r="E628" s="79"/>
      <c r="F628" s="219"/>
      <c r="G628" s="138"/>
      <c r="H628" s="139"/>
      <c r="I628" s="140"/>
      <c r="J628" s="135"/>
      <c r="K628" s="214"/>
      <c r="L628" s="255"/>
      <c r="M628" s="255"/>
      <c r="N628" s="255"/>
    </row>
    <row r="629" spans="1:14" s="55" customFormat="1" ht="10.95" customHeight="1" x14ac:dyDescent="0.2">
      <c r="A629" s="158"/>
      <c r="B629" s="129"/>
      <c r="C629" s="144"/>
      <c r="D629" s="79"/>
      <c r="E629" s="79"/>
      <c r="F629" s="219"/>
      <c r="G629" s="138"/>
      <c r="H629" s="139"/>
      <c r="I629" s="140"/>
      <c r="J629" s="135"/>
      <c r="K629" s="214"/>
      <c r="L629" s="255"/>
      <c r="M629" s="255"/>
      <c r="N629" s="255"/>
    </row>
    <row r="630" spans="1:14" s="55" customFormat="1" ht="10.95" customHeight="1" x14ac:dyDescent="0.2">
      <c r="A630" s="158"/>
      <c r="B630" s="129"/>
      <c r="C630" s="144"/>
      <c r="D630" s="79"/>
      <c r="E630" s="79"/>
      <c r="F630" s="219"/>
      <c r="G630" s="138"/>
      <c r="H630" s="139"/>
      <c r="I630" s="140"/>
      <c r="J630" s="135"/>
      <c r="K630" s="214"/>
      <c r="L630" s="255"/>
      <c r="M630" s="255"/>
      <c r="N630" s="255"/>
    </row>
    <row r="631" spans="1:14" ht="10.95" customHeight="1" x14ac:dyDescent="0.2">
      <c r="A631" s="56"/>
      <c r="B631" s="56"/>
      <c r="C631" s="142"/>
      <c r="D631" s="55"/>
      <c r="E631" s="55"/>
      <c r="F631" s="84"/>
      <c r="G631" s="241"/>
      <c r="H631" s="242"/>
      <c r="I631" s="243"/>
      <c r="J631" s="244"/>
      <c r="K631" s="214"/>
      <c r="L631" s="255"/>
      <c r="M631" s="255"/>
      <c r="N631" s="255"/>
    </row>
    <row r="632" spans="1:14" ht="15.75" customHeight="1" x14ac:dyDescent="0.2">
      <c r="A632" s="159" t="s">
        <v>114</v>
      </c>
      <c r="B632" s="56"/>
      <c r="C632" s="142"/>
      <c r="D632" s="55"/>
      <c r="E632" s="55"/>
      <c r="F632" s="84"/>
      <c r="G632" s="241"/>
      <c r="H632" s="242"/>
      <c r="I632" s="243"/>
      <c r="J632" s="79"/>
      <c r="K632" s="214"/>
      <c r="L632" s="255"/>
      <c r="M632" s="255"/>
      <c r="N632" s="255"/>
    </row>
    <row r="633" spans="1:14" s="31" customFormat="1" ht="20.25" customHeight="1" x14ac:dyDescent="0.3">
      <c r="A633" s="160" t="s">
        <v>183</v>
      </c>
      <c r="B633" s="161"/>
      <c r="D633" s="32"/>
      <c r="E633" s="32"/>
      <c r="F633" s="33"/>
      <c r="G633" s="551"/>
      <c r="H633" s="35"/>
      <c r="I633" s="36"/>
      <c r="J633" s="246"/>
      <c r="K633" s="214"/>
      <c r="L633" s="255"/>
      <c r="M633" s="255"/>
      <c r="N633" s="255"/>
    </row>
    <row r="634" spans="1:14" s="31" customFormat="1" ht="15.75" customHeight="1" x14ac:dyDescent="0.25">
      <c r="A634" s="41" t="s">
        <v>1359</v>
      </c>
      <c r="B634" s="168"/>
      <c r="C634" s="43"/>
      <c r="D634" s="44"/>
      <c r="E634" s="32"/>
      <c r="F634" s="33"/>
      <c r="G634" s="551"/>
      <c r="H634" s="35"/>
      <c r="I634" s="36"/>
      <c r="J634" s="246"/>
      <c r="K634" s="214"/>
      <c r="L634" s="255"/>
      <c r="M634" s="255"/>
      <c r="N634" s="255"/>
    </row>
    <row r="635" spans="1:14" ht="4.2" customHeight="1" x14ac:dyDescent="0.15">
      <c r="A635" s="564"/>
      <c r="B635" s="564"/>
      <c r="C635" s="565"/>
      <c r="D635" s="566"/>
      <c r="E635" s="566"/>
      <c r="F635" s="566"/>
      <c r="G635" s="567"/>
      <c r="H635" s="572"/>
      <c r="I635" s="573"/>
      <c r="J635" s="570"/>
      <c r="K635" s="214"/>
      <c r="L635" s="255"/>
      <c r="M635" s="255"/>
      <c r="N635" s="255"/>
    </row>
    <row r="636" spans="1:14" s="55" customFormat="1" ht="4.2" customHeight="1" x14ac:dyDescent="0.15">
      <c r="A636" s="81"/>
      <c r="B636" s="81"/>
      <c r="D636" s="84"/>
      <c r="E636" s="84"/>
      <c r="F636" s="84"/>
      <c r="G636" s="563"/>
      <c r="H636" s="250"/>
      <c r="I636" s="251"/>
      <c r="J636" s="252"/>
      <c r="K636" s="214"/>
      <c r="L636" s="255"/>
      <c r="M636" s="255"/>
      <c r="N636" s="255"/>
    </row>
    <row r="637" spans="1:14" s="180" customFormat="1" ht="10.95" customHeight="1" x14ac:dyDescent="0.15">
      <c r="A637" s="172"/>
      <c r="B637" s="172"/>
      <c r="C637" s="173"/>
      <c r="D637" s="174"/>
      <c r="E637" s="174"/>
      <c r="F637" s="59"/>
      <c r="G637" s="60" t="s">
        <v>116</v>
      </c>
      <c r="H637" s="61" t="s">
        <v>25</v>
      </c>
      <c r="I637" s="62" t="s">
        <v>26</v>
      </c>
      <c r="J637" s="63" t="s">
        <v>117</v>
      </c>
      <c r="K637" s="214"/>
      <c r="L637" s="255"/>
      <c r="M637" s="255"/>
      <c r="N637" s="255"/>
    </row>
    <row r="638" spans="1:14" s="180" customFormat="1" ht="10.95" customHeight="1" x14ac:dyDescent="0.15">
      <c r="A638" s="172"/>
      <c r="B638" s="172"/>
      <c r="C638" s="181"/>
      <c r="D638" s="174"/>
      <c r="E638" s="174"/>
      <c r="F638" s="59"/>
      <c r="G638" s="67" t="s">
        <v>29</v>
      </c>
      <c r="H638" s="61" t="s">
        <v>27</v>
      </c>
      <c r="I638" s="62" t="s">
        <v>28</v>
      </c>
      <c r="J638" s="63" t="s">
        <v>118</v>
      </c>
      <c r="K638" s="214"/>
      <c r="L638" s="255"/>
      <c r="M638" s="255"/>
      <c r="N638" s="255"/>
    </row>
    <row r="639" spans="1:14" s="180" customFormat="1" ht="10.95" customHeight="1" x14ac:dyDescent="0.15">
      <c r="A639" s="172"/>
      <c r="B639" s="172"/>
      <c r="C639" s="181"/>
      <c r="D639" s="174"/>
      <c r="E639" s="174"/>
      <c r="F639" s="59"/>
      <c r="G639" s="60" t="s">
        <v>31</v>
      </c>
      <c r="H639" s="61" t="s">
        <v>29</v>
      </c>
      <c r="I639" s="62" t="s">
        <v>30</v>
      </c>
      <c r="J639" s="69" t="s">
        <v>119</v>
      </c>
      <c r="K639" s="214"/>
      <c r="L639" s="255"/>
      <c r="M639" s="255"/>
      <c r="N639" s="255"/>
    </row>
    <row r="640" spans="1:14" s="180" customFormat="1" ht="10.95" customHeight="1" x14ac:dyDescent="0.15">
      <c r="A640" s="172"/>
      <c r="B640" s="172"/>
      <c r="C640" s="181"/>
      <c r="D640" s="174"/>
      <c r="E640" s="174"/>
      <c r="F640" s="59"/>
      <c r="G640" s="67" t="s">
        <v>32</v>
      </c>
      <c r="H640" s="61" t="s">
        <v>33</v>
      </c>
      <c r="I640" s="62" t="s">
        <v>120</v>
      </c>
      <c r="J640" s="70" t="s">
        <v>121</v>
      </c>
      <c r="K640" s="214"/>
      <c r="L640" s="255"/>
      <c r="M640" s="255"/>
      <c r="N640" s="255"/>
    </row>
    <row r="641" spans="1:14" ht="4.2" customHeight="1" x14ac:dyDescent="0.15">
      <c r="A641" s="564"/>
      <c r="B641" s="564"/>
      <c r="C641" s="565"/>
      <c r="D641" s="566"/>
      <c r="E641" s="566"/>
      <c r="F641" s="566"/>
      <c r="G641" s="567"/>
      <c r="H641" s="572"/>
      <c r="I641" s="573"/>
      <c r="J641" s="566"/>
      <c r="K641" s="214"/>
      <c r="L641" s="255"/>
      <c r="M641" s="255"/>
      <c r="N641" s="255"/>
    </row>
    <row r="642" spans="1:14" ht="4.2" customHeight="1" x14ac:dyDescent="0.15">
      <c r="B642" s="81"/>
      <c r="C642" s="82"/>
      <c r="D642" s="83"/>
      <c r="E642" s="83"/>
      <c r="F642" s="84"/>
      <c r="H642" s="86"/>
      <c r="I642" s="87"/>
      <c r="J642" s="83"/>
      <c r="K642" s="214"/>
      <c r="L642" s="255"/>
      <c r="M642" s="255"/>
      <c r="N642" s="255"/>
    </row>
    <row r="643" spans="1:14" s="93" customFormat="1" ht="10.95" customHeight="1" x14ac:dyDescent="0.15">
      <c r="A643" s="111" t="s">
        <v>123</v>
      </c>
      <c r="B643" s="112"/>
      <c r="C643" s="113"/>
      <c r="F643" s="114" t="s">
        <v>124</v>
      </c>
      <c r="G643" s="575"/>
      <c r="H643" s="116"/>
      <c r="I643" s="117"/>
      <c r="K643" s="214"/>
      <c r="L643" s="303"/>
      <c r="M643" s="303"/>
      <c r="N643" s="303"/>
    </row>
    <row r="644" spans="1:14" s="128" customFormat="1" ht="4.2" customHeight="1" x14ac:dyDescent="0.15">
      <c r="A644" s="186"/>
      <c r="B644" s="186"/>
      <c r="C644" s="187"/>
      <c r="D644" s="79"/>
      <c r="E644" s="79"/>
      <c r="G644" s="85"/>
      <c r="H644" s="108"/>
      <c r="I644" s="109"/>
      <c r="J644" s="110"/>
      <c r="K644" s="214"/>
      <c r="L644" s="255"/>
      <c r="M644" s="255"/>
      <c r="N644" s="255"/>
    </row>
    <row r="645" spans="1:14" s="128" customFormat="1" ht="12.75" customHeight="1" x14ac:dyDescent="0.2">
      <c r="A645" s="188">
        <v>11</v>
      </c>
      <c r="B645" s="188" t="s">
        <v>17</v>
      </c>
      <c r="C645" s="121"/>
      <c r="D645" s="121"/>
      <c r="E645" s="121"/>
      <c r="F645" s="259"/>
      <c r="G645" s="576">
        <v>34.799999999999997</v>
      </c>
      <c r="H645" s="124">
        <v>992</v>
      </c>
      <c r="I645" s="124">
        <v>4270</v>
      </c>
      <c r="J645" s="125">
        <v>2.2999999999999998</v>
      </c>
      <c r="K645" s="78"/>
      <c r="L645" s="78"/>
      <c r="M645" s="255"/>
      <c r="N645" s="255"/>
    </row>
    <row r="646" spans="1:14" s="55" customFormat="1" ht="6" customHeight="1" x14ac:dyDescent="0.2">
      <c r="A646" s="56"/>
      <c r="B646" s="56"/>
      <c r="F646" s="84"/>
      <c r="G646" s="85"/>
      <c r="H646" s="86"/>
      <c r="I646" s="87"/>
      <c r="J646" s="231"/>
      <c r="K646" s="78"/>
      <c r="L646" s="78"/>
      <c r="M646" s="255"/>
      <c r="N646" s="255"/>
    </row>
    <row r="647" spans="1:14" ht="10.95" customHeight="1" x14ac:dyDescent="0.2">
      <c r="A647" s="302">
        <v>11.1</v>
      </c>
      <c r="B647" s="129" t="s">
        <v>730</v>
      </c>
      <c r="C647" s="80"/>
      <c r="D647" s="79"/>
      <c r="E647" s="79"/>
      <c r="G647" s="138">
        <v>25.4</v>
      </c>
      <c r="H647" s="132">
        <v>724</v>
      </c>
      <c r="I647" s="132">
        <v>4070</v>
      </c>
      <c r="J647" s="135">
        <v>2.4</v>
      </c>
      <c r="K647" s="78"/>
      <c r="L647" s="78"/>
      <c r="M647" s="255"/>
      <c r="N647" s="255"/>
    </row>
    <row r="648" spans="1:14" s="55" customFormat="1" ht="10.95" customHeight="1" x14ac:dyDescent="0.2">
      <c r="B648" s="56" t="s">
        <v>731</v>
      </c>
      <c r="C648" s="56" t="s">
        <v>732</v>
      </c>
      <c r="D648" s="56"/>
      <c r="F648" s="84"/>
      <c r="G648" s="138">
        <v>12.6</v>
      </c>
      <c r="H648" s="132">
        <v>359</v>
      </c>
      <c r="I648" s="132">
        <v>2940</v>
      </c>
      <c r="J648" s="135">
        <v>2.8</v>
      </c>
      <c r="K648" s="78"/>
      <c r="L648" s="78"/>
      <c r="M648" s="255"/>
      <c r="N648" s="255"/>
    </row>
    <row r="649" spans="1:14" s="55" customFormat="1" ht="10.95" customHeight="1" x14ac:dyDescent="0.2">
      <c r="B649" s="56" t="s">
        <v>733</v>
      </c>
      <c r="C649" s="136" t="s">
        <v>734</v>
      </c>
      <c r="F649" s="84"/>
      <c r="G649" s="138">
        <v>5</v>
      </c>
      <c r="H649" s="132">
        <v>141</v>
      </c>
      <c r="I649" s="132">
        <v>1630</v>
      </c>
      <c r="J649" s="135">
        <v>4.2</v>
      </c>
      <c r="K649" s="78"/>
      <c r="L649" s="78"/>
      <c r="M649" s="255"/>
      <c r="N649" s="255"/>
    </row>
    <row r="650" spans="1:14" s="55" customFormat="1" ht="10.95" customHeight="1" x14ac:dyDescent="0.2">
      <c r="B650" s="56" t="s">
        <v>735</v>
      </c>
      <c r="C650" s="55" t="s">
        <v>736</v>
      </c>
      <c r="F650" s="84"/>
      <c r="G650" s="138">
        <v>4.0999999999999996</v>
      </c>
      <c r="H650" s="132">
        <v>116</v>
      </c>
      <c r="I650" s="132">
        <v>1600</v>
      </c>
      <c r="J650" s="135">
        <v>3.4</v>
      </c>
      <c r="K650" s="78"/>
      <c r="L650" s="78"/>
      <c r="M650" s="255"/>
      <c r="N650" s="255"/>
    </row>
    <row r="651" spans="1:14" ht="3" customHeight="1" x14ac:dyDescent="0.2">
      <c r="B651" s="79"/>
      <c r="C651" s="80"/>
      <c r="D651" s="79"/>
      <c r="E651" s="79"/>
      <c r="F651" s="79"/>
      <c r="H651" s="86"/>
      <c r="I651" s="87"/>
      <c r="K651" s="78"/>
      <c r="L651" s="78"/>
      <c r="M651" s="255"/>
      <c r="N651" s="255"/>
    </row>
    <row r="652" spans="1:14" s="143" customFormat="1" ht="10.95" customHeight="1" x14ac:dyDescent="0.2">
      <c r="A652" s="55"/>
      <c r="B652" s="56" t="s">
        <v>737</v>
      </c>
      <c r="C652" s="56" t="s">
        <v>738</v>
      </c>
      <c r="D652" s="55"/>
      <c r="E652" s="55"/>
      <c r="F652" s="84"/>
      <c r="G652" s="138">
        <v>2.9</v>
      </c>
      <c r="H652" s="132">
        <v>83</v>
      </c>
      <c r="I652" s="132">
        <v>2030</v>
      </c>
      <c r="J652" s="135">
        <v>3.3</v>
      </c>
      <c r="K652" s="78"/>
      <c r="L652" s="78"/>
      <c r="M652" s="255"/>
      <c r="N652" s="255"/>
    </row>
    <row r="653" spans="1:14" s="143" customFormat="1" ht="10.95" customHeight="1" x14ac:dyDescent="0.2">
      <c r="A653" s="55"/>
      <c r="C653" s="56" t="s">
        <v>739</v>
      </c>
      <c r="D653" s="55" t="s">
        <v>740</v>
      </c>
      <c r="E653" s="55"/>
      <c r="F653" s="84"/>
      <c r="G653" s="138">
        <v>2.2999999999999998</v>
      </c>
      <c r="H653" s="132">
        <v>66</v>
      </c>
      <c r="I653" s="132">
        <v>1810</v>
      </c>
      <c r="J653" s="135">
        <v>3.5</v>
      </c>
      <c r="K653" s="78"/>
      <c r="L653" s="78"/>
      <c r="M653" s="255"/>
      <c r="N653" s="255"/>
    </row>
    <row r="654" spans="1:14" s="143" customFormat="1" ht="10.95" customHeight="1" x14ac:dyDescent="0.2">
      <c r="A654" s="55"/>
      <c r="B654" s="272"/>
      <c r="C654" s="56" t="s">
        <v>741</v>
      </c>
      <c r="D654" s="55" t="s">
        <v>742</v>
      </c>
      <c r="E654" s="55"/>
      <c r="F654" s="84"/>
      <c r="G654" s="138">
        <v>0.1</v>
      </c>
      <c r="H654" s="132">
        <v>3</v>
      </c>
      <c r="I654" s="132">
        <v>350</v>
      </c>
      <c r="J654" s="135">
        <v>8.6</v>
      </c>
      <c r="K654" s="78"/>
      <c r="L654" s="78"/>
      <c r="M654" s="255"/>
      <c r="N654" s="255"/>
    </row>
    <row r="655" spans="1:14" s="143" customFormat="1" ht="10.95" customHeight="1" x14ac:dyDescent="0.2">
      <c r="A655" s="55"/>
      <c r="B655" s="272"/>
      <c r="C655" s="56" t="s">
        <v>743</v>
      </c>
      <c r="D655" s="55" t="s">
        <v>744</v>
      </c>
      <c r="E655" s="55"/>
      <c r="F655" s="84"/>
      <c r="G655" s="138">
        <v>0.1</v>
      </c>
      <c r="H655" s="132">
        <v>4</v>
      </c>
      <c r="I655" s="132">
        <v>280</v>
      </c>
      <c r="J655" s="135">
        <v>9.4</v>
      </c>
      <c r="K655" s="78"/>
      <c r="L655" s="78"/>
      <c r="M655" s="255"/>
      <c r="N655" s="255"/>
    </row>
    <row r="656" spans="1:14" s="143" customFormat="1" ht="10.95" customHeight="1" x14ac:dyDescent="0.2">
      <c r="A656" s="55"/>
      <c r="B656" s="272"/>
      <c r="C656" s="56" t="s">
        <v>745</v>
      </c>
      <c r="D656" s="55" t="s">
        <v>110</v>
      </c>
      <c r="E656" s="55"/>
      <c r="F656" s="84"/>
      <c r="G656" s="138">
        <v>0.4</v>
      </c>
      <c r="H656" s="132">
        <v>10</v>
      </c>
      <c r="I656" s="132">
        <v>1040</v>
      </c>
      <c r="J656" s="135">
        <v>4.4000000000000004</v>
      </c>
      <c r="K656" s="78"/>
      <c r="L656" s="78"/>
      <c r="M656" s="255"/>
      <c r="N656" s="255"/>
    </row>
    <row r="657" spans="1:14" s="143" customFormat="1" ht="3" customHeight="1" x14ac:dyDescent="0.2">
      <c r="A657" s="55"/>
      <c r="B657" s="272"/>
      <c r="C657" s="56"/>
      <c r="D657" s="55"/>
      <c r="E657" s="55"/>
      <c r="F657" s="84"/>
      <c r="G657" s="85"/>
      <c r="H657" s="86"/>
      <c r="I657" s="87"/>
      <c r="J657" s="231"/>
      <c r="K657" s="78"/>
      <c r="L657" s="78"/>
      <c r="M657" s="255"/>
      <c r="N657" s="255"/>
    </row>
    <row r="658" spans="1:14" s="143" customFormat="1" ht="10.95" customHeight="1" x14ac:dyDescent="0.2">
      <c r="A658" s="55"/>
      <c r="B658" s="56" t="s">
        <v>746</v>
      </c>
      <c r="C658" s="56" t="s">
        <v>747</v>
      </c>
      <c r="D658" s="55"/>
      <c r="E658" s="84"/>
      <c r="F658" s="84"/>
      <c r="G658" s="138">
        <v>0.2</v>
      </c>
      <c r="H658" s="132">
        <v>5</v>
      </c>
      <c r="I658" s="132">
        <v>20</v>
      </c>
      <c r="J658" s="135">
        <v>35.9</v>
      </c>
      <c r="K658" s="78"/>
      <c r="L658" s="78"/>
      <c r="M658" s="255"/>
      <c r="N658" s="255"/>
    </row>
    <row r="659" spans="1:14" s="143" customFormat="1" ht="3" customHeight="1" x14ac:dyDescent="0.2">
      <c r="A659" s="55"/>
      <c r="C659" s="136"/>
      <c r="D659" s="55"/>
      <c r="E659" s="55"/>
      <c r="F659" s="84"/>
      <c r="G659" s="85"/>
      <c r="H659" s="86"/>
      <c r="I659" s="87"/>
      <c r="J659" s="231"/>
      <c r="K659" s="78"/>
      <c r="L659" s="78"/>
      <c r="M659" s="255"/>
      <c r="N659" s="255"/>
    </row>
    <row r="660" spans="1:14" s="143" customFormat="1" ht="10.95" customHeight="1" x14ac:dyDescent="0.2">
      <c r="A660" s="56"/>
      <c r="B660" s="56" t="s">
        <v>748</v>
      </c>
      <c r="C660" s="136" t="s">
        <v>749</v>
      </c>
      <c r="E660" s="55"/>
      <c r="F660" s="84"/>
      <c r="G660" s="138">
        <v>0.7</v>
      </c>
      <c r="H660" s="132">
        <v>20</v>
      </c>
      <c r="I660" s="132">
        <v>360</v>
      </c>
      <c r="J660" s="135">
        <v>8.8000000000000007</v>
      </c>
      <c r="K660" s="78"/>
      <c r="L660" s="78"/>
      <c r="M660" s="255"/>
      <c r="N660" s="255"/>
    </row>
    <row r="661" spans="1:14" s="143" customFormat="1" ht="10.95" customHeight="1" x14ac:dyDescent="0.2">
      <c r="A661" s="56"/>
      <c r="B661" s="55"/>
      <c r="C661" s="56" t="s">
        <v>750</v>
      </c>
      <c r="D661" s="55" t="s">
        <v>751</v>
      </c>
      <c r="E661" s="84"/>
      <c r="F661" s="84"/>
      <c r="G661" s="138">
        <v>0.6</v>
      </c>
      <c r="H661" s="132">
        <v>16</v>
      </c>
      <c r="I661" s="132">
        <v>230</v>
      </c>
      <c r="J661" s="135">
        <v>10.6</v>
      </c>
      <c r="K661" s="78"/>
      <c r="L661" s="78"/>
      <c r="M661" s="255"/>
      <c r="N661" s="255"/>
    </row>
    <row r="662" spans="1:14" s="55" customFormat="1" ht="10.95" customHeight="1" x14ac:dyDescent="0.2">
      <c r="A662" s="56"/>
      <c r="C662" s="56" t="s">
        <v>752</v>
      </c>
      <c r="D662" s="55" t="s">
        <v>753</v>
      </c>
      <c r="F662" s="84"/>
      <c r="G662" s="138">
        <v>0.1</v>
      </c>
      <c r="H662" s="132">
        <v>4</v>
      </c>
      <c r="I662" s="132">
        <v>140</v>
      </c>
      <c r="J662" s="135">
        <v>13.1</v>
      </c>
      <c r="K662" s="78"/>
      <c r="L662" s="78"/>
      <c r="M662" s="255"/>
      <c r="N662" s="255"/>
    </row>
    <row r="663" spans="1:14" s="55" customFormat="1" ht="3" customHeight="1" x14ac:dyDescent="0.2">
      <c r="A663" s="56"/>
      <c r="B663" s="81"/>
      <c r="C663" s="56"/>
      <c r="D663" s="192"/>
      <c r="E663" s="192"/>
      <c r="F663" s="192"/>
      <c r="G663" s="85"/>
      <c r="H663" s="86"/>
      <c r="I663" s="87"/>
      <c r="J663" s="231"/>
      <c r="K663" s="78"/>
      <c r="L663" s="78"/>
      <c r="M663" s="255"/>
      <c r="N663" s="255"/>
    </row>
    <row r="664" spans="1:14" ht="10.95" customHeight="1" x14ac:dyDescent="0.2">
      <c r="A664" s="302">
        <v>11.2</v>
      </c>
      <c r="B664" s="80" t="s">
        <v>754</v>
      </c>
      <c r="D664" s="79"/>
      <c r="E664" s="79"/>
      <c r="G664" s="138">
        <v>9.4</v>
      </c>
      <c r="H664" s="132">
        <v>267</v>
      </c>
      <c r="I664" s="132">
        <v>1440</v>
      </c>
      <c r="J664" s="135">
        <v>4.2</v>
      </c>
      <c r="K664" s="78"/>
      <c r="L664" s="78"/>
      <c r="M664" s="255"/>
      <c r="N664" s="255"/>
    </row>
    <row r="665" spans="1:14" s="55" customFormat="1" ht="10.95" customHeight="1" x14ac:dyDescent="0.2">
      <c r="B665" s="56" t="s">
        <v>755</v>
      </c>
      <c r="C665" s="136" t="s">
        <v>756</v>
      </c>
      <c r="F665" s="84"/>
      <c r="G665" s="138">
        <v>8</v>
      </c>
      <c r="H665" s="132">
        <v>228</v>
      </c>
      <c r="I665" s="132">
        <v>1340</v>
      </c>
      <c r="J665" s="135">
        <v>4.2</v>
      </c>
      <c r="K665" s="78"/>
      <c r="L665" s="78"/>
      <c r="M665" s="255"/>
      <c r="N665" s="255"/>
    </row>
    <row r="666" spans="1:14" s="55" customFormat="1" ht="10.95" customHeight="1" x14ac:dyDescent="0.2">
      <c r="B666" s="56" t="s">
        <v>757</v>
      </c>
      <c r="C666" s="136" t="s">
        <v>758</v>
      </c>
      <c r="F666" s="84"/>
      <c r="G666" s="138">
        <v>1.3</v>
      </c>
      <c r="H666" s="132">
        <v>38</v>
      </c>
      <c r="I666" s="132">
        <v>130</v>
      </c>
      <c r="J666" s="135">
        <v>15.3</v>
      </c>
      <c r="K666" s="78"/>
      <c r="L666" s="78"/>
      <c r="M666" s="255"/>
      <c r="N666" s="255"/>
    </row>
    <row r="667" spans="1:14" s="55" customFormat="1" ht="10.95" customHeight="1" x14ac:dyDescent="0.2">
      <c r="B667" s="56" t="s">
        <v>759</v>
      </c>
      <c r="C667" s="136" t="s">
        <v>760</v>
      </c>
      <c r="F667" s="84"/>
      <c r="G667" s="138" t="s">
        <v>1009</v>
      </c>
      <c r="H667" s="132">
        <v>1</v>
      </c>
      <c r="I667" s="132">
        <v>20</v>
      </c>
      <c r="J667" s="135">
        <v>29.3</v>
      </c>
      <c r="K667" s="78"/>
      <c r="L667" s="78"/>
      <c r="M667" s="255"/>
      <c r="N667" s="255"/>
    </row>
    <row r="668" spans="1:14" ht="4.2" customHeight="1" x14ac:dyDescent="0.2">
      <c r="A668" s="564"/>
      <c r="B668" s="583"/>
      <c r="C668" s="557"/>
      <c r="D668" s="565"/>
      <c r="E668" s="565"/>
      <c r="F668" s="566"/>
      <c r="G668" s="567"/>
      <c r="H668" s="608"/>
      <c r="I668" s="569"/>
      <c r="J668" s="602"/>
      <c r="K668" s="78"/>
      <c r="L668" s="78"/>
      <c r="M668" s="255"/>
      <c r="N668" s="255"/>
    </row>
    <row r="669" spans="1:14" ht="4.2" customHeight="1" x14ac:dyDescent="0.2">
      <c r="A669" s="56"/>
      <c r="B669" s="56"/>
      <c r="C669" s="56"/>
      <c r="D669" s="55"/>
      <c r="E669" s="55"/>
      <c r="F669" s="84"/>
      <c r="H669" s="278"/>
      <c r="I669" s="87"/>
      <c r="J669" s="231"/>
      <c r="K669" s="78"/>
      <c r="L669" s="78"/>
      <c r="M669" s="255"/>
      <c r="N669" s="255"/>
    </row>
    <row r="670" spans="1:14" s="128" customFormat="1" ht="12.75" customHeight="1" x14ac:dyDescent="0.2">
      <c r="A670" s="188">
        <v>12</v>
      </c>
      <c r="B670" s="188" t="s">
        <v>18</v>
      </c>
      <c r="C670" s="188"/>
      <c r="D670" s="121"/>
      <c r="E670" s="121"/>
      <c r="F670" s="259"/>
      <c r="G670" s="576">
        <v>40.6</v>
      </c>
      <c r="H670" s="124">
        <v>1158</v>
      </c>
      <c r="I670" s="124">
        <v>5560</v>
      </c>
      <c r="J670" s="125">
        <v>2</v>
      </c>
      <c r="K670" s="78"/>
      <c r="L670" s="78"/>
      <c r="M670" s="255"/>
      <c r="N670" s="255"/>
    </row>
    <row r="671" spans="1:14" ht="6" customHeight="1" x14ac:dyDescent="0.2">
      <c r="A671" s="56"/>
      <c r="B671" s="56"/>
      <c r="C671" s="55"/>
      <c r="D671" s="55"/>
      <c r="E671" s="55"/>
      <c r="F671" s="84"/>
      <c r="H671" s="86"/>
      <c r="I671" s="87"/>
      <c r="J671" s="231"/>
      <c r="K671" s="78"/>
      <c r="L671" s="78"/>
      <c r="M671" s="255"/>
      <c r="N671" s="255"/>
    </row>
    <row r="672" spans="1:14" ht="10.95" customHeight="1" x14ac:dyDescent="0.2">
      <c r="A672" s="302">
        <v>12.1</v>
      </c>
      <c r="B672" s="80" t="s">
        <v>761</v>
      </c>
      <c r="C672" s="80"/>
      <c r="D672" s="79"/>
      <c r="E672" s="79"/>
      <c r="G672" s="138">
        <v>11.2</v>
      </c>
      <c r="H672" s="132">
        <v>319</v>
      </c>
      <c r="I672" s="132">
        <v>4800</v>
      </c>
      <c r="J672" s="135">
        <v>2.5</v>
      </c>
      <c r="K672" s="78"/>
      <c r="L672" s="78"/>
      <c r="M672" s="255"/>
      <c r="N672" s="255"/>
    </row>
    <row r="673" spans="1:14" s="55" customFormat="1" ht="10.95" customHeight="1" x14ac:dyDescent="0.2">
      <c r="B673" s="56" t="s">
        <v>762</v>
      </c>
      <c r="C673" s="56" t="s">
        <v>763</v>
      </c>
      <c r="F673" s="84"/>
      <c r="G673" s="138">
        <v>3.6</v>
      </c>
      <c r="H673" s="132">
        <v>102</v>
      </c>
      <c r="I673" s="132">
        <v>1000</v>
      </c>
      <c r="J673" s="135">
        <v>5.3</v>
      </c>
      <c r="K673" s="78"/>
      <c r="L673" s="78"/>
      <c r="M673" s="255"/>
      <c r="N673" s="255"/>
    </row>
    <row r="674" spans="1:14" s="55" customFormat="1" ht="10.95" customHeight="1" x14ac:dyDescent="0.2">
      <c r="B674" s="56" t="s">
        <v>764</v>
      </c>
      <c r="C674" s="56" t="s">
        <v>765</v>
      </c>
      <c r="F674" s="84"/>
      <c r="G674" s="138">
        <v>0.9</v>
      </c>
      <c r="H674" s="132">
        <v>26</v>
      </c>
      <c r="I674" s="132">
        <v>2030</v>
      </c>
      <c r="J674" s="135">
        <v>2.8</v>
      </c>
      <c r="K674" s="78"/>
      <c r="L674" s="78"/>
      <c r="M674" s="255"/>
      <c r="N674" s="255"/>
    </row>
    <row r="675" spans="1:14" s="55" customFormat="1" ht="3" customHeight="1" x14ac:dyDescent="0.2">
      <c r="B675" s="56"/>
      <c r="C675" s="56"/>
      <c r="F675" s="84"/>
      <c r="G675" s="85"/>
      <c r="H675" s="86"/>
      <c r="I675" s="87"/>
      <c r="J675" s="231"/>
      <c r="K675" s="78"/>
      <c r="L675" s="78"/>
      <c r="M675" s="255"/>
      <c r="N675" s="255"/>
    </row>
    <row r="676" spans="1:14" s="55" customFormat="1" ht="10.95" customHeight="1" x14ac:dyDescent="0.2">
      <c r="B676" s="56" t="s">
        <v>766</v>
      </c>
      <c r="C676" s="136" t="s">
        <v>767</v>
      </c>
      <c r="D676" s="56"/>
      <c r="F676" s="84"/>
      <c r="G676" s="138">
        <v>2.2999999999999998</v>
      </c>
      <c r="H676" s="132">
        <v>65</v>
      </c>
      <c r="I676" s="132">
        <v>3820</v>
      </c>
      <c r="J676" s="135">
        <v>2.2000000000000002</v>
      </c>
      <c r="K676" s="78"/>
      <c r="L676" s="78"/>
      <c r="M676" s="255"/>
      <c r="N676" s="255"/>
    </row>
    <row r="677" spans="1:14" s="55" customFormat="1" ht="10.95" customHeight="1" x14ac:dyDescent="0.2">
      <c r="B677" s="56"/>
      <c r="C677" s="136" t="s">
        <v>768</v>
      </c>
      <c r="D677" s="56" t="s">
        <v>769</v>
      </c>
      <c r="F677" s="84"/>
      <c r="G677" s="138">
        <v>1.3</v>
      </c>
      <c r="H677" s="132">
        <v>37</v>
      </c>
      <c r="I677" s="132">
        <v>3190</v>
      </c>
      <c r="J677" s="135">
        <v>2.2000000000000002</v>
      </c>
      <c r="K677" s="78"/>
      <c r="L677" s="78"/>
      <c r="M677" s="255"/>
      <c r="N677" s="255"/>
    </row>
    <row r="678" spans="1:14" s="55" customFormat="1" ht="10.95" customHeight="1" x14ac:dyDescent="0.2">
      <c r="B678" s="56"/>
      <c r="C678" s="56" t="s">
        <v>770</v>
      </c>
      <c r="D678" s="55" t="s">
        <v>771</v>
      </c>
      <c r="F678" s="84"/>
      <c r="G678" s="138">
        <v>0.5</v>
      </c>
      <c r="H678" s="132">
        <v>14</v>
      </c>
      <c r="I678" s="132">
        <v>1780</v>
      </c>
      <c r="J678" s="135">
        <v>4.2</v>
      </c>
      <c r="K678" s="78"/>
      <c r="L678" s="78"/>
      <c r="M678" s="255"/>
      <c r="N678" s="255"/>
    </row>
    <row r="679" spans="1:14" s="55" customFormat="1" ht="10.95" customHeight="1" x14ac:dyDescent="0.2">
      <c r="B679" s="56"/>
      <c r="C679" s="56" t="s">
        <v>772</v>
      </c>
      <c r="D679" s="55" t="s">
        <v>773</v>
      </c>
      <c r="F679" s="84"/>
      <c r="G679" s="138">
        <v>0.5</v>
      </c>
      <c r="H679" s="132">
        <v>13</v>
      </c>
      <c r="I679" s="132">
        <v>1030</v>
      </c>
      <c r="J679" s="135">
        <v>6.2</v>
      </c>
      <c r="K679" s="78"/>
      <c r="L679" s="78"/>
      <c r="M679" s="255"/>
      <c r="N679" s="255"/>
    </row>
    <row r="680" spans="1:14" s="55" customFormat="1" ht="3" customHeight="1" x14ac:dyDescent="0.2">
      <c r="B680" s="56"/>
      <c r="C680" s="136"/>
      <c r="D680" s="56"/>
      <c r="F680" s="84"/>
      <c r="G680" s="85"/>
      <c r="H680" s="86"/>
      <c r="I680" s="87"/>
      <c r="J680" s="217"/>
      <c r="K680" s="78"/>
      <c r="L680" s="78"/>
      <c r="M680" s="255"/>
      <c r="N680" s="255"/>
    </row>
    <row r="681" spans="1:14" s="55" customFormat="1" ht="10.95" customHeight="1" x14ac:dyDescent="0.2">
      <c r="B681" s="56" t="s">
        <v>774</v>
      </c>
      <c r="C681" s="136" t="s">
        <v>775</v>
      </c>
      <c r="D681" s="56"/>
      <c r="F681" s="84"/>
      <c r="G681" s="138">
        <v>0.4</v>
      </c>
      <c r="H681" s="132">
        <v>12</v>
      </c>
      <c r="I681" s="132">
        <v>890</v>
      </c>
      <c r="J681" s="135">
        <v>5.4</v>
      </c>
      <c r="K681" s="78"/>
      <c r="L681" s="78"/>
      <c r="M681" s="255"/>
      <c r="N681" s="255"/>
    </row>
    <row r="682" spans="1:14" s="55" customFormat="1" ht="3" customHeight="1" x14ac:dyDescent="0.2">
      <c r="B682" s="56"/>
      <c r="C682" s="56"/>
      <c r="D682" s="56"/>
      <c r="F682" s="84"/>
      <c r="G682" s="85"/>
      <c r="H682" s="86"/>
      <c r="I682" s="87"/>
      <c r="J682" s="231"/>
      <c r="K682" s="78"/>
      <c r="L682" s="78"/>
      <c r="M682" s="255"/>
      <c r="N682" s="255"/>
    </row>
    <row r="683" spans="1:14" s="55" customFormat="1" ht="10.95" customHeight="1" x14ac:dyDescent="0.2">
      <c r="B683" s="56" t="s">
        <v>776</v>
      </c>
      <c r="C683" s="56" t="s">
        <v>777</v>
      </c>
      <c r="D683" s="56"/>
      <c r="F683" s="84"/>
      <c r="G683" s="138">
        <v>4</v>
      </c>
      <c r="H683" s="132">
        <v>114</v>
      </c>
      <c r="I683" s="132">
        <v>2770</v>
      </c>
      <c r="J683" s="135">
        <v>3.6</v>
      </c>
      <c r="K683" s="78"/>
      <c r="L683" s="78"/>
      <c r="M683" s="255"/>
      <c r="N683" s="255"/>
    </row>
    <row r="684" spans="1:14" s="55" customFormat="1" ht="10.95" customHeight="1" x14ac:dyDescent="0.2">
      <c r="B684" s="56"/>
      <c r="C684" s="56" t="s">
        <v>778</v>
      </c>
      <c r="D684" s="56" t="s">
        <v>779</v>
      </c>
      <c r="F684" s="84"/>
      <c r="G684" s="138">
        <v>0.8</v>
      </c>
      <c r="H684" s="132">
        <v>24</v>
      </c>
      <c r="I684" s="132">
        <v>1450</v>
      </c>
      <c r="J684" s="135">
        <v>4.7</v>
      </c>
      <c r="K684" s="78"/>
      <c r="L684" s="78"/>
      <c r="M684" s="255"/>
      <c r="N684" s="255"/>
    </row>
    <row r="685" spans="1:14" s="55" customFormat="1" ht="10.95" customHeight="1" x14ac:dyDescent="0.2">
      <c r="B685" s="56"/>
      <c r="C685" s="56" t="s">
        <v>780</v>
      </c>
      <c r="D685" s="56" t="s">
        <v>781</v>
      </c>
      <c r="F685" s="84"/>
      <c r="G685" s="138">
        <v>2.8</v>
      </c>
      <c r="H685" s="132">
        <v>81</v>
      </c>
      <c r="I685" s="132">
        <v>2090</v>
      </c>
      <c r="J685" s="135">
        <v>4</v>
      </c>
      <c r="K685" s="78"/>
      <c r="L685" s="78"/>
      <c r="M685" s="255"/>
      <c r="N685" s="255"/>
    </row>
    <row r="686" spans="1:14" s="55" customFormat="1" ht="10.95" customHeight="1" x14ac:dyDescent="0.2">
      <c r="B686" s="56"/>
      <c r="C686" s="56" t="s">
        <v>782</v>
      </c>
      <c r="D686" s="56" t="s">
        <v>783</v>
      </c>
      <c r="F686" s="84"/>
      <c r="G686" s="138">
        <v>0.3</v>
      </c>
      <c r="H686" s="132">
        <v>9</v>
      </c>
      <c r="I686" s="132">
        <v>110</v>
      </c>
      <c r="J686" s="135">
        <v>17.600000000000001</v>
      </c>
      <c r="K686" s="78"/>
      <c r="L686" s="78"/>
      <c r="M686" s="255"/>
      <c r="N686" s="255"/>
    </row>
    <row r="687" spans="1:14" ht="3" customHeight="1" x14ac:dyDescent="0.2">
      <c r="A687" s="302"/>
      <c r="C687" s="304"/>
      <c r="D687" s="79"/>
      <c r="E687" s="79"/>
      <c r="G687" s="138"/>
      <c r="H687" s="139"/>
      <c r="I687" s="305"/>
      <c r="J687" s="135"/>
      <c r="K687" s="78"/>
      <c r="L687" s="78"/>
      <c r="M687" s="255"/>
      <c r="N687" s="255"/>
    </row>
    <row r="688" spans="1:14" s="55" customFormat="1" ht="10.95" customHeight="1" x14ac:dyDescent="0.2">
      <c r="A688" s="302">
        <v>12.2</v>
      </c>
      <c r="B688" s="129" t="s">
        <v>784</v>
      </c>
      <c r="C688" s="80"/>
      <c r="D688" s="79"/>
      <c r="E688" s="79"/>
      <c r="F688" s="219"/>
      <c r="G688" s="138">
        <v>3.5</v>
      </c>
      <c r="H688" s="132">
        <v>99</v>
      </c>
      <c r="I688" s="132">
        <v>980</v>
      </c>
      <c r="J688" s="135">
        <v>18.399999999999999</v>
      </c>
      <c r="K688" s="78"/>
      <c r="L688" s="78"/>
      <c r="M688" s="255"/>
      <c r="N688" s="255"/>
    </row>
    <row r="689" spans="1:14" s="55" customFormat="1" ht="10.95" customHeight="1" x14ac:dyDescent="0.2">
      <c r="B689" s="56" t="s">
        <v>785</v>
      </c>
      <c r="C689" s="55" t="s">
        <v>786</v>
      </c>
      <c r="F689" s="84"/>
      <c r="G689" s="138">
        <v>2.5</v>
      </c>
      <c r="H689" s="132">
        <v>72</v>
      </c>
      <c r="I689" s="132">
        <v>700</v>
      </c>
      <c r="J689" s="135">
        <v>22.6</v>
      </c>
      <c r="K689" s="78"/>
      <c r="L689" s="78"/>
      <c r="M689" s="255"/>
      <c r="N689" s="255"/>
    </row>
    <row r="690" spans="1:14" s="55" customFormat="1" ht="10.95" customHeight="1" x14ac:dyDescent="0.2">
      <c r="B690" s="56" t="s">
        <v>787</v>
      </c>
      <c r="C690" s="55" t="s">
        <v>788</v>
      </c>
      <c r="F690" s="84"/>
      <c r="G690" s="138">
        <v>0.6</v>
      </c>
      <c r="H690" s="132">
        <v>16</v>
      </c>
      <c r="I690" s="132">
        <v>320</v>
      </c>
      <c r="J690" s="135">
        <v>13.9</v>
      </c>
      <c r="K690" s="78"/>
      <c r="L690" s="78"/>
      <c r="M690" s="255"/>
      <c r="N690" s="255"/>
    </row>
    <row r="691" spans="1:14" s="55" customFormat="1" ht="10.95" customHeight="1" x14ac:dyDescent="0.2">
      <c r="B691" s="56" t="s">
        <v>789</v>
      </c>
      <c r="C691" s="55" t="s">
        <v>790</v>
      </c>
      <c r="F691" s="84"/>
      <c r="G691" s="138">
        <v>0.1</v>
      </c>
      <c r="H691" s="132">
        <v>2</v>
      </c>
      <c r="I691" s="132">
        <v>70</v>
      </c>
      <c r="J691" s="135">
        <v>19.600000000000001</v>
      </c>
      <c r="K691" s="78"/>
      <c r="L691" s="78"/>
      <c r="M691" s="255"/>
      <c r="N691" s="255"/>
    </row>
    <row r="692" spans="1:14" s="55" customFormat="1" ht="10.95" customHeight="1" x14ac:dyDescent="0.2">
      <c r="B692" s="56" t="s">
        <v>791</v>
      </c>
      <c r="C692" s="55" t="s">
        <v>792</v>
      </c>
      <c r="F692" s="84"/>
      <c r="G692" s="138">
        <v>0.1</v>
      </c>
      <c r="H692" s="132">
        <v>2</v>
      </c>
      <c r="I692" s="132">
        <v>20</v>
      </c>
      <c r="J692" s="135">
        <v>34.6</v>
      </c>
      <c r="K692" s="78"/>
      <c r="L692" s="78"/>
      <c r="M692" s="255"/>
      <c r="N692" s="255"/>
    </row>
    <row r="693" spans="1:14" s="55" customFormat="1" ht="10.95" customHeight="1" x14ac:dyDescent="0.2">
      <c r="B693" s="56" t="s">
        <v>793</v>
      </c>
      <c r="C693" s="55" t="s">
        <v>794</v>
      </c>
      <c r="E693" s="84"/>
      <c r="F693" s="84"/>
      <c r="G693" s="138">
        <v>0.1</v>
      </c>
      <c r="H693" s="132">
        <v>4</v>
      </c>
      <c r="I693" s="132">
        <v>10</v>
      </c>
      <c r="J693" s="135">
        <v>56.2</v>
      </c>
      <c r="K693" s="78"/>
      <c r="L693" s="78"/>
      <c r="M693" s="255"/>
      <c r="N693" s="255"/>
    </row>
    <row r="694" spans="1:14" s="55" customFormat="1" ht="10.95" customHeight="1" x14ac:dyDescent="0.2">
      <c r="A694" s="80"/>
      <c r="B694" s="56" t="s">
        <v>795</v>
      </c>
      <c r="C694" s="56" t="s">
        <v>796</v>
      </c>
      <c r="G694" s="138">
        <v>0.1</v>
      </c>
      <c r="H694" s="132">
        <v>2</v>
      </c>
      <c r="I694" s="132">
        <v>10</v>
      </c>
      <c r="J694" s="135">
        <v>66.900000000000006</v>
      </c>
      <c r="K694" s="78"/>
      <c r="L694" s="78"/>
      <c r="M694" s="255"/>
      <c r="N694" s="255"/>
    </row>
    <row r="695" spans="1:14" s="55" customFormat="1" ht="3" customHeight="1" x14ac:dyDescent="0.2">
      <c r="G695" s="85"/>
      <c r="H695" s="108"/>
      <c r="I695" s="79"/>
      <c r="J695" s="171"/>
      <c r="K695" s="78"/>
      <c r="L695" s="78"/>
      <c r="M695" s="255"/>
      <c r="N695" s="255"/>
    </row>
    <row r="696" spans="1:14" s="55" customFormat="1" ht="10.95" customHeight="1" x14ac:dyDescent="0.2">
      <c r="A696" s="302">
        <v>12.3</v>
      </c>
      <c r="B696" s="80" t="s">
        <v>797</v>
      </c>
      <c r="C696" s="79"/>
      <c r="D696" s="219"/>
      <c r="E696" s="219"/>
      <c r="F696" s="219"/>
      <c r="G696" s="138">
        <v>2.2999999999999998</v>
      </c>
      <c r="H696" s="132">
        <v>65</v>
      </c>
      <c r="I696" s="132">
        <v>130</v>
      </c>
      <c r="J696" s="135">
        <v>16.399999999999999</v>
      </c>
      <c r="K696" s="78"/>
      <c r="L696" s="78"/>
      <c r="M696" s="255"/>
      <c r="N696" s="255"/>
    </row>
    <row r="697" spans="1:14" s="55" customFormat="1" ht="10.95" customHeight="1" x14ac:dyDescent="0.2">
      <c r="B697" s="56" t="s">
        <v>798</v>
      </c>
      <c r="C697" s="55" t="s">
        <v>799</v>
      </c>
      <c r="E697" s="84"/>
      <c r="F697" s="84"/>
      <c r="G697" s="138" t="s">
        <v>1009</v>
      </c>
      <c r="H697" s="132">
        <v>1</v>
      </c>
      <c r="I697" s="132">
        <v>0</v>
      </c>
      <c r="J697" s="135">
        <v>94.4</v>
      </c>
      <c r="K697" s="78"/>
      <c r="L697" s="78"/>
      <c r="M697" s="255"/>
      <c r="N697" s="255"/>
    </row>
    <row r="698" spans="1:14" s="55" customFormat="1" ht="10.95" customHeight="1" x14ac:dyDescent="0.2">
      <c r="B698" s="56" t="s">
        <v>800</v>
      </c>
      <c r="C698" s="55" t="s">
        <v>801</v>
      </c>
      <c r="E698" s="84"/>
      <c r="F698" s="84"/>
      <c r="G698" s="138">
        <v>0.5</v>
      </c>
      <c r="H698" s="132">
        <v>15</v>
      </c>
      <c r="I698" s="132">
        <v>20</v>
      </c>
      <c r="J698" s="135">
        <v>50.7</v>
      </c>
      <c r="K698" s="78"/>
      <c r="L698" s="78"/>
      <c r="M698" s="255"/>
      <c r="N698" s="255"/>
    </row>
    <row r="699" spans="1:14" s="55" customFormat="1" ht="10.95" customHeight="1" x14ac:dyDescent="0.2">
      <c r="B699" s="56" t="s">
        <v>802</v>
      </c>
      <c r="C699" s="55" t="s">
        <v>803</v>
      </c>
      <c r="E699" s="84"/>
      <c r="F699" s="84"/>
      <c r="G699" s="138">
        <v>0.8</v>
      </c>
      <c r="H699" s="132">
        <v>23</v>
      </c>
      <c r="I699" s="132">
        <v>50</v>
      </c>
      <c r="J699" s="135">
        <v>18.399999999999999</v>
      </c>
      <c r="K699" s="78"/>
      <c r="L699" s="78"/>
      <c r="M699" s="255"/>
      <c r="N699" s="255"/>
    </row>
    <row r="700" spans="1:14" s="55" customFormat="1" ht="10.95" customHeight="1" x14ac:dyDescent="0.2">
      <c r="B700" s="56" t="s">
        <v>804</v>
      </c>
      <c r="C700" s="55" t="s">
        <v>805</v>
      </c>
      <c r="E700" s="84"/>
      <c r="F700" s="84"/>
      <c r="G700" s="138">
        <v>0.9</v>
      </c>
      <c r="H700" s="132">
        <v>26</v>
      </c>
      <c r="I700" s="132">
        <v>70</v>
      </c>
      <c r="J700" s="135">
        <v>21.5</v>
      </c>
      <c r="K700" s="78"/>
      <c r="L700" s="78"/>
      <c r="M700" s="255"/>
      <c r="N700" s="255"/>
    </row>
    <row r="701" spans="1:14" s="55" customFormat="1" ht="4.2" customHeight="1" x14ac:dyDescent="0.15">
      <c r="A701" s="557"/>
      <c r="B701" s="555"/>
      <c r="C701" s="555"/>
      <c r="D701" s="557"/>
      <c r="E701" s="557"/>
      <c r="F701" s="557"/>
      <c r="G701" s="559"/>
      <c r="H701" s="560"/>
      <c r="I701" s="561"/>
      <c r="J701" s="613"/>
      <c r="K701" s="208"/>
      <c r="L701" s="269"/>
    </row>
    <row r="702" spans="1:14" s="55" customFormat="1" ht="4.2" customHeight="1" x14ac:dyDescent="0.15">
      <c r="G702" s="563"/>
      <c r="H702" s="250"/>
      <c r="K702" s="208"/>
      <c r="L702" s="269"/>
    </row>
    <row r="703" spans="1:14" ht="10.95" customHeight="1" x14ac:dyDescent="0.2">
      <c r="A703" s="157" t="s">
        <v>111</v>
      </c>
      <c r="B703" s="56"/>
      <c r="C703" s="56"/>
      <c r="D703" s="55"/>
      <c r="E703" s="137"/>
      <c r="F703" s="142"/>
      <c r="G703" s="241"/>
      <c r="H703" s="242"/>
      <c r="K703" s="208"/>
      <c r="L703" s="269"/>
    </row>
    <row r="704" spans="1:14" ht="10.95" customHeight="1" x14ac:dyDescent="0.2">
      <c r="A704" s="157" t="s">
        <v>182</v>
      </c>
      <c r="B704" s="56"/>
      <c r="C704" s="56"/>
      <c r="D704" s="55"/>
      <c r="E704" s="137"/>
      <c r="F704" s="142"/>
      <c r="G704" s="241"/>
      <c r="H704" s="242"/>
      <c r="K704" s="208"/>
      <c r="L704" s="269"/>
    </row>
    <row r="705" spans="1:12" ht="10.95" customHeight="1" x14ac:dyDescent="0.2">
      <c r="A705" s="157" t="s">
        <v>112</v>
      </c>
      <c r="B705" s="56"/>
      <c r="C705" s="56"/>
      <c r="D705" s="55"/>
      <c r="E705" s="137"/>
      <c r="F705" s="142"/>
      <c r="G705" s="241"/>
      <c r="H705" s="242"/>
      <c r="K705" s="208"/>
      <c r="L705" s="269"/>
    </row>
    <row r="706" spans="1:12" ht="10.95" customHeight="1" x14ac:dyDescent="0.15">
      <c r="K706" s="208"/>
      <c r="L706" s="269"/>
    </row>
    <row r="707" spans="1:12" ht="10.95" customHeight="1" x14ac:dyDescent="0.15">
      <c r="K707" s="208"/>
      <c r="L707" s="269"/>
    </row>
    <row r="708" spans="1:12" ht="10.95" customHeight="1" x14ac:dyDescent="0.15">
      <c r="K708" s="208"/>
      <c r="L708" s="269"/>
    </row>
    <row r="709" spans="1:12" ht="10.95" customHeight="1" x14ac:dyDescent="0.15">
      <c r="K709" s="208"/>
      <c r="L709" s="269"/>
    </row>
    <row r="710" spans="1:12" s="143" customFormat="1" ht="15.75" customHeight="1" x14ac:dyDescent="0.2">
      <c r="A710" s="159" t="s">
        <v>114</v>
      </c>
      <c r="G710" s="241"/>
      <c r="H710" s="308"/>
      <c r="K710" s="208"/>
      <c r="L710" s="269"/>
    </row>
    <row r="711" spans="1:12" s="31" customFormat="1" ht="20.25" customHeight="1" x14ac:dyDescent="0.3">
      <c r="A711" s="160" t="s">
        <v>183</v>
      </c>
      <c r="B711" s="161"/>
      <c r="D711" s="32"/>
      <c r="E711" s="32"/>
      <c r="F711" s="33"/>
      <c r="G711" s="551"/>
      <c r="H711" s="35"/>
      <c r="I711" s="36"/>
      <c r="J711" s="246"/>
      <c r="K711" s="208"/>
      <c r="L711" s="269"/>
    </row>
    <row r="712" spans="1:12" s="31" customFormat="1" ht="15.75" customHeight="1" x14ac:dyDescent="0.25">
      <c r="A712" s="41" t="s">
        <v>1359</v>
      </c>
      <c r="B712" s="168"/>
      <c r="C712" s="43"/>
      <c r="D712" s="44"/>
      <c r="E712" s="32"/>
      <c r="F712" s="33"/>
      <c r="G712" s="551"/>
      <c r="H712" s="35"/>
      <c r="I712" s="36"/>
      <c r="J712" s="246"/>
      <c r="K712" s="208"/>
      <c r="L712" s="269"/>
    </row>
    <row r="713" spans="1:12" ht="4.2" customHeight="1" x14ac:dyDescent="0.15">
      <c r="A713" s="564"/>
      <c r="B713" s="564"/>
      <c r="C713" s="565"/>
      <c r="D713" s="566"/>
      <c r="E713" s="566"/>
      <c r="F713" s="566"/>
      <c r="G713" s="567"/>
      <c r="H713" s="572"/>
      <c r="I713" s="573"/>
      <c r="J713" s="570"/>
      <c r="K713" s="208"/>
      <c r="L713" s="269"/>
    </row>
    <row r="714" spans="1:12" s="55" customFormat="1" ht="4.2" customHeight="1" x14ac:dyDescent="0.15">
      <c r="A714" s="81"/>
      <c r="B714" s="81"/>
      <c r="D714" s="84"/>
      <c r="E714" s="84"/>
      <c r="F714" s="84"/>
      <c r="G714" s="563"/>
      <c r="H714" s="250"/>
      <c r="I714" s="251"/>
      <c r="J714" s="252"/>
      <c r="K714" s="208"/>
      <c r="L714" s="269"/>
    </row>
    <row r="715" spans="1:12" s="180" customFormat="1" ht="10.95" customHeight="1" x14ac:dyDescent="0.15">
      <c r="A715" s="172"/>
      <c r="B715" s="172"/>
      <c r="C715" s="173"/>
      <c r="D715" s="174"/>
      <c r="E715" s="174"/>
      <c r="F715" s="59"/>
      <c r="G715" s="60" t="s">
        <v>116</v>
      </c>
      <c r="H715" s="61" t="s">
        <v>25</v>
      </c>
      <c r="I715" s="62" t="s">
        <v>26</v>
      </c>
      <c r="J715" s="63" t="s">
        <v>117</v>
      </c>
      <c r="K715" s="208"/>
      <c r="L715" s="269"/>
    </row>
    <row r="716" spans="1:12" s="180" customFormat="1" ht="10.95" customHeight="1" x14ac:dyDescent="0.15">
      <c r="A716" s="172"/>
      <c r="B716" s="172"/>
      <c r="C716" s="181"/>
      <c r="D716" s="174"/>
      <c r="E716" s="174"/>
      <c r="F716" s="59"/>
      <c r="G716" s="67" t="s">
        <v>29</v>
      </c>
      <c r="H716" s="61" t="s">
        <v>27</v>
      </c>
      <c r="I716" s="62" t="s">
        <v>28</v>
      </c>
      <c r="J716" s="63" t="s">
        <v>118</v>
      </c>
      <c r="K716" s="208"/>
      <c r="L716" s="269"/>
    </row>
    <row r="717" spans="1:12" s="180" customFormat="1" ht="10.95" customHeight="1" x14ac:dyDescent="0.15">
      <c r="A717" s="172"/>
      <c r="B717" s="172"/>
      <c r="C717" s="181"/>
      <c r="D717" s="174"/>
      <c r="E717" s="174"/>
      <c r="F717" s="59"/>
      <c r="G717" s="60" t="s">
        <v>31</v>
      </c>
      <c r="H717" s="61" t="s">
        <v>29</v>
      </c>
      <c r="I717" s="62" t="s">
        <v>30</v>
      </c>
      <c r="J717" s="69" t="s">
        <v>119</v>
      </c>
      <c r="K717" s="208"/>
      <c r="L717" s="269"/>
    </row>
    <row r="718" spans="1:12" s="180" customFormat="1" ht="10.95" customHeight="1" x14ac:dyDescent="0.15">
      <c r="A718" s="172"/>
      <c r="B718" s="172"/>
      <c r="C718" s="181"/>
      <c r="D718" s="174"/>
      <c r="E718" s="174"/>
      <c r="F718" s="59"/>
      <c r="G718" s="67" t="s">
        <v>32</v>
      </c>
      <c r="H718" s="61" t="s">
        <v>33</v>
      </c>
      <c r="I718" s="62" t="s">
        <v>120</v>
      </c>
      <c r="J718" s="70" t="s">
        <v>121</v>
      </c>
      <c r="K718" s="208"/>
      <c r="L718" s="269"/>
    </row>
    <row r="719" spans="1:12" ht="4.2" customHeight="1" x14ac:dyDescent="0.15">
      <c r="A719" s="564"/>
      <c r="B719" s="564"/>
      <c r="C719" s="565"/>
      <c r="D719" s="566"/>
      <c r="E719" s="566"/>
      <c r="F719" s="566"/>
      <c r="G719" s="567"/>
      <c r="H719" s="572"/>
      <c r="I719" s="573"/>
      <c r="J719" s="566"/>
      <c r="K719" s="208"/>
      <c r="L719" s="269"/>
    </row>
    <row r="720" spans="1:12" ht="4.2" customHeight="1" x14ac:dyDescent="0.15">
      <c r="B720" s="81"/>
      <c r="C720" s="82"/>
      <c r="D720" s="83"/>
      <c r="E720" s="83"/>
      <c r="F720" s="84"/>
      <c r="H720" s="86"/>
      <c r="I720" s="87"/>
      <c r="J720" s="83"/>
      <c r="K720" s="208"/>
      <c r="L720" s="269"/>
    </row>
    <row r="721" spans="1:14" s="93" customFormat="1" ht="10.95" customHeight="1" x14ac:dyDescent="0.15">
      <c r="A721" s="111" t="s">
        <v>123</v>
      </c>
      <c r="B721" s="112"/>
      <c r="C721" s="113"/>
      <c r="F721" s="114" t="s">
        <v>124</v>
      </c>
      <c r="G721" s="575"/>
      <c r="H721" s="116"/>
      <c r="I721" s="117"/>
      <c r="K721" s="208"/>
      <c r="L721" s="270"/>
    </row>
    <row r="722" spans="1:14" s="128" customFormat="1" ht="4.2" customHeight="1" x14ac:dyDescent="0.15">
      <c r="A722" s="186"/>
      <c r="B722" s="186"/>
      <c r="C722" s="187"/>
      <c r="D722" s="79"/>
      <c r="E722" s="79"/>
      <c r="G722" s="85"/>
      <c r="H722" s="108"/>
      <c r="I722" s="109"/>
      <c r="J722" s="110"/>
      <c r="K722" s="208"/>
      <c r="L722" s="269"/>
    </row>
    <row r="723" spans="1:14" s="143" customFormat="1" ht="12.75" customHeight="1" x14ac:dyDescent="0.2">
      <c r="A723" s="188">
        <v>12</v>
      </c>
      <c r="B723" s="188" t="s">
        <v>806</v>
      </c>
      <c r="C723" s="309"/>
      <c r="D723" s="309"/>
      <c r="E723" s="309"/>
      <c r="G723" s="241"/>
      <c r="H723" s="308"/>
      <c r="J723" s="252"/>
      <c r="K723" s="208"/>
      <c r="L723" s="269"/>
    </row>
    <row r="724" spans="1:14" s="143" customFormat="1" ht="6" customHeight="1" x14ac:dyDescent="0.2">
      <c r="A724" s="55"/>
      <c r="B724" s="56"/>
      <c r="C724" s="56"/>
      <c r="D724" s="55"/>
      <c r="E724" s="84"/>
      <c r="F724" s="84"/>
      <c r="G724" s="563"/>
      <c r="H724" s="250"/>
      <c r="I724" s="251"/>
      <c r="J724" s="252"/>
      <c r="K724" s="208"/>
      <c r="L724" s="269"/>
    </row>
    <row r="725" spans="1:14" ht="10.95" customHeight="1" x14ac:dyDescent="0.2">
      <c r="A725" s="302">
        <v>12.4</v>
      </c>
      <c r="B725" s="80" t="s">
        <v>807</v>
      </c>
      <c r="G725" s="138">
        <v>18.100000000000001</v>
      </c>
      <c r="H725" s="132">
        <v>515</v>
      </c>
      <c r="I725" s="132">
        <v>5210</v>
      </c>
      <c r="J725" s="135">
        <v>1.8</v>
      </c>
      <c r="K725" s="128"/>
      <c r="L725" s="128"/>
      <c r="M725" s="255"/>
      <c r="N725" s="255"/>
    </row>
    <row r="726" spans="1:14" s="55" customFormat="1" ht="10.95" customHeight="1" x14ac:dyDescent="0.2">
      <c r="B726" s="56" t="s">
        <v>808</v>
      </c>
      <c r="C726" s="56" t="s">
        <v>809</v>
      </c>
      <c r="E726" s="84"/>
      <c r="F726" s="84"/>
      <c r="G726" s="138">
        <v>5</v>
      </c>
      <c r="H726" s="132">
        <v>143</v>
      </c>
      <c r="I726" s="132">
        <v>4630</v>
      </c>
      <c r="J726" s="135">
        <v>2.2999999999999998</v>
      </c>
      <c r="K726" s="128"/>
      <c r="L726" s="128"/>
      <c r="M726" s="255"/>
      <c r="N726" s="255"/>
    </row>
    <row r="727" spans="1:14" s="55" customFormat="1" ht="10.95" customHeight="1" x14ac:dyDescent="0.2">
      <c r="B727" s="56"/>
      <c r="C727" s="56" t="s">
        <v>810</v>
      </c>
      <c r="D727" s="55" t="s">
        <v>811</v>
      </c>
      <c r="E727" s="84"/>
      <c r="F727" s="84"/>
      <c r="G727" s="138">
        <v>2.2999999999999998</v>
      </c>
      <c r="H727" s="132">
        <v>67</v>
      </c>
      <c r="I727" s="132">
        <v>3900</v>
      </c>
      <c r="J727" s="135">
        <v>2.7</v>
      </c>
      <c r="K727" s="128"/>
      <c r="L727" s="128"/>
      <c r="M727" s="255"/>
      <c r="N727" s="255"/>
    </row>
    <row r="728" spans="1:14" s="55" customFormat="1" ht="10.95" customHeight="1" x14ac:dyDescent="0.2">
      <c r="B728" s="56"/>
      <c r="C728" s="56" t="s">
        <v>812</v>
      </c>
      <c r="D728" s="55" t="s">
        <v>813</v>
      </c>
      <c r="E728" s="84"/>
      <c r="F728" s="84"/>
      <c r="G728" s="138">
        <v>2.2999999999999998</v>
      </c>
      <c r="H728" s="132">
        <v>66</v>
      </c>
      <c r="I728" s="132">
        <v>4440</v>
      </c>
      <c r="J728" s="135">
        <v>2.6</v>
      </c>
      <c r="K728" s="128"/>
      <c r="L728" s="128"/>
      <c r="M728" s="255"/>
      <c r="N728" s="255"/>
    </row>
    <row r="729" spans="1:14" s="55" customFormat="1" ht="10.95" customHeight="1" x14ac:dyDescent="0.2">
      <c r="B729" s="56"/>
      <c r="C729" s="56" t="s">
        <v>814</v>
      </c>
      <c r="D729" s="55" t="s">
        <v>815</v>
      </c>
      <c r="E729" s="84"/>
      <c r="F729" s="84"/>
      <c r="G729" s="138">
        <v>0.4</v>
      </c>
      <c r="H729" s="132">
        <v>10</v>
      </c>
      <c r="I729" s="132">
        <v>540</v>
      </c>
      <c r="J729" s="135">
        <v>2.8</v>
      </c>
      <c r="K729" s="128"/>
      <c r="L729" s="128"/>
      <c r="M729" s="255"/>
      <c r="N729" s="255"/>
    </row>
    <row r="730" spans="1:14" s="55" customFormat="1" ht="3" customHeight="1" x14ac:dyDescent="0.15">
      <c r="B730" s="56"/>
      <c r="C730" s="56"/>
      <c r="E730" s="84"/>
      <c r="F730" s="84"/>
      <c r="G730" s="85"/>
      <c r="H730" s="108"/>
      <c r="I730" s="109"/>
      <c r="J730" s="171"/>
      <c r="K730" s="128"/>
      <c r="L730" s="128"/>
      <c r="M730" s="255"/>
      <c r="N730" s="255"/>
    </row>
    <row r="731" spans="1:14" s="55" customFormat="1" ht="10.95" customHeight="1" x14ac:dyDescent="0.2">
      <c r="B731" s="56" t="s">
        <v>816</v>
      </c>
      <c r="C731" s="56" t="s">
        <v>817</v>
      </c>
      <c r="E731" s="84"/>
      <c r="F731" s="84"/>
      <c r="G731" s="138">
        <v>2.5</v>
      </c>
      <c r="H731" s="132">
        <v>70</v>
      </c>
      <c r="I731" s="132">
        <v>950</v>
      </c>
      <c r="J731" s="135">
        <v>7.4</v>
      </c>
      <c r="K731" s="128"/>
      <c r="L731" s="128"/>
      <c r="M731" s="255"/>
      <c r="N731" s="255"/>
    </row>
    <row r="732" spans="1:14" s="55" customFormat="1" ht="3" customHeight="1" x14ac:dyDescent="0.15">
      <c r="B732" s="56"/>
      <c r="C732" s="56"/>
      <c r="E732" s="84"/>
      <c r="F732" s="84"/>
      <c r="G732" s="85"/>
      <c r="H732" s="108"/>
      <c r="I732" s="109"/>
      <c r="J732" s="171"/>
      <c r="K732" s="128"/>
      <c r="L732" s="128"/>
      <c r="M732" s="255"/>
      <c r="N732" s="255"/>
    </row>
    <row r="733" spans="1:14" s="55" customFormat="1" ht="10.95" customHeight="1" x14ac:dyDescent="0.2">
      <c r="B733" s="56" t="s">
        <v>818</v>
      </c>
      <c r="C733" s="56" t="s">
        <v>819</v>
      </c>
      <c r="E733" s="84"/>
      <c r="F733" s="84"/>
      <c r="G733" s="138">
        <v>10.3</v>
      </c>
      <c r="H733" s="132">
        <v>293</v>
      </c>
      <c r="I733" s="132">
        <v>4570</v>
      </c>
      <c r="J733" s="135">
        <v>1.8</v>
      </c>
      <c r="K733" s="128"/>
      <c r="L733" s="128"/>
      <c r="M733" s="255"/>
      <c r="N733" s="255"/>
    </row>
    <row r="734" spans="1:14" s="55" customFormat="1" ht="10.95" customHeight="1" x14ac:dyDescent="0.2">
      <c r="B734" s="56"/>
      <c r="C734" s="56" t="s">
        <v>820</v>
      </c>
      <c r="D734" s="55" t="s">
        <v>821</v>
      </c>
      <c r="E734" s="84"/>
      <c r="F734" s="84"/>
      <c r="G734" s="138">
        <v>10.3</v>
      </c>
      <c r="H734" s="132">
        <v>293</v>
      </c>
      <c r="I734" s="132">
        <v>4570</v>
      </c>
      <c r="J734" s="135">
        <v>1.8</v>
      </c>
      <c r="K734" s="128"/>
      <c r="L734" s="128"/>
      <c r="M734" s="255"/>
      <c r="N734" s="255"/>
    </row>
    <row r="735" spans="1:14" s="55" customFormat="1" ht="10.95" customHeight="1" x14ac:dyDescent="0.2">
      <c r="B735" s="56"/>
      <c r="C735" s="56" t="s">
        <v>822</v>
      </c>
      <c r="D735" s="55" t="s">
        <v>823</v>
      </c>
      <c r="E735" s="84"/>
      <c r="F735" s="84"/>
      <c r="G735" s="138">
        <v>0</v>
      </c>
      <c r="H735" s="132">
        <v>0</v>
      </c>
      <c r="I735" s="132">
        <v>0</v>
      </c>
      <c r="J735" s="135">
        <v>97.9</v>
      </c>
      <c r="K735" s="128"/>
      <c r="L735" s="128"/>
      <c r="M735" s="255"/>
      <c r="N735" s="255"/>
    </row>
    <row r="736" spans="1:14" s="55" customFormat="1" ht="3" customHeight="1" x14ac:dyDescent="0.15">
      <c r="A736" s="56"/>
      <c r="B736" s="56"/>
      <c r="D736" s="84"/>
      <c r="E736" s="84"/>
      <c r="F736" s="84"/>
      <c r="G736" s="85"/>
      <c r="H736" s="108"/>
      <c r="I736" s="109"/>
      <c r="J736" s="171"/>
      <c r="K736" s="128"/>
      <c r="L736" s="128"/>
      <c r="M736" s="255"/>
      <c r="N736" s="255"/>
    </row>
    <row r="737" spans="1:14" s="55" customFormat="1" ht="10.95" customHeight="1" x14ac:dyDescent="0.2">
      <c r="B737" s="56" t="s">
        <v>824</v>
      </c>
      <c r="C737" s="56" t="s">
        <v>825</v>
      </c>
      <c r="E737" s="84"/>
      <c r="F737" s="84"/>
      <c r="G737" s="138">
        <v>0.3</v>
      </c>
      <c r="H737" s="132">
        <v>9</v>
      </c>
      <c r="I737" s="132">
        <v>410</v>
      </c>
      <c r="J737" s="135">
        <v>10.6</v>
      </c>
      <c r="K737" s="128"/>
      <c r="L737" s="128"/>
      <c r="M737" s="255"/>
      <c r="N737" s="255"/>
    </row>
    <row r="738" spans="1:14" s="55" customFormat="1" ht="3" customHeight="1" x14ac:dyDescent="0.15">
      <c r="B738" s="56"/>
      <c r="E738" s="84"/>
      <c r="F738" s="84"/>
      <c r="G738" s="85"/>
      <c r="H738" s="108"/>
      <c r="I738" s="79"/>
      <c r="J738" s="231"/>
      <c r="K738" s="128"/>
      <c r="L738" s="128"/>
      <c r="M738" s="255"/>
      <c r="N738" s="255"/>
    </row>
    <row r="739" spans="1:14" s="55" customFormat="1" ht="10.95" customHeight="1" x14ac:dyDescent="0.2">
      <c r="A739" s="302">
        <v>12.5</v>
      </c>
      <c r="B739" s="80" t="s">
        <v>432</v>
      </c>
      <c r="E739" s="84"/>
      <c r="F739" s="84"/>
      <c r="G739" s="138">
        <v>5.6</v>
      </c>
      <c r="H739" s="132">
        <v>161</v>
      </c>
      <c r="I739" s="132">
        <v>2010</v>
      </c>
      <c r="J739" s="135">
        <v>7.3</v>
      </c>
      <c r="K739" s="128"/>
      <c r="L739" s="128"/>
      <c r="M739" s="255"/>
      <c r="N739" s="255"/>
    </row>
    <row r="740" spans="1:14" ht="10.95" customHeight="1" x14ac:dyDescent="0.2">
      <c r="B740" s="56" t="s">
        <v>826</v>
      </c>
      <c r="C740" s="56" t="s">
        <v>827</v>
      </c>
      <c r="G740" s="138">
        <v>2.9</v>
      </c>
      <c r="H740" s="132">
        <v>82</v>
      </c>
      <c r="I740" s="132">
        <v>310</v>
      </c>
      <c r="J740" s="135">
        <v>9.1999999999999993</v>
      </c>
      <c r="K740" s="128"/>
      <c r="L740" s="128"/>
      <c r="M740" s="255"/>
      <c r="N740" s="255"/>
    </row>
    <row r="741" spans="1:14" ht="10.95" customHeight="1" x14ac:dyDescent="0.2">
      <c r="A741" s="79"/>
      <c r="B741" s="79"/>
      <c r="C741" s="56" t="s">
        <v>828</v>
      </c>
      <c r="D741" s="55" t="s">
        <v>829</v>
      </c>
      <c r="G741" s="138">
        <v>0.5</v>
      </c>
      <c r="H741" s="132">
        <v>15</v>
      </c>
      <c r="I741" s="132">
        <v>180</v>
      </c>
      <c r="J741" s="135">
        <v>12</v>
      </c>
      <c r="K741" s="128"/>
      <c r="L741" s="128"/>
      <c r="M741" s="255"/>
      <c r="N741" s="255"/>
    </row>
    <row r="742" spans="1:14" s="55" customFormat="1" ht="10.95" customHeight="1" x14ac:dyDescent="0.2">
      <c r="C742" s="56" t="s">
        <v>830</v>
      </c>
      <c r="D742" s="55" t="s">
        <v>831</v>
      </c>
      <c r="E742" s="84"/>
      <c r="F742" s="84"/>
      <c r="G742" s="138">
        <v>1.2</v>
      </c>
      <c r="H742" s="132">
        <v>34</v>
      </c>
      <c r="I742" s="132">
        <v>100</v>
      </c>
      <c r="J742" s="135">
        <v>12.4</v>
      </c>
      <c r="K742" s="128"/>
      <c r="L742" s="128"/>
      <c r="M742" s="255"/>
      <c r="N742" s="255"/>
    </row>
    <row r="743" spans="1:14" s="55" customFormat="1" ht="10.95" customHeight="1" x14ac:dyDescent="0.2">
      <c r="B743" s="56"/>
      <c r="C743" s="56" t="s">
        <v>832</v>
      </c>
      <c r="D743" s="55" t="s">
        <v>833</v>
      </c>
      <c r="E743" s="84"/>
      <c r="F743" s="84"/>
      <c r="G743" s="138">
        <v>0.5</v>
      </c>
      <c r="H743" s="132">
        <v>14</v>
      </c>
      <c r="I743" s="132">
        <v>40</v>
      </c>
      <c r="J743" s="135">
        <v>20.8</v>
      </c>
      <c r="K743" s="128"/>
      <c r="L743" s="128"/>
      <c r="M743" s="255"/>
      <c r="N743" s="255"/>
    </row>
    <row r="744" spans="1:14" s="55" customFormat="1" ht="10.95" customHeight="1" x14ac:dyDescent="0.2">
      <c r="B744" s="56"/>
      <c r="C744" s="56" t="s">
        <v>834</v>
      </c>
      <c r="D744" s="55" t="s">
        <v>835</v>
      </c>
      <c r="E744" s="84"/>
      <c r="F744" s="84"/>
      <c r="G744" s="138">
        <v>0.5</v>
      </c>
      <c r="H744" s="132">
        <v>13</v>
      </c>
      <c r="I744" s="132">
        <v>70</v>
      </c>
      <c r="J744" s="135">
        <v>14.4</v>
      </c>
      <c r="K744" s="128"/>
      <c r="L744" s="128"/>
      <c r="M744" s="255"/>
      <c r="N744" s="255"/>
    </row>
    <row r="745" spans="1:14" s="55" customFormat="1" ht="10.95" customHeight="1" x14ac:dyDescent="0.2">
      <c r="B745" s="56"/>
      <c r="C745" s="56" t="s">
        <v>836</v>
      </c>
      <c r="D745" s="55" t="s">
        <v>837</v>
      </c>
      <c r="E745" s="84"/>
      <c r="F745" s="84"/>
      <c r="G745" s="138">
        <v>0.2</v>
      </c>
      <c r="H745" s="132">
        <v>5</v>
      </c>
      <c r="I745" s="132">
        <v>50</v>
      </c>
      <c r="J745" s="135">
        <v>28.8</v>
      </c>
      <c r="K745" s="128"/>
      <c r="L745" s="128"/>
      <c r="M745" s="255"/>
      <c r="N745" s="255"/>
    </row>
    <row r="746" spans="1:14" s="55" customFormat="1" ht="3" customHeight="1" x14ac:dyDescent="0.15">
      <c r="B746" s="56"/>
      <c r="E746" s="84"/>
      <c r="F746" s="84"/>
      <c r="G746" s="85"/>
      <c r="H746" s="108"/>
      <c r="I746" s="79"/>
      <c r="J746" s="231"/>
      <c r="K746" s="128"/>
      <c r="L746" s="128"/>
      <c r="M746" s="255"/>
      <c r="N746" s="255"/>
    </row>
    <row r="747" spans="1:14" s="55" customFormat="1" ht="10.95" customHeight="1" x14ac:dyDescent="0.2">
      <c r="B747" s="56" t="s">
        <v>838</v>
      </c>
      <c r="C747" s="56" t="s">
        <v>839</v>
      </c>
      <c r="E747" s="84"/>
      <c r="F747" s="84"/>
      <c r="G747" s="138">
        <v>0.5</v>
      </c>
      <c r="H747" s="132">
        <v>15</v>
      </c>
      <c r="I747" s="132">
        <v>1340</v>
      </c>
      <c r="J747" s="135">
        <v>4.7</v>
      </c>
      <c r="K747" s="128"/>
      <c r="L747" s="128"/>
      <c r="M747" s="255"/>
      <c r="N747" s="255"/>
    </row>
    <row r="748" spans="1:14" s="55" customFormat="1" ht="10.95" customHeight="1" x14ac:dyDescent="0.2">
      <c r="B748" s="56"/>
      <c r="C748" s="55" t="s">
        <v>840</v>
      </c>
      <c r="D748" s="55" t="s">
        <v>841</v>
      </c>
      <c r="E748" s="84"/>
      <c r="F748" s="84"/>
      <c r="G748" s="138">
        <v>0.5</v>
      </c>
      <c r="H748" s="132">
        <v>13</v>
      </c>
      <c r="I748" s="132">
        <v>1220</v>
      </c>
      <c r="J748" s="135">
        <v>4.8</v>
      </c>
      <c r="K748" s="128"/>
      <c r="L748" s="128"/>
      <c r="M748" s="255"/>
      <c r="N748" s="255"/>
    </row>
    <row r="749" spans="1:14" s="55" customFormat="1" ht="10.95" customHeight="1" x14ac:dyDescent="0.2">
      <c r="B749" s="56"/>
      <c r="C749" s="55" t="s">
        <v>842</v>
      </c>
      <c r="D749" s="55" t="s">
        <v>843</v>
      </c>
      <c r="E749" s="84"/>
      <c r="F749" s="84"/>
      <c r="G749" s="138" t="s">
        <v>1009</v>
      </c>
      <c r="H749" s="132">
        <v>0</v>
      </c>
      <c r="I749" s="132">
        <v>0</v>
      </c>
      <c r="J749" s="135">
        <v>78.3</v>
      </c>
      <c r="K749" s="128"/>
      <c r="L749" s="128"/>
      <c r="M749" s="255"/>
      <c r="N749" s="255"/>
    </row>
    <row r="750" spans="1:14" s="55" customFormat="1" ht="10.95" customHeight="1" x14ac:dyDescent="0.2">
      <c r="B750" s="56"/>
      <c r="C750" s="55" t="s">
        <v>844</v>
      </c>
      <c r="D750" s="55" t="s">
        <v>845</v>
      </c>
      <c r="E750" s="84"/>
      <c r="F750" s="84"/>
      <c r="G750" s="138">
        <v>0.1</v>
      </c>
      <c r="H750" s="132">
        <v>2</v>
      </c>
      <c r="I750" s="132">
        <v>220</v>
      </c>
      <c r="J750" s="135">
        <v>12.7</v>
      </c>
      <c r="K750" s="128"/>
      <c r="L750" s="128"/>
      <c r="M750" s="255"/>
      <c r="N750" s="255"/>
    </row>
    <row r="751" spans="1:14" s="55" customFormat="1" ht="10.95" customHeight="1" x14ac:dyDescent="0.2">
      <c r="B751" s="56"/>
      <c r="C751" s="55" t="s">
        <v>846</v>
      </c>
      <c r="D751" s="55" t="s">
        <v>847</v>
      </c>
      <c r="E751" s="84"/>
      <c r="F751" s="84"/>
      <c r="G751" s="138">
        <v>0</v>
      </c>
      <c r="H751" s="132">
        <v>0</v>
      </c>
      <c r="I751" s="132">
        <v>0</v>
      </c>
      <c r="J751" s="135">
        <v>0</v>
      </c>
      <c r="K751" s="128"/>
      <c r="L751" s="128"/>
      <c r="M751" s="255"/>
      <c r="N751" s="255"/>
    </row>
    <row r="752" spans="1:14" s="55" customFormat="1" ht="3" customHeight="1" x14ac:dyDescent="0.15">
      <c r="B752" s="56"/>
      <c r="C752" s="56"/>
      <c r="E752" s="84"/>
      <c r="F752" s="84"/>
      <c r="G752" s="85"/>
      <c r="H752" s="108"/>
      <c r="I752" s="118"/>
      <c r="J752" s="171"/>
      <c r="K752" s="128"/>
      <c r="L752" s="128"/>
      <c r="M752" s="255"/>
      <c r="N752" s="255"/>
    </row>
    <row r="753" spans="1:14" s="55" customFormat="1" ht="10.95" customHeight="1" x14ac:dyDescent="0.2">
      <c r="B753" s="56" t="s">
        <v>848</v>
      </c>
      <c r="C753" s="56" t="s">
        <v>849</v>
      </c>
      <c r="F753" s="84"/>
      <c r="G753" s="138">
        <v>2.2000000000000002</v>
      </c>
      <c r="H753" s="132">
        <v>64</v>
      </c>
      <c r="I753" s="132">
        <v>710</v>
      </c>
      <c r="J753" s="135">
        <v>14.1</v>
      </c>
      <c r="K753" s="128"/>
      <c r="L753" s="128"/>
      <c r="M753" s="255"/>
      <c r="N753" s="255"/>
    </row>
    <row r="754" spans="1:14" s="55" customFormat="1" ht="10.95" customHeight="1" x14ac:dyDescent="0.2">
      <c r="B754" s="56"/>
      <c r="C754" s="56" t="s">
        <v>850</v>
      </c>
      <c r="D754" s="55" t="s">
        <v>851</v>
      </c>
      <c r="E754" s="84"/>
      <c r="F754" s="84"/>
      <c r="G754" s="138">
        <v>0.5</v>
      </c>
      <c r="H754" s="132">
        <v>14</v>
      </c>
      <c r="I754" s="132">
        <v>40</v>
      </c>
      <c r="J754" s="135">
        <v>26.6</v>
      </c>
      <c r="K754" s="128"/>
      <c r="L754" s="128"/>
      <c r="M754" s="255"/>
      <c r="N754" s="255"/>
    </row>
    <row r="755" spans="1:14" s="55" customFormat="1" ht="10.95" customHeight="1" x14ac:dyDescent="0.2">
      <c r="B755" s="56"/>
      <c r="C755" s="56" t="s">
        <v>852</v>
      </c>
      <c r="D755" s="55" t="s">
        <v>853</v>
      </c>
      <c r="E755" s="84"/>
      <c r="F755" s="84"/>
      <c r="G755" s="138">
        <v>0.7</v>
      </c>
      <c r="H755" s="132">
        <v>19</v>
      </c>
      <c r="I755" s="132">
        <v>30</v>
      </c>
      <c r="J755" s="135">
        <v>29.1</v>
      </c>
      <c r="K755" s="128"/>
      <c r="L755" s="128"/>
      <c r="M755" s="255"/>
      <c r="N755" s="255"/>
    </row>
    <row r="756" spans="1:14" s="55" customFormat="1" ht="10.95" customHeight="1" x14ac:dyDescent="0.2">
      <c r="C756" s="56" t="s">
        <v>854</v>
      </c>
      <c r="D756" s="55" t="s">
        <v>855</v>
      </c>
      <c r="E756" s="84"/>
      <c r="F756" s="84"/>
      <c r="G756" s="138">
        <v>0.5</v>
      </c>
      <c r="H756" s="132">
        <v>13</v>
      </c>
      <c r="I756" s="132">
        <v>20</v>
      </c>
      <c r="J756" s="135">
        <v>43.4</v>
      </c>
      <c r="K756" s="128"/>
      <c r="L756" s="128"/>
      <c r="M756" s="255"/>
      <c r="N756" s="255"/>
    </row>
    <row r="757" spans="1:14" s="55" customFormat="1" ht="10.95" customHeight="1" x14ac:dyDescent="0.2">
      <c r="B757" s="56"/>
      <c r="C757" s="56" t="s">
        <v>856</v>
      </c>
      <c r="D757" s="55" t="s">
        <v>857</v>
      </c>
      <c r="E757" s="84"/>
      <c r="F757" s="84"/>
      <c r="G757" s="138">
        <v>0.5</v>
      </c>
      <c r="H757" s="132">
        <v>15</v>
      </c>
      <c r="I757" s="132">
        <v>600</v>
      </c>
      <c r="J757" s="135">
        <v>7.7</v>
      </c>
      <c r="K757" s="128"/>
      <c r="L757" s="128"/>
      <c r="M757" s="255"/>
      <c r="N757" s="255"/>
    </row>
    <row r="758" spans="1:14" s="55" customFormat="1" ht="10.95" customHeight="1" x14ac:dyDescent="0.2">
      <c r="B758" s="56"/>
      <c r="C758" s="56" t="s">
        <v>858</v>
      </c>
      <c r="D758" s="55" t="s">
        <v>859</v>
      </c>
      <c r="E758" s="84"/>
      <c r="F758" s="84"/>
      <c r="G758" s="138">
        <v>0.1</v>
      </c>
      <c r="H758" s="132">
        <v>3</v>
      </c>
      <c r="I758" s="132">
        <v>60</v>
      </c>
      <c r="J758" s="135">
        <v>32.6</v>
      </c>
      <c r="K758" s="128"/>
      <c r="L758" s="128"/>
      <c r="M758" s="255"/>
      <c r="N758" s="255"/>
    </row>
    <row r="759" spans="1:14" s="55" customFormat="1" ht="4.2" customHeight="1" x14ac:dyDescent="0.15">
      <c r="A759" s="557"/>
      <c r="B759" s="555"/>
      <c r="C759" s="555"/>
      <c r="D759" s="557"/>
      <c r="E759" s="558"/>
      <c r="F759" s="558"/>
      <c r="G759" s="567"/>
      <c r="H759" s="108"/>
      <c r="I759" s="573"/>
      <c r="J759" s="570"/>
      <c r="K759" s="128"/>
      <c r="L759" s="128"/>
      <c r="M759" s="255"/>
      <c r="N759" s="255"/>
    </row>
    <row r="760" spans="1:14" ht="4.2" customHeight="1" x14ac:dyDescent="0.15">
      <c r="H760" s="614"/>
      <c r="K760" s="128"/>
      <c r="L760" s="128"/>
      <c r="M760" s="255"/>
      <c r="N760" s="255"/>
    </row>
    <row r="761" spans="1:14" s="121" customFormat="1" ht="10.95" customHeight="1" x14ac:dyDescent="0.2">
      <c r="A761" s="119" t="s">
        <v>860</v>
      </c>
      <c r="B761" s="188" t="s">
        <v>19</v>
      </c>
      <c r="D761" s="259"/>
      <c r="E761" s="259"/>
      <c r="F761" s="259"/>
      <c r="G761" s="576">
        <v>455.7</v>
      </c>
      <c r="H761" s="124">
        <v>12987</v>
      </c>
      <c r="I761" s="124">
        <v>5630</v>
      </c>
      <c r="J761" s="125">
        <v>1.2</v>
      </c>
      <c r="K761" s="128"/>
      <c r="L761" s="128"/>
      <c r="M761" s="255"/>
      <c r="N761" s="255"/>
    </row>
    <row r="762" spans="1:14" ht="4.2" customHeight="1" x14ac:dyDescent="0.15">
      <c r="A762" s="564"/>
      <c r="B762" s="564"/>
      <c r="C762" s="565"/>
      <c r="D762" s="566"/>
      <c r="E762" s="566"/>
      <c r="F762" s="566"/>
      <c r="G762" s="567"/>
      <c r="H762" s="615"/>
      <c r="I762" s="573"/>
      <c r="J762" s="570"/>
      <c r="K762" s="128"/>
      <c r="L762" s="128"/>
      <c r="M762" s="255"/>
      <c r="N762" s="255"/>
    </row>
    <row r="763" spans="1:14" ht="4.2" customHeight="1" x14ac:dyDescent="0.15">
      <c r="H763" s="312"/>
      <c r="K763" s="128"/>
      <c r="L763" s="128"/>
      <c r="M763" s="255"/>
      <c r="N763" s="255"/>
    </row>
    <row r="764" spans="1:14" s="128" customFormat="1" ht="10.95" customHeight="1" x14ac:dyDescent="0.2">
      <c r="A764" s="188">
        <v>13</v>
      </c>
      <c r="B764" s="188" t="s">
        <v>20</v>
      </c>
      <c r="C764" s="121"/>
      <c r="D764" s="259"/>
      <c r="E764" s="259"/>
      <c r="F764" s="259"/>
      <c r="G764" s="576">
        <v>73.099999999999994</v>
      </c>
      <c r="H764" s="124">
        <v>2084</v>
      </c>
      <c r="I764" s="124">
        <v>5480</v>
      </c>
      <c r="J764" s="125">
        <v>2.7</v>
      </c>
      <c r="M764" s="255"/>
      <c r="N764" s="255"/>
    </row>
    <row r="765" spans="1:14" ht="6" customHeight="1" x14ac:dyDescent="0.15">
      <c r="G765" s="175"/>
      <c r="H765" s="314"/>
      <c r="I765" s="315"/>
      <c r="K765" s="128"/>
      <c r="L765" s="128"/>
      <c r="M765" s="255"/>
      <c r="N765" s="255"/>
    </row>
    <row r="766" spans="1:14" ht="10.95" customHeight="1" x14ac:dyDescent="0.2">
      <c r="A766" s="302">
        <v>13.1</v>
      </c>
      <c r="B766" s="80" t="s">
        <v>861</v>
      </c>
      <c r="G766" s="138">
        <v>52.5</v>
      </c>
      <c r="H766" s="132">
        <v>1496</v>
      </c>
      <c r="I766" s="132">
        <v>5300</v>
      </c>
      <c r="J766" s="135">
        <v>1.7</v>
      </c>
      <c r="K766" s="128"/>
      <c r="L766" s="128"/>
      <c r="M766" s="255"/>
      <c r="N766" s="255"/>
    </row>
    <row r="767" spans="1:14" s="55" customFormat="1" ht="10.95" customHeight="1" x14ac:dyDescent="0.2">
      <c r="A767" s="272"/>
      <c r="B767" s="56" t="s">
        <v>862</v>
      </c>
      <c r="C767" s="55" t="s">
        <v>863</v>
      </c>
      <c r="D767" s="84"/>
      <c r="E767" s="84"/>
      <c r="F767" s="84"/>
      <c r="G767" s="138">
        <v>22.2</v>
      </c>
      <c r="H767" s="132">
        <v>632</v>
      </c>
      <c r="I767" s="132">
        <v>1830</v>
      </c>
      <c r="J767" s="135">
        <v>3</v>
      </c>
      <c r="K767" s="128"/>
      <c r="L767" s="128"/>
      <c r="M767" s="255"/>
      <c r="N767" s="255"/>
    </row>
    <row r="768" spans="1:14" s="55" customFormat="1" ht="10.95" customHeight="1" x14ac:dyDescent="0.2">
      <c r="A768" s="272"/>
      <c r="B768" s="56" t="s">
        <v>864</v>
      </c>
      <c r="C768" s="55" t="s">
        <v>865</v>
      </c>
      <c r="D768" s="84"/>
      <c r="E768" s="84"/>
      <c r="F768" s="84"/>
      <c r="G768" s="138">
        <v>0.7</v>
      </c>
      <c r="H768" s="132">
        <v>21</v>
      </c>
      <c r="I768" s="132">
        <v>520</v>
      </c>
      <c r="J768" s="135">
        <v>5.6</v>
      </c>
      <c r="K768" s="128"/>
      <c r="L768" s="128"/>
      <c r="M768" s="255"/>
      <c r="N768" s="255"/>
    </row>
    <row r="769" spans="1:14" s="55" customFormat="1" ht="10.95" customHeight="1" x14ac:dyDescent="0.2">
      <c r="A769" s="272"/>
      <c r="B769" s="56" t="s">
        <v>866</v>
      </c>
      <c r="C769" s="55" t="s">
        <v>867</v>
      </c>
      <c r="D769" s="84"/>
      <c r="E769" s="84"/>
      <c r="F769" s="84"/>
      <c r="G769" s="138">
        <v>28.2</v>
      </c>
      <c r="H769" s="132">
        <v>804</v>
      </c>
      <c r="I769" s="132">
        <v>5290</v>
      </c>
      <c r="J769" s="135">
        <v>0.8</v>
      </c>
      <c r="K769" s="128"/>
      <c r="L769" s="128"/>
      <c r="M769" s="255"/>
      <c r="N769" s="255"/>
    </row>
    <row r="770" spans="1:14" s="55" customFormat="1" ht="10.95" customHeight="1" x14ac:dyDescent="0.2">
      <c r="A770" s="272"/>
      <c r="B770" s="56" t="s">
        <v>868</v>
      </c>
      <c r="C770" s="55" t="s">
        <v>869</v>
      </c>
      <c r="D770" s="84"/>
      <c r="E770" s="84"/>
      <c r="F770" s="84"/>
      <c r="G770" s="138">
        <v>1.4</v>
      </c>
      <c r="H770" s="132">
        <v>39</v>
      </c>
      <c r="I770" s="132">
        <v>40</v>
      </c>
      <c r="J770" s="135">
        <v>27.1</v>
      </c>
      <c r="K770" s="128"/>
      <c r="L770" s="128"/>
      <c r="M770" s="255"/>
      <c r="N770" s="255"/>
    </row>
    <row r="771" spans="1:14" ht="3" customHeight="1" x14ac:dyDescent="0.15">
      <c r="A771" s="302"/>
      <c r="K771" s="128"/>
      <c r="L771" s="128"/>
      <c r="M771" s="255"/>
      <c r="N771" s="255"/>
    </row>
    <row r="772" spans="1:14" ht="10.95" customHeight="1" x14ac:dyDescent="0.2">
      <c r="A772" s="302">
        <v>13.2</v>
      </c>
      <c r="B772" s="80" t="s">
        <v>870</v>
      </c>
      <c r="G772" s="138">
        <v>4</v>
      </c>
      <c r="H772" s="132">
        <v>115</v>
      </c>
      <c r="I772" s="132">
        <v>4250</v>
      </c>
      <c r="J772" s="135">
        <v>4.7</v>
      </c>
      <c r="K772" s="128"/>
      <c r="L772" s="128"/>
      <c r="M772" s="255"/>
      <c r="N772" s="255"/>
    </row>
    <row r="773" spans="1:14" s="55" customFormat="1" ht="10.95" customHeight="1" x14ac:dyDescent="0.2">
      <c r="A773" s="272"/>
      <c r="B773" s="56" t="s">
        <v>871</v>
      </c>
      <c r="C773" s="55" t="s">
        <v>872</v>
      </c>
      <c r="D773" s="84"/>
      <c r="E773" s="84"/>
      <c r="F773" s="84"/>
      <c r="G773" s="138">
        <v>0.6</v>
      </c>
      <c r="H773" s="132">
        <v>16</v>
      </c>
      <c r="I773" s="132">
        <v>70</v>
      </c>
      <c r="J773" s="135">
        <v>32.6</v>
      </c>
      <c r="K773" s="128"/>
      <c r="L773" s="128"/>
      <c r="M773" s="255"/>
      <c r="N773" s="255"/>
    </row>
    <row r="774" spans="1:14" s="55" customFormat="1" ht="10.95" customHeight="1" x14ac:dyDescent="0.2">
      <c r="A774" s="272"/>
      <c r="B774" s="56" t="s">
        <v>873</v>
      </c>
      <c r="C774" s="55" t="s">
        <v>874</v>
      </c>
      <c r="D774" s="84"/>
      <c r="E774" s="84"/>
      <c r="F774" s="84"/>
      <c r="G774" s="138">
        <v>0.1</v>
      </c>
      <c r="H774" s="132">
        <v>3</v>
      </c>
      <c r="I774" s="132">
        <v>20</v>
      </c>
      <c r="J774" s="135">
        <v>25.5</v>
      </c>
      <c r="K774" s="128"/>
      <c r="L774" s="128"/>
      <c r="M774" s="255"/>
      <c r="N774" s="255"/>
    </row>
    <row r="775" spans="1:14" s="55" customFormat="1" ht="10.95" customHeight="1" x14ac:dyDescent="0.2">
      <c r="A775" s="272"/>
      <c r="B775" s="56" t="s">
        <v>875</v>
      </c>
      <c r="C775" s="55" t="s">
        <v>876</v>
      </c>
      <c r="D775" s="84"/>
      <c r="E775" s="84"/>
      <c r="F775" s="84"/>
      <c r="G775" s="138">
        <v>3.4</v>
      </c>
      <c r="H775" s="132">
        <v>96</v>
      </c>
      <c r="I775" s="132">
        <v>4230</v>
      </c>
      <c r="J775" s="135">
        <v>1.6</v>
      </c>
      <c r="K775" s="128"/>
      <c r="L775" s="128"/>
      <c r="M775" s="255"/>
      <c r="N775" s="255"/>
    </row>
    <row r="776" spans="1:14" ht="3" customHeight="1" x14ac:dyDescent="0.15">
      <c r="A776" s="302"/>
      <c r="K776" s="128"/>
      <c r="L776" s="128"/>
      <c r="M776" s="255"/>
      <c r="N776" s="255"/>
    </row>
    <row r="777" spans="1:14" ht="10.95" customHeight="1" x14ac:dyDescent="0.2">
      <c r="A777" s="302">
        <v>13.3</v>
      </c>
      <c r="B777" s="80" t="s">
        <v>877</v>
      </c>
      <c r="G777" s="138">
        <v>1.4</v>
      </c>
      <c r="H777" s="132">
        <v>40</v>
      </c>
      <c r="I777" s="132">
        <v>60</v>
      </c>
      <c r="J777" s="135">
        <v>16.5</v>
      </c>
      <c r="K777" s="128"/>
      <c r="L777" s="128"/>
      <c r="M777" s="255"/>
      <c r="N777" s="255"/>
    </row>
    <row r="778" spans="1:14" s="55" customFormat="1" ht="10.95" customHeight="1" x14ac:dyDescent="0.2">
      <c r="A778" s="272"/>
      <c r="B778" s="56" t="s">
        <v>878</v>
      </c>
      <c r="C778" s="55" t="s">
        <v>879</v>
      </c>
      <c r="D778" s="84"/>
      <c r="E778" s="84"/>
      <c r="F778" s="84"/>
      <c r="G778" s="138">
        <v>1.4</v>
      </c>
      <c r="H778" s="132">
        <v>40</v>
      </c>
      <c r="I778" s="132">
        <v>60</v>
      </c>
      <c r="J778" s="135">
        <v>16.5</v>
      </c>
      <c r="K778" s="128"/>
      <c r="L778" s="128"/>
      <c r="M778" s="255"/>
      <c r="N778" s="255"/>
    </row>
    <row r="779" spans="1:14" s="55" customFormat="1" ht="10.95" customHeight="1" x14ac:dyDescent="0.2">
      <c r="A779" s="272"/>
      <c r="B779" s="56" t="s">
        <v>880</v>
      </c>
      <c r="C779" s="55" t="s">
        <v>881</v>
      </c>
      <c r="D779" s="84"/>
      <c r="E779" s="84"/>
      <c r="F779" s="84"/>
      <c r="G779" s="138">
        <v>0</v>
      </c>
      <c r="H779" s="132">
        <v>0</v>
      </c>
      <c r="I779" s="132">
        <v>0</v>
      </c>
      <c r="J779" s="135">
        <v>0</v>
      </c>
      <c r="K779" s="128"/>
      <c r="L779" s="128"/>
      <c r="M779" s="255"/>
      <c r="N779" s="255"/>
    </row>
    <row r="780" spans="1:14" ht="4.2" customHeight="1" x14ac:dyDescent="0.15">
      <c r="A780" s="616"/>
      <c r="B780" s="564"/>
      <c r="C780" s="565"/>
      <c r="D780" s="566"/>
      <c r="E780" s="566"/>
      <c r="F780" s="566"/>
      <c r="G780" s="567"/>
      <c r="H780" s="615"/>
      <c r="I780" s="573"/>
      <c r="J780" s="570"/>
      <c r="K780" s="208"/>
      <c r="L780" s="269"/>
    </row>
    <row r="781" spans="1:14" ht="4.2" customHeight="1" x14ac:dyDescent="0.15">
      <c r="A781" s="302"/>
      <c r="K781" s="208"/>
      <c r="L781" s="269"/>
    </row>
    <row r="782" spans="1:14" ht="10.95" customHeight="1" x14ac:dyDescent="0.2">
      <c r="A782" s="157" t="s">
        <v>111</v>
      </c>
      <c r="B782" s="56"/>
      <c r="C782" s="56"/>
      <c r="D782" s="55"/>
      <c r="E782" s="137"/>
      <c r="F782" s="142"/>
      <c r="G782" s="241"/>
      <c r="H782" s="242"/>
      <c r="K782" s="208"/>
      <c r="L782" s="269"/>
    </row>
    <row r="783" spans="1:14" ht="10.95" customHeight="1" x14ac:dyDescent="0.2">
      <c r="A783" s="157" t="s">
        <v>182</v>
      </c>
      <c r="B783" s="56"/>
      <c r="C783" s="56"/>
      <c r="D783" s="55"/>
      <c r="E783" s="137"/>
      <c r="F783" s="142"/>
      <c r="G783" s="241"/>
      <c r="H783" s="242"/>
      <c r="K783" s="208"/>
      <c r="L783" s="269"/>
    </row>
    <row r="784" spans="1:14" ht="10.95" customHeight="1" x14ac:dyDescent="0.2">
      <c r="A784" s="157" t="s">
        <v>112</v>
      </c>
      <c r="B784" s="56"/>
      <c r="C784" s="56"/>
      <c r="D784" s="55"/>
      <c r="E784" s="137"/>
      <c r="F784" s="142"/>
      <c r="G784" s="241"/>
      <c r="H784" s="242"/>
      <c r="K784" s="208"/>
      <c r="L784" s="269"/>
    </row>
    <row r="785" spans="1:12" ht="13.5" customHeight="1" x14ac:dyDescent="0.2">
      <c r="A785" s="80" t="s">
        <v>882</v>
      </c>
      <c r="B785" s="56"/>
      <c r="C785" s="56"/>
      <c r="D785" s="55"/>
      <c r="E785" s="137"/>
      <c r="F785" s="142"/>
      <c r="G785" s="241"/>
      <c r="H785" s="242"/>
      <c r="K785" s="208"/>
      <c r="L785" s="269"/>
    </row>
    <row r="786" spans="1:12" ht="10.95" customHeight="1" x14ac:dyDescent="0.2">
      <c r="A786" s="80" t="s">
        <v>883</v>
      </c>
      <c r="B786" s="56"/>
      <c r="C786" s="56"/>
      <c r="D786" s="55"/>
      <c r="E786" s="137"/>
      <c r="F786" s="142"/>
      <c r="G786" s="241"/>
      <c r="H786" s="242"/>
      <c r="K786" s="208"/>
      <c r="L786" s="269"/>
    </row>
    <row r="787" spans="1:12" ht="13.5" customHeight="1" x14ac:dyDescent="0.2">
      <c r="A787" s="80" t="s">
        <v>884</v>
      </c>
      <c r="B787" s="56"/>
      <c r="C787" s="56"/>
      <c r="D787" s="55"/>
      <c r="E787" s="137"/>
      <c r="F787" s="142"/>
      <c r="G787" s="241"/>
      <c r="H787" s="242"/>
      <c r="K787" s="208"/>
      <c r="L787" s="269"/>
    </row>
    <row r="788" spans="1:12" ht="10.95" customHeight="1" x14ac:dyDescent="0.2">
      <c r="A788" s="80" t="s">
        <v>885</v>
      </c>
      <c r="B788" s="56"/>
      <c r="C788" s="56"/>
      <c r="D788" s="55"/>
      <c r="E788" s="137"/>
      <c r="F788" s="142"/>
      <c r="G788" s="241"/>
      <c r="H788" s="242"/>
      <c r="K788" s="208"/>
      <c r="L788" s="269"/>
    </row>
    <row r="789" spans="1:12" ht="13.5" customHeight="1" x14ac:dyDescent="0.2">
      <c r="A789" s="80" t="s">
        <v>886</v>
      </c>
      <c r="B789" s="56"/>
      <c r="C789" s="56"/>
      <c r="D789" s="55"/>
      <c r="E789" s="137"/>
      <c r="F789" s="142"/>
      <c r="G789" s="241"/>
      <c r="H789" s="242"/>
      <c r="K789" s="208"/>
      <c r="L789" s="269"/>
    </row>
    <row r="790" spans="1:12" ht="10.95" customHeight="1" x14ac:dyDescent="0.15">
      <c r="A790" s="80" t="s">
        <v>887</v>
      </c>
      <c r="K790" s="208"/>
      <c r="L790" s="269"/>
    </row>
    <row r="791" spans="1:12" ht="10.95" customHeight="1" x14ac:dyDescent="0.15">
      <c r="K791" s="208"/>
      <c r="L791" s="269"/>
    </row>
    <row r="792" spans="1:12" ht="10.95" customHeight="1" x14ac:dyDescent="0.15">
      <c r="A792" s="302"/>
      <c r="K792" s="208"/>
      <c r="L792" s="269"/>
    </row>
    <row r="793" spans="1:12" ht="10.95" customHeight="1" x14ac:dyDescent="0.15">
      <c r="A793" s="302"/>
      <c r="K793" s="208"/>
      <c r="L793" s="269"/>
    </row>
    <row r="794" spans="1:12" ht="10.95" customHeight="1" x14ac:dyDescent="0.15">
      <c r="A794" s="302"/>
      <c r="K794" s="208"/>
      <c r="L794" s="269"/>
    </row>
    <row r="795" spans="1:12" ht="15.75" customHeight="1" x14ac:dyDescent="0.15">
      <c r="A795" s="159" t="s">
        <v>114</v>
      </c>
      <c r="J795" s="79"/>
      <c r="K795" s="208"/>
      <c r="L795" s="269"/>
    </row>
    <row r="796" spans="1:12" s="31" customFormat="1" ht="20.25" customHeight="1" x14ac:dyDescent="0.3">
      <c r="A796" s="160" t="s">
        <v>183</v>
      </c>
      <c r="B796" s="161"/>
      <c r="D796" s="32"/>
      <c r="E796" s="32"/>
      <c r="F796" s="33"/>
      <c r="G796" s="551"/>
      <c r="H796" s="35"/>
      <c r="I796" s="36"/>
      <c r="J796" s="246"/>
      <c r="K796" s="208"/>
      <c r="L796" s="269"/>
    </row>
    <row r="797" spans="1:12" s="31" customFormat="1" ht="15.75" customHeight="1" x14ac:dyDescent="0.25">
      <c r="A797" s="41" t="s">
        <v>1359</v>
      </c>
      <c r="B797" s="168"/>
      <c r="C797" s="43"/>
      <c r="D797" s="44"/>
      <c r="E797" s="32"/>
      <c r="F797" s="33"/>
      <c r="G797" s="551"/>
      <c r="H797" s="35"/>
      <c r="I797" s="36"/>
      <c r="J797" s="246"/>
      <c r="K797" s="208"/>
      <c r="L797" s="269"/>
    </row>
    <row r="798" spans="1:12" ht="4.2" customHeight="1" x14ac:dyDescent="0.15">
      <c r="A798" s="564"/>
      <c r="B798" s="564"/>
      <c r="C798" s="565"/>
      <c r="D798" s="566"/>
      <c r="E798" s="566"/>
      <c r="F798" s="566"/>
      <c r="G798" s="567"/>
      <c r="H798" s="572"/>
      <c r="I798" s="573"/>
      <c r="J798" s="570"/>
      <c r="K798" s="208"/>
      <c r="L798" s="269"/>
    </row>
    <row r="799" spans="1:12" s="55" customFormat="1" ht="4.2" customHeight="1" x14ac:dyDescent="0.15">
      <c r="A799" s="81"/>
      <c r="B799" s="81"/>
      <c r="D799" s="84"/>
      <c r="E799" s="84"/>
      <c r="F799" s="84"/>
      <c r="G799" s="563"/>
      <c r="H799" s="250"/>
      <c r="I799" s="251"/>
      <c r="J799" s="252"/>
      <c r="K799" s="208"/>
      <c r="L799" s="269"/>
    </row>
    <row r="800" spans="1:12" s="180" customFormat="1" ht="10.95" customHeight="1" x14ac:dyDescent="0.15">
      <c r="A800" s="172"/>
      <c r="B800" s="172"/>
      <c r="C800" s="173"/>
      <c r="D800" s="174"/>
      <c r="E800" s="174"/>
      <c r="F800" s="59"/>
      <c r="G800" s="60" t="s">
        <v>116</v>
      </c>
      <c r="H800" s="61" t="s">
        <v>25</v>
      </c>
      <c r="I800" s="62" t="s">
        <v>26</v>
      </c>
      <c r="J800" s="63" t="s">
        <v>117</v>
      </c>
      <c r="K800" s="208"/>
      <c r="L800" s="269"/>
    </row>
    <row r="801" spans="1:14" s="180" customFormat="1" ht="10.95" customHeight="1" x14ac:dyDescent="0.15">
      <c r="A801" s="172"/>
      <c r="B801" s="172"/>
      <c r="C801" s="181"/>
      <c r="D801" s="174"/>
      <c r="E801" s="174"/>
      <c r="F801" s="59"/>
      <c r="G801" s="67" t="s">
        <v>29</v>
      </c>
      <c r="H801" s="61" t="s">
        <v>27</v>
      </c>
      <c r="I801" s="62" t="s">
        <v>28</v>
      </c>
      <c r="J801" s="63" t="s">
        <v>118</v>
      </c>
      <c r="K801" s="208"/>
      <c r="L801" s="269"/>
    </row>
    <row r="802" spans="1:14" s="180" customFormat="1" ht="10.95" customHeight="1" x14ac:dyDescent="0.15">
      <c r="A802" s="172"/>
      <c r="B802" s="172"/>
      <c r="C802" s="181"/>
      <c r="D802" s="174"/>
      <c r="E802" s="174"/>
      <c r="F802" s="59"/>
      <c r="G802" s="60" t="s">
        <v>31</v>
      </c>
      <c r="H802" s="61" t="s">
        <v>29</v>
      </c>
      <c r="I802" s="62" t="s">
        <v>30</v>
      </c>
      <c r="J802" s="69" t="s">
        <v>119</v>
      </c>
      <c r="K802" s="208"/>
      <c r="L802" s="269"/>
    </row>
    <row r="803" spans="1:14" s="180" customFormat="1" ht="10.95" customHeight="1" x14ac:dyDescent="0.15">
      <c r="A803" s="172"/>
      <c r="B803" s="172"/>
      <c r="C803" s="181"/>
      <c r="D803" s="174"/>
      <c r="E803" s="174"/>
      <c r="F803" s="59"/>
      <c r="G803" s="67" t="s">
        <v>32</v>
      </c>
      <c r="H803" s="61" t="s">
        <v>33</v>
      </c>
      <c r="I803" s="62" t="s">
        <v>120</v>
      </c>
      <c r="J803" s="70" t="s">
        <v>121</v>
      </c>
      <c r="K803" s="208"/>
      <c r="L803" s="269"/>
    </row>
    <row r="804" spans="1:14" ht="4.2" customHeight="1" x14ac:dyDescent="0.15">
      <c r="A804" s="564"/>
      <c r="B804" s="564"/>
      <c r="C804" s="565"/>
      <c r="D804" s="566"/>
      <c r="E804" s="566"/>
      <c r="F804" s="566"/>
      <c r="G804" s="567"/>
      <c r="H804" s="572"/>
      <c r="I804" s="573"/>
      <c r="J804" s="566"/>
      <c r="K804" s="208"/>
      <c r="L804" s="269"/>
    </row>
    <row r="805" spans="1:14" ht="4.2" customHeight="1" x14ac:dyDescent="0.15">
      <c r="B805" s="81"/>
      <c r="C805" s="82"/>
      <c r="D805" s="83"/>
      <c r="E805" s="83"/>
      <c r="F805" s="84"/>
      <c r="H805" s="86"/>
      <c r="I805" s="87"/>
      <c r="J805" s="83"/>
      <c r="K805" s="208"/>
      <c r="L805" s="269"/>
    </row>
    <row r="806" spans="1:14" s="93" customFormat="1" ht="10.95" customHeight="1" x14ac:dyDescent="0.15">
      <c r="A806" s="111" t="s">
        <v>123</v>
      </c>
      <c r="B806" s="112"/>
      <c r="C806" s="113"/>
      <c r="F806" s="114" t="s">
        <v>124</v>
      </c>
      <c r="G806" s="575"/>
      <c r="H806" s="116"/>
      <c r="I806" s="117"/>
      <c r="K806" s="208"/>
      <c r="L806" s="270"/>
    </row>
    <row r="807" spans="1:14" s="128" customFormat="1" ht="4.2" customHeight="1" x14ac:dyDescent="0.15">
      <c r="A807" s="186"/>
      <c r="B807" s="186"/>
      <c r="C807" s="187"/>
      <c r="D807" s="79"/>
      <c r="E807" s="79"/>
      <c r="G807" s="85"/>
      <c r="H807" s="108"/>
      <c r="I807" s="109"/>
      <c r="J807" s="110"/>
      <c r="K807" s="208"/>
      <c r="L807" s="269"/>
    </row>
    <row r="808" spans="1:14" ht="12.75" customHeight="1" x14ac:dyDescent="0.15">
      <c r="A808" s="188">
        <v>13</v>
      </c>
      <c r="B808" s="188" t="s">
        <v>888</v>
      </c>
      <c r="C808" s="121"/>
      <c r="D808" s="317"/>
      <c r="E808" s="317"/>
      <c r="K808" s="208"/>
      <c r="L808" s="269"/>
    </row>
    <row r="809" spans="1:14" ht="6" customHeight="1" x14ac:dyDescent="0.15">
      <c r="A809" s="186"/>
      <c r="B809" s="186"/>
      <c r="C809" s="128"/>
      <c r="K809" s="208"/>
      <c r="L809" s="269"/>
    </row>
    <row r="810" spans="1:14" ht="10.95" customHeight="1" x14ac:dyDescent="0.2">
      <c r="A810" s="302">
        <v>13.4</v>
      </c>
      <c r="B810" s="80" t="s">
        <v>889</v>
      </c>
      <c r="G810" s="138">
        <v>15.2</v>
      </c>
      <c r="H810" s="132">
        <v>433</v>
      </c>
      <c r="I810" s="132">
        <v>2410</v>
      </c>
      <c r="J810" s="135">
        <v>11</v>
      </c>
      <c r="K810" s="128"/>
      <c r="L810" s="128"/>
      <c r="M810" s="318"/>
      <c r="N810" s="318"/>
    </row>
    <row r="811" spans="1:14" s="55" customFormat="1" ht="10.95" customHeight="1" x14ac:dyDescent="0.2">
      <c r="A811" s="272"/>
      <c r="B811" s="56" t="s">
        <v>890</v>
      </c>
      <c r="C811" s="55" t="s">
        <v>891</v>
      </c>
      <c r="D811" s="84"/>
      <c r="E811" s="84"/>
      <c r="F811" s="84"/>
      <c r="G811" s="138">
        <v>0.3</v>
      </c>
      <c r="H811" s="132">
        <v>9</v>
      </c>
      <c r="I811" s="132">
        <v>60</v>
      </c>
      <c r="J811" s="135">
        <v>29.5</v>
      </c>
      <c r="K811" s="128"/>
      <c r="L811" s="128"/>
      <c r="M811" s="318"/>
      <c r="N811" s="318"/>
    </row>
    <row r="812" spans="1:14" s="55" customFormat="1" ht="10.95" customHeight="1" x14ac:dyDescent="0.2">
      <c r="A812" s="272"/>
      <c r="B812" s="56"/>
      <c r="C812" s="55" t="s">
        <v>892</v>
      </c>
      <c r="D812" s="84" t="s">
        <v>893</v>
      </c>
      <c r="E812" s="84"/>
      <c r="F812" s="84"/>
      <c r="G812" s="138">
        <v>0.2</v>
      </c>
      <c r="H812" s="132">
        <v>6</v>
      </c>
      <c r="I812" s="132">
        <v>50</v>
      </c>
      <c r="J812" s="135">
        <v>29.9</v>
      </c>
      <c r="K812" s="128"/>
      <c r="L812" s="128"/>
      <c r="M812" s="318"/>
      <c r="N812" s="318"/>
    </row>
    <row r="813" spans="1:14" s="55" customFormat="1" ht="10.95" customHeight="1" x14ac:dyDescent="0.2">
      <c r="A813" s="272"/>
      <c r="B813" s="56"/>
      <c r="C813" s="55" t="s">
        <v>894</v>
      </c>
      <c r="D813" s="84" t="s">
        <v>895</v>
      </c>
      <c r="E813" s="84"/>
      <c r="F813" s="84"/>
      <c r="G813" s="138">
        <v>0.1</v>
      </c>
      <c r="H813" s="132">
        <v>3</v>
      </c>
      <c r="I813" s="132">
        <v>10</v>
      </c>
      <c r="J813" s="135">
        <v>62.9</v>
      </c>
      <c r="K813" s="128"/>
      <c r="L813" s="128"/>
      <c r="M813" s="318"/>
      <c r="N813" s="318"/>
    </row>
    <row r="814" spans="1:14" s="55" customFormat="1" ht="3" customHeight="1" x14ac:dyDescent="0.2">
      <c r="B814" s="56"/>
      <c r="C814" s="56"/>
      <c r="F814" s="84"/>
      <c r="G814" s="85"/>
      <c r="H814" s="86"/>
      <c r="I814" s="87"/>
      <c r="J814" s="231"/>
      <c r="K814" s="78"/>
      <c r="L814" s="78"/>
      <c r="M814" s="255"/>
      <c r="N814" s="255"/>
    </row>
    <row r="815" spans="1:14" s="55" customFormat="1" ht="10.95" customHeight="1" x14ac:dyDescent="0.2">
      <c r="A815" s="272"/>
      <c r="B815" s="56" t="s">
        <v>896</v>
      </c>
      <c r="C815" s="55" t="s">
        <v>897</v>
      </c>
      <c r="D815" s="84"/>
      <c r="E815" s="84"/>
      <c r="F815" s="84"/>
      <c r="G815" s="138">
        <v>13.9</v>
      </c>
      <c r="H815" s="132">
        <v>396</v>
      </c>
      <c r="I815" s="132">
        <v>2130</v>
      </c>
      <c r="J815" s="135">
        <v>12</v>
      </c>
      <c r="K815" s="128"/>
      <c r="L815" s="128"/>
      <c r="M815" s="318"/>
      <c r="N815" s="318"/>
    </row>
    <row r="816" spans="1:14" s="55" customFormat="1" ht="10.95" customHeight="1" x14ac:dyDescent="0.2">
      <c r="A816" s="272"/>
      <c r="B816" s="56"/>
      <c r="C816" s="55" t="s">
        <v>898</v>
      </c>
      <c r="D816" s="84" t="s">
        <v>899</v>
      </c>
      <c r="E816" s="84"/>
      <c r="F816" s="84"/>
      <c r="G816" s="138">
        <v>5.0999999999999996</v>
      </c>
      <c r="H816" s="132">
        <v>146</v>
      </c>
      <c r="I816" s="132">
        <v>690</v>
      </c>
      <c r="J816" s="135">
        <v>19.3</v>
      </c>
      <c r="K816" s="128"/>
      <c r="L816" s="128"/>
      <c r="M816" s="318"/>
      <c r="N816" s="318"/>
    </row>
    <row r="817" spans="1:14" s="55" customFormat="1" ht="10.95" customHeight="1" x14ac:dyDescent="0.2">
      <c r="A817" s="272"/>
      <c r="B817" s="56"/>
      <c r="C817" s="55" t="s">
        <v>900</v>
      </c>
      <c r="D817" s="84" t="s">
        <v>901</v>
      </c>
      <c r="E817" s="84"/>
      <c r="F817" s="84"/>
      <c r="G817" s="138">
        <v>3</v>
      </c>
      <c r="H817" s="132">
        <v>87</v>
      </c>
      <c r="I817" s="132">
        <v>1490</v>
      </c>
      <c r="J817" s="135">
        <v>16.8</v>
      </c>
      <c r="K817" s="128"/>
      <c r="L817" s="128"/>
      <c r="M817" s="318"/>
      <c r="N817" s="318"/>
    </row>
    <row r="818" spans="1:14" s="55" customFormat="1" ht="10.95" customHeight="1" x14ac:dyDescent="0.2">
      <c r="A818" s="272"/>
      <c r="B818" s="56"/>
      <c r="C818" s="55" t="s">
        <v>902</v>
      </c>
      <c r="D818" s="84" t="s">
        <v>903</v>
      </c>
      <c r="E818" s="84"/>
      <c r="F818" s="84"/>
      <c r="G818" s="138">
        <v>3.7</v>
      </c>
      <c r="H818" s="132">
        <v>105</v>
      </c>
      <c r="I818" s="132">
        <v>240</v>
      </c>
      <c r="J818" s="135">
        <v>32</v>
      </c>
      <c r="K818" s="128"/>
      <c r="L818" s="128"/>
      <c r="M818" s="318"/>
      <c r="N818" s="318"/>
    </row>
    <row r="819" spans="1:14" s="55" customFormat="1" ht="10.95" customHeight="1" x14ac:dyDescent="0.2">
      <c r="A819" s="272"/>
      <c r="B819" s="56"/>
      <c r="C819" s="55" t="s">
        <v>904</v>
      </c>
      <c r="D819" s="84" t="s">
        <v>905</v>
      </c>
      <c r="E819" s="84"/>
      <c r="F819" s="84"/>
      <c r="G819" s="138">
        <v>2.1</v>
      </c>
      <c r="H819" s="132">
        <v>59</v>
      </c>
      <c r="I819" s="132">
        <v>160</v>
      </c>
      <c r="J819" s="135">
        <v>13.3</v>
      </c>
      <c r="K819" s="128"/>
      <c r="L819" s="128"/>
      <c r="M819" s="318"/>
      <c r="N819" s="318"/>
    </row>
    <row r="820" spans="1:14" s="55" customFormat="1" ht="3" customHeight="1" x14ac:dyDescent="0.2">
      <c r="B820" s="56"/>
      <c r="C820" s="56"/>
      <c r="F820" s="84"/>
      <c r="G820" s="85"/>
      <c r="H820" s="86"/>
      <c r="I820" s="87"/>
      <c r="J820" s="231"/>
      <c r="K820" s="78"/>
      <c r="L820" s="78"/>
      <c r="M820" s="255"/>
      <c r="N820" s="255"/>
    </row>
    <row r="821" spans="1:14" s="55" customFormat="1" ht="10.95" customHeight="1" x14ac:dyDescent="0.2">
      <c r="A821" s="272"/>
      <c r="B821" s="56" t="s">
        <v>906</v>
      </c>
      <c r="C821" s="55" t="s">
        <v>907</v>
      </c>
      <c r="D821" s="84"/>
      <c r="E821" s="84"/>
      <c r="F821" s="84"/>
      <c r="G821" s="138">
        <v>1</v>
      </c>
      <c r="H821" s="132">
        <v>28</v>
      </c>
      <c r="I821" s="132">
        <v>460</v>
      </c>
      <c r="J821" s="135">
        <v>8.9</v>
      </c>
      <c r="K821" s="128"/>
      <c r="L821" s="128"/>
      <c r="M821" s="318"/>
      <c r="N821" s="318"/>
    </row>
    <row r="822" spans="1:14" s="55" customFormat="1" ht="10.95" customHeight="1" x14ac:dyDescent="0.2">
      <c r="A822" s="272"/>
      <c r="B822" s="56"/>
      <c r="C822" s="55" t="s">
        <v>908</v>
      </c>
      <c r="D822" s="84" t="s">
        <v>909</v>
      </c>
      <c r="E822" s="84"/>
      <c r="F822" s="84"/>
      <c r="G822" s="138">
        <v>0</v>
      </c>
      <c r="H822" s="132">
        <v>0</v>
      </c>
      <c r="I822" s="132">
        <v>0</v>
      </c>
      <c r="J822" s="135">
        <v>0</v>
      </c>
      <c r="K822" s="128"/>
      <c r="L822" s="128"/>
      <c r="M822" s="318"/>
      <c r="N822" s="318"/>
    </row>
    <row r="823" spans="1:14" s="55" customFormat="1" ht="10.95" customHeight="1" x14ac:dyDescent="0.2">
      <c r="A823" s="272"/>
      <c r="B823" s="56"/>
      <c r="C823" s="55" t="s">
        <v>910</v>
      </c>
      <c r="D823" s="84" t="s">
        <v>911</v>
      </c>
      <c r="E823" s="84"/>
      <c r="F823" s="84"/>
      <c r="G823" s="138">
        <v>1</v>
      </c>
      <c r="H823" s="132">
        <v>28</v>
      </c>
      <c r="I823" s="132">
        <v>460</v>
      </c>
      <c r="J823" s="135">
        <v>8.9</v>
      </c>
      <c r="K823" s="128"/>
      <c r="L823" s="128"/>
      <c r="M823" s="318"/>
      <c r="N823" s="318"/>
    </row>
    <row r="824" spans="1:14" ht="4.2" customHeight="1" x14ac:dyDescent="0.15">
      <c r="A824" s="616"/>
      <c r="B824" s="564"/>
      <c r="C824" s="565"/>
      <c r="D824" s="566"/>
      <c r="E824" s="566"/>
      <c r="F824" s="566"/>
      <c r="G824" s="567"/>
      <c r="H824" s="572"/>
      <c r="I824" s="573"/>
      <c r="J824" s="570"/>
      <c r="K824" s="128"/>
      <c r="L824" s="128"/>
      <c r="M824" s="318"/>
      <c r="N824" s="318"/>
    </row>
    <row r="825" spans="1:14" ht="4.2" customHeight="1" x14ac:dyDescent="0.15">
      <c r="K825" s="128"/>
      <c r="L825" s="128"/>
      <c r="M825" s="318"/>
      <c r="N825" s="318"/>
    </row>
    <row r="826" spans="1:14" s="121" customFormat="1" ht="12.75" customHeight="1" x14ac:dyDescent="0.2">
      <c r="A826" s="188" t="s">
        <v>21</v>
      </c>
      <c r="D826" s="259"/>
      <c r="E826" s="259"/>
      <c r="F826" s="259"/>
      <c r="G826" s="576">
        <v>528.79999999999995</v>
      </c>
      <c r="H826" s="124">
        <v>15072</v>
      </c>
      <c r="I826" s="124">
        <v>5630</v>
      </c>
      <c r="J826" s="125">
        <v>1.2</v>
      </c>
      <c r="K826" s="128"/>
      <c r="L826" s="128"/>
      <c r="M826" s="318"/>
      <c r="N826" s="318"/>
    </row>
    <row r="827" spans="1:14" ht="4.2" customHeight="1" x14ac:dyDescent="0.15">
      <c r="A827" s="564"/>
      <c r="B827" s="564"/>
      <c r="C827" s="565"/>
      <c r="D827" s="566"/>
      <c r="E827" s="566"/>
      <c r="F827" s="566"/>
      <c r="G827" s="567"/>
      <c r="H827" s="615"/>
      <c r="I827" s="573"/>
      <c r="J827" s="570"/>
      <c r="K827" s="128"/>
      <c r="L827" s="128"/>
      <c r="M827" s="318"/>
      <c r="N827" s="318"/>
    </row>
    <row r="828" spans="1:14" ht="4.2" customHeight="1" x14ac:dyDescent="0.15">
      <c r="H828" s="312"/>
      <c r="K828" s="128"/>
      <c r="L828" s="128"/>
      <c r="M828" s="318"/>
      <c r="N828" s="318"/>
    </row>
    <row r="829" spans="1:14" s="128" customFormat="1" ht="12.75" customHeight="1" x14ac:dyDescent="0.15">
      <c r="A829" s="188">
        <v>14</v>
      </c>
      <c r="B829" s="188" t="s">
        <v>912</v>
      </c>
      <c r="C829" s="121"/>
      <c r="D829" s="259"/>
      <c r="E829" s="259"/>
      <c r="F829" s="319"/>
      <c r="G829" s="85"/>
      <c r="H829" s="312"/>
      <c r="I829" s="109"/>
      <c r="J829" s="171"/>
      <c r="M829" s="318"/>
      <c r="N829" s="318"/>
    </row>
    <row r="830" spans="1:14" ht="6" customHeight="1" x14ac:dyDescent="0.15">
      <c r="H830" s="312"/>
      <c r="K830" s="128"/>
      <c r="L830" s="128"/>
      <c r="M830" s="318"/>
      <c r="N830" s="318"/>
    </row>
    <row r="831" spans="1:14" ht="10.95" customHeight="1" x14ac:dyDescent="0.2">
      <c r="A831" s="302">
        <v>14.1</v>
      </c>
      <c r="B831" s="80" t="s">
        <v>913</v>
      </c>
      <c r="G831" s="138">
        <v>36.700000000000003</v>
      </c>
      <c r="H831" s="132">
        <v>1045</v>
      </c>
      <c r="I831" s="132">
        <v>3580</v>
      </c>
      <c r="J831" s="135">
        <v>2.2999999999999998</v>
      </c>
      <c r="K831" s="128"/>
      <c r="L831" s="128"/>
      <c r="M831" s="318"/>
      <c r="N831" s="318"/>
    </row>
    <row r="832" spans="1:14" s="55" customFormat="1" ht="10.95" customHeight="1" x14ac:dyDescent="0.2">
      <c r="B832" s="56" t="s">
        <v>914</v>
      </c>
      <c r="C832" s="55" t="s">
        <v>915</v>
      </c>
      <c r="D832" s="84"/>
      <c r="E832" s="84"/>
      <c r="F832" s="84"/>
      <c r="G832" s="138">
        <v>3.2</v>
      </c>
      <c r="H832" s="132">
        <v>91</v>
      </c>
      <c r="I832" s="132">
        <v>1700</v>
      </c>
      <c r="J832" s="135">
        <v>4.9000000000000004</v>
      </c>
      <c r="K832" s="128"/>
      <c r="L832" s="128"/>
      <c r="M832" s="318"/>
      <c r="N832" s="318"/>
    </row>
    <row r="833" spans="1:14" s="55" customFormat="1" ht="10.95" customHeight="1" x14ac:dyDescent="0.2">
      <c r="A833" s="272"/>
      <c r="B833" s="56" t="s">
        <v>916</v>
      </c>
      <c r="C833" s="55" t="s">
        <v>917</v>
      </c>
      <c r="D833" s="84"/>
      <c r="E833" s="84"/>
      <c r="F833" s="84"/>
      <c r="G833" s="138">
        <v>29.3</v>
      </c>
      <c r="H833" s="132">
        <v>835</v>
      </c>
      <c r="I833" s="132">
        <v>2830</v>
      </c>
      <c r="J833" s="135">
        <v>2.2999999999999998</v>
      </c>
      <c r="K833" s="128"/>
      <c r="L833" s="128"/>
      <c r="M833" s="318"/>
      <c r="N833" s="318"/>
    </row>
    <row r="834" spans="1:14" s="55" customFormat="1" ht="10.95" customHeight="1" x14ac:dyDescent="0.2">
      <c r="A834" s="272"/>
      <c r="B834" s="56" t="s">
        <v>918</v>
      </c>
      <c r="C834" s="55" t="s">
        <v>919</v>
      </c>
      <c r="D834" s="84"/>
      <c r="E834" s="84"/>
      <c r="F834" s="84"/>
      <c r="G834" s="138">
        <v>4.2</v>
      </c>
      <c r="H834" s="132">
        <v>118</v>
      </c>
      <c r="I834" s="132">
        <v>390</v>
      </c>
      <c r="J834" s="135">
        <v>9.6999999999999993</v>
      </c>
      <c r="K834" s="128"/>
      <c r="L834" s="128"/>
      <c r="M834" s="318"/>
      <c r="N834" s="318"/>
    </row>
    <row r="835" spans="1:14" ht="3" customHeight="1" x14ac:dyDescent="0.2">
      <c r="A835" s="302"/>
      <c r="G835" s="138"/>
      <c r="H835" s="132"/>
      <c r="I835" s="132"/>
      <c r="J835" s="135"/>
      <c r="K835" s="128"/>
      <c r="L835" s="128"/>
      <c r="M835" s="318"/>
      <c r="N835" s="318"/>
    </row>
    <row r="836" spans="1:14" ht="10.95" customHeight="1" x14ac:dyDescent="0.2">
      <c r="A836" s="302">
        <v>14.2</v>
      </c>
      <c r="B836" s="80" t="s">
        <v>920</v>
      </c>
      <c r="G836" s="138">
        <v>2.2999999999999998</v>
      </c>
      <c r="H836" s="132">
        <v>66</v>
      </c>
      <c r="I836" s="132">
        <v>1730</v>
      </c>
      <c r="J836" s="135">
        <v>3.3</v>
      </c>
      <c r="K836" s="128"/>
      <c r="L836" s="128"/>
      <c r="M836" s="318"/>
      <c r="N836" s="318"/>
    </row>
    <row r="837" spans="1:14" ht="3" customHeight="1" x14ac:dyDescent="0.2">
      <c r="A837" s="302"/>
      <c r="G837" s="138"/>
      <c r="H837" s="132"/>
      <c r="I837" s="132"/>
      <c r="J837" s="135"/>
      <c r="K837" s="128"/>
      <c r="L837" s="128"/>
      <c r="M837" s="318"/>
      <c r="N837" s="318"/>
    </row>
    <row r="838" spans="1:14" ht="10.95" customHeight="1" x14ac:dyDescent="0.2">
      <c r="A838" s="302">
        <v>14.3</v>
      </c>
      <c r="B838" s="80" t="s">
        <v>921</v>
      </c>
      <c r="G838" s="138">
        <v>112.4</v>
      </c>
      <c r="H838" s="132">
        <v>3204</v>
      </c>
      <c r="I838" s="132">
        <v>4300</v>
      </c>
      <c r="J838" s="135">
        <v>2.7</v>
      </c>
      <c r="K838" s="128"/>
      <c r="L838" s="128"/>
      <c r="M838" s="318"/>
      <c r="N838" s="318"/>
    </row>
    <row r="839" spans="1:14" s="55" customFormat="1" ht="10.95" customHeight="1" x14ac:dyDescent="0.2">
      <c r="A839" s="272"/>
      <c r="B839" s="56" t="s">
        <v>922</v>
      </c>
      <c r="C839" s="55" t="s">
        <v>923</v>
      </c>
      <c r="D839" s="84"/>
      <c r="E839" s="84"/>
      <c r="F839" s="84"/>
      <c r="G839" s="138">
        <v>87.5</v>
      </c>
      <c r="H839" s="132">
        <v>2493</v>
      </c>
      <c r="I839" s="132">
        <v>3020</v>
      </c>
      <c r="J839" s="135">
        <v>2.7</v>
      </c>
      <c r="K839" s="128"/>
      <c r="L839" s="128"/>
      <c r="M839" s="318"/>
      <c r="N839" s="318"/>
    </row>
    <row r="840" spans="1:14" s="55" customFormat="1" ht="10.95" customHeight="1" x14ac:dyDescent="0.2">
      <c r="A840" s="272"/>
      <c r="B840" s="56" t="s">
        <v>924</v>
      </c>
      <c r="C840" s="55" t="s">
        <v>925</v>
      </c>
      <c r="D840" s="84"/>
      <c r="E840" s="84"/>
      <c r="F840" s="84"/>
      <c r="G840" s="138">
        <v>4.5</v>
      </c>
      <c r="H840" s="132">
        <v>128</v>
      </c>
      <c r="I840" s="132">
        <v>230</v>
      </c>
      <c r="J840" s="135">
        <v>23</v>
      </c>
      <c r="K840" s="128"/>
      <c r="L840" s="128"/>
      <c r="M840" s="318"/>
      <c r="N840" s="318"/>
    </row>
    <row r="841" spans="1:14" s="55" customFormat="1" ht="10.95" customHeight="1" x14ac:dyDescent="0.2">
      <c r="A841" s="272"/>
      <c r="B841" s="56" t="s">
        <v>926</v>
      </c>
      <c r="C841" s="55" t="s">
        <v>927</v>
      </c>
      <c r="D841" s="84"/>
      <c r="E841" s="84"/>
      <c r="F841" s="84"/>
      <c r="G841" s="138">
        <v>3.7</v>
      </c>
      <c r="H841" s="132">
        <v>106</v>
      </c>
      <c r="I841" s="132">
        <v>210</v>
      </c>
      <c r="J841" s="135">
        <v>11.7</v>
      </c>
      <c r="K841" s="128"/>
      <c r="L841" s="128"/>
      <c r="M841" s="318"/>
      <c r="N841" s="318"/>
    </row>
    <row r="842" spans="1:14" s="55" customFormat="1" ht="10.95" customHeight="1" x14ac:dyDescent="0.15">
      <c r="A842" s="272"/>
      <c r="B842" s="56" t="s">
        <v>928</v>
      </c>
      <c r="C842" s="55" t="s">
        <v>929</v>
      </c>
      <c r="D842" s="84"/>
      <c r="E842" s="84"/>
      <c r="F842" s="84"/>
      <c r="G842" s="85"/>
      <c r="H842" s="108"/>
      <c r="I842" s="79"/>
      <c r="J842" s="171"/>
      <c r="K842" s="128"/>
      <c r="L842" s="128"/>
      <c r="M842" s="318"/>
      <c r="N842" s="318"/>
    </row>
    <row r="843" spans="1:14" s="55" customFormat="1" ht="10.95" customHeight="1" x14ac:dyDescent="0.2">
      <c r="A843" s="272"/>
      <c r="B843" s="56"/>
      <c r="C843" s="55" t="s">
        <v>930</v>
      </c>
      <c r="D843" s="84"/>
      <c r="E843" s="84"/>
      <c r="F843" s="84"/>
      <c r="G843" s="138">
        <v>14.6</v>
      </c>
      <c r="H843" s="132">
        <v>417</v>
      </c>
      <c r="I843" s="132">
        <v>1400</v>
      </c>
      <c r="J843" s="135">
        <v>6.5</v>
      </c>
      <c r="K843" s="128"/>
      <c r="L843" s="128"/>
      <c r="M843" s="318"/>
      <c r="N843" s="318"/>
    </row>
    <row r="844" spans="1:14" s="55" customFormat="1" ht="10.95" customHeight="1" x14ac:dyDescent="0.2">
      <c r="A844" s="272"/>
      <c r="B844" s="56" t="s">
        <v>931</v>
      </c>
      <c r="C844" s="55" t="s">
        <v>932</v>
      </c>
      <c r="D844" s="84"/>
      <c r="E844" s="84"/>
      <c r="F844" s="84"/>
      <c r="G844" s="138">
        <v>3</v>
      </c>
      <c r="H844" s="132">
        <v>85</v>
      </c>
      <c r="I844" s="132">
        <v>670</v>
      </c>
      <c r="J844" s="135">
        <v>11.8</v>
      </c>
      <c r="K844" s="128"/>
      <c r="L844" s="128"/>
      <c r="M844" s="318"/>
      <c r="N844" s="318"/>
    </row>
    <row r="845" spans="1:14" s="55" customFormat="1" ht="10.95" customHeight="1" x14ac:dyDescent="0.2">
      <c r="A845" s="272"/>
      <c r="B845" s="56" t="s">
        <v>933</v>
      </c>
      <c r="C845" s="55" t="s">
        <v>934</v>
      </c>
      <c r="D845" s="84"/>
      <c r="E845" s="84"/>
      <c r="F845" s="84"/>
      <c r="G845" s="138">
        <v>0.2</v>
      </c>
      <c r="H845" s="132">
        <v>5</v>
      </c>
      <c r="I845" s="132">
        <v>20</v>
      </c>
      <c r="J845" s="135">
        <v>33.700000000000003</v>
      </c>
      <c r="K845" s="128"/>
      <c r="L845" s="128"/>
      <c r="M845" s="318"/>
      <c r="N845" s="318"/>
    </row>
    <row r="846" spans="1:14" s="55" customFormat="1" ht="10.95" customHeight="1" x14ac:dyDescent="0.2">
      <c r="A846" s="272"/>
      <c r="B846" s="56" t="s">
        <v>935</v>
      </c>
      <c r="C846" s="55" t="s">
        <v>936</v>
      </c>
      <c r="D846" s="84"/>
      <c r="E846" s="84"/>
      <c r="F846" s="84"/>
      <c r="G846" s="138">
        <v>0.7</v>
      </c>
      <c r="H846" s="132">
        <v>21</v>
      </c>
      <c r="I846" s="132">
        <v>230</v>
      </c>
      <c r="J846" s="135">
        <v>12.3</v>
      </c>
      <c r="K846" s="128"/>
      <c r="L846" s="128"/>
      <c r="M846" s="318"/>
      <c r="N846" s="318"/>
    </row>
    <row r="847" spans="1:14" ht="3" customHeight="1" x14ac:dyDescent="0.15">
      <c r="A847" s="302"/>
      <c r="K847" s="128"/>
      <c r="L847" s="128"/>
      <c r="M847" s="318"/>
      <c r="N847" s="318"/>
    </row>
    <row r="848" spans="1:14" ht="10.95" customHeight="1" x14ac:dyDescent="0.2">
      <c r="A848" s="302">
        <v>14.4</v>
      </c>
      <c r="B848" s="80" t="s">
        <v>937</v>
      </c>
      <c r="G848" s="138">
        <v>42.8</v>
      </c>
      <c r="H848" s="132">
        <v>1220</v>
      </c>
      <c r="I848" s="132">
        <v>3150</v>
      </c>
      <c r="J848" s="135">
        <v>1.5</v>
      </c>
      <c r="K848" s="128"/>
      <c r="L848" s="128"/>
      <c r="M848" s="318"/>
      <c r="N848" s="318"/>
    </row>
    <row r="849" spans="1:14" s="55" customFormat="1" ht="10.95" customHeight="1" x14ac:dyDescent="0.2">
      <c r="A849" s="272"/>
      <c r="B849" s="56" t="s">
        <v>938</v>
      </c>
      <c r="C849" s="55" t="s">
        <v>939</v>
      </c>
      <c r="D849" s="84"/>
      <c r="E849" s="84"/>
      <c r="F849" s="84"/>
      <c r="G849" s="138">
        <v>42.6</v>
      </c>
      <c r="H849" s="132">
        <v>1215</v>
      </c>
      <c r="I849" s="132">
        <v>3120</v>
      </c>
      <c r="J849" s="135">
        <v>1.5</v>
      </c>
      <c r="K849" s="128"/>
      <c r="L849" s="128"/>
      <c r="M849" s="318"/>
      <c r="N849" s="318"/>
    </row>
    <row r="850" spans="1:14" s="55" customFormat="1" ht="10.95" customHeight="1" x14ac:dyDescent="0.2">
      <c r="A850" s="272"/>
      <c r="B850" s="56" t="s">
        <v>940</v>
      </c>
      <c r="C850" s="55" t="s">
        <v>941</v>
      </c>
      <c r="D850" s="84"/>
      <c r="E850" s="84"/>
      <c r="F850" s="84"/>
      <c r="G850" s="138">
        <v>0.2</v>
      </c>
      <c r="H850" s="132">
        <v>5</v>
      </c>
      <c r="I850" s="132">
        <v>50</v>
      </c>
      <c r="J850" s="135">
        <v>31.7</v>
      </c>
      <c r="K850" s="128"/>
      <c r="L850" s="128"/>
      <c r="M850" s="318"/>
      <c r="N850" s="318"/>
    </row>
    <row r="851" spans="1:14" ht="3" customHeight="1" x14ac:dyDescent="0.15">
      <c r="A851" s="302"/>
      <c r="K851" s="128"/>
      <c r="L851" s="128"/>
      <c r="M851" s="318"/>
      <c r="N851" s="318"/>
    </row>
    <row r="852" spans="1:14" ht="10.95" customHeight="1" x14ac:dyDescent="0.2">
      <c r="A852" s="302">
        <v>14.5</v>
      </c>
      <c r="B852" s="80" t="s">
        <v>942</v>
      </c>
      <c r="G852" s="138">
        <v>73.5</v>
      </c>
      <c r="H852" s="132">
        <v>2095</v>
      </c>
      <c r="I852" s="132">
        <v>2490</v>
      </c>
      <c r="J852" s="135">
        <v>6.8</v>
      </c>
      <c r="K852" s="128"/>
      <c r="L852" s="128"/>
      <c r="M852" s="318"/>
      <c r="N852" s="318"/>
    </row>
    <row r="853" spans="1:14" s="55" customFormat="1" ht="10.95" customHeight="1" x14ac:dyDescent="0.2">
      <c r="A853" s="272"/>
      <c r="B853" s="56" t="s">
        <v>943</v>
      </c>
      <c r="C853" s="55" t="s">
        <v>944</v>
      </c>
      <c r="D853" s="84"/>
      <c r="E853" s="84"/>
      <c r="F853" s="84"/>
      <c r="G853" s="138">
        <v>6.1</v>
      </c>
      <c r="H853" s="132">
        <v>175</v>
      </c>
      <c r="I853" s="132">
        <v>10</v>
      </c>
      <c r="J853" s="135">
        <v>52.9</v>
      </c>
      <c r="K853" s="128"/>
      <c r="L853" s="128"/>
      <c r="M853" s="318"/>
      <c r="N853" s="318"/>
    </row>
    <row r="854" spans="1:14" s="55" customFormat="1" ht="10.95" customHeight="1" x14ac:dyDescent="0.2">
      <c r="A854" s="249"/>
      <c r="B854" s="56" t="s">
        <v>945</v>
      </c>
      <c r="C854" s="55" t="s">
        <v>946</v>
      </c>
      <c r="D854" s="84"/>
      <c r="E854" s="84"/>
      <c r="F854" s="84"/>
      <c r="G854" s="138">
        <v>29.5</v>
      </c>
      <c r="H854" s="132">
        <v>842</v>
      </c>
      <c r="I854" s="132">
        <v>1720</v>
      </c>
      <c r="J854" s="135">
        <v>2.7</v>
      </c>
      <c r="K854" s="128"/>
      <c r="L854" s="128"/>
      <c r="M854" s="318"/>
      <c r="N854" s="318"/>
    </row>
    <row r="855" spans="1:14" s="55" customFormat="1" ht="10.95" customHeight="1" x14ac:dyDescent="0.2">
      <c r="A855" s="272"/>
      <c r="B855" s="56" t="s">
        <v>947</v>
      </c>
      <c r="C855" s="55" t="s">
        <v>948</v>
      </c>
      <c r="D855" s="84"/>
      <c r="E855" s="84"/>
      <c r="F855" s="84"/>
      <c r="G855" s="138">
        <v>1.5</v>
      </c>
      <c r="H855" s="132">
        <v>41</v>
      </c>
      <c r="I855" s="132">
        <v>160</v>
      </c>
      <c r="J855" s="135">
        <v>10.9</v>
      </c>
      <c r="K855" s="128"/>
      <c r="L855" s="128"/>
      <c r="M855" s="318"/>
      <c r="N855" s="318"/>
    </row>
    <row r="856" spans="1:14" s="55" customFormat="1" ht="10.95" customHeight="1" x14ac:dyDescent="0.2">
      <c r="A856" s="272"/>
      <c r="B856" s="56" t="s">
        <v>949</v>
      </c>
      <c r="C856" s="55" t="s">
        <v>950</v>
      </c>
      <c r="D856" s="84"/>
      <c r="E856" s="84"/>
      <c r="F856" s="84"/>
      <c r="G856" s="138">
        <v>1.4</v>
      </c>
      <c r="H856" s="132">
        <v>40</v>
      </c>
      <c r="I856" s="132">
        <v>80</v>
      </c>
      <c r="J856" s="135">
        <v>31.7</v>
      </c>
      <c r="K856" s="128"/>
      <c r="L856" s="128"/>
      <c r="M856" s="318"/>
      <c r="N856" s="318"/>
    </row>
    <row r="857" spans="1:14" s="55" customFormat="1" ht="10.95" customHeight="1" x14ac:dyDescent="0.2">
      <c r="A857" s="272"/>
      <c r="B857" s="56" t="s">
        <v>951</v>
      </c>
      <c r="C857" s="55" t="s">
        <v>952</v>
      </c>
      <c r="D857" s="84"/>
      <c r="E857" s="84"/>
      <c r="F857" s="84"/>
      <c r="G857" s="138">
        <v>26.7</v>
      </c>
      <c r="H857" s="132">
        <v>760</v>
      </c>
      <c r="I857" s="132">
        <v>1070</v>
      </c>
      <c r="J857" s="135">
        <v>7.6</v>
      </c>
      <c r="K857" s="128"/>
      <c r="L857" s="128"/>
      <c r="M857" s="318"/>
      <c r="N857" s="318"/>
    </row>
    <row r="858" spans="1:14" s="55" customFormat="1" ht="10.95" customHeight="1" x14ac:dyDescent="0.2">
      <c r="A858" s="272"/>
      <c r="B858" s="56" t="s">
        <v>953</v>
      </c>
      <c r="C858" s="55" t="s">
        <v>954</v>
      </c>
      <c r="D858" s="84"/>
      <c r="E858" s="84"/>
      <c r="F858" s="84"/>
      <c r="G858" s="138">
        <v>0.5</v>
      </c>
      <c r="H858" s="132">
        <v>15</v>
      </c>
      <c r="I858" s="132">
        <v>90</v>
      </c>
      <c r="J858" s="135">
        <v>26.4</v>
      </c>
      <c r="K858" s="128"/>
      <c r="L858" s="128"/>
      <c r="M858" s="318"/>
      <c r="N858" s="318"/>
    </row>
    <row r="859" spans="1:14" s="55" customFormat="1" ht="10.95" customHeight="1" x14ac:dyDescent="0.2">
      <c r="A859" s="272"/>
      <c r="B859" s="56" t="s">
        <v>955</v>
      </c>
      <c r="C859" s="55" t="s">
        <v>956</v>
      </c>
      <c r="D859" s="84"/>
      <c r="E859" s="84"/>
      <c r="F859" s="84"/>
      <c r="G859" s="138">
        <v>0.8</v>
      </c>
      <c r="H859" s="132">
        <v>22</v>
      </c>
      <c r="I859" s="132">
        <v>40</v>
      </c>
      <c r="J859" s="135">
        <v>46.1</v>
      </c>
      <c r="K859" s="128"/>
      <c r="L859" s="128"/>
      <c r="M859" s="318"/>
      <c r="N859" s="318"/>
    </row>
    <row r="860" spans="1:14" s="55" customFormat="1" ht="10.95" customHeight="1" x14ac:dyDescent="0.2">
      <c r="A860" s="272"/>
      <c r="B860" s="56" t="s">
        <v>957</v>
      </c>
      <c r="C860" s="55" t="s">
        <v>958</v>
      </c>
      <c r="D860" s="84"/>
      <c r="E860" s="84"/>
      <c r="F860" s="84"/>
      <c r="G860" s="138">
        <v>7.1</v>
      </c>
      <c r="H860" s="132">
        <v>201</v>
      </c>
      <c r="I860" s="132">
        <v>40</v>
      </c>
      <c r="J860" s="135">
        <v>49.4</v>
      </c>
      <c r="K860" s="128"/>
      <c r="L860" s="128"/>
      <c r="M860" s="318"/>
      <c r="N860" s="318"/>
    </row>
    <row r="861" spans="1:14" ht="3" customHeight="1" x14ac:dyDescent="0.15">
      <c r="A861" s="302"/>
      <c r="K861" s="128"/>
      <c r="L861" s="128"/>
      <c r="M861" s="318"/>
      <c r="N861" s="318"/>
    </row>
    <row r="862" spans="1:14" ht="10.95" customHeight="1" x14ac:dyDescent="0.2">
      <c r="A862" s="302">
        <v>14.6</v>
      </c>
      <c r="B862" s="80" t="s">
        <v>959</v>
      </c>
      <c r="G862" s="138">
        <v>4.2</v>
      </c>
      <c r="H862" s="132">
        <v>120</v>
      </c>
      <c r="I862" s="132">
        <v>500</v>
      </c>
      <c r="J862" s="135">
        <v>9.5</v>
      </c>
      <c r="K862" s="128"/>
      <c r="L862" s="128"/>
      <c r="M862" s="318"/>
      <c r="N862" s="318"/>
    </row>
    <row r="863" spans="1:14" s="55" customFormat="1" ht="10.95" customHeight="1" x14ac:dyDescent="0.2">
      <c r="A863" s="272"/>
      <c r="B863" s="56" t="s">
        <v>960</v>
      </c>
      <c r="C863" s="55" t="s">
        <v>961</v>
      </c>
      <c r="D863" s="84"/>
      <c r="E863" s="84"/>
      <c r="F863" s="84"/>
      <c r="G863" s="138">
        <v>3.5</v>
      </c>
      <c r="H863" s="132">
        <v>99</v>
      </c>
      <c r="I863" s="132">
        <v>410</v>
      </c>
      <c r="J863" s="135">
        <v>10.6</v>
      </c>
      <c r="K863" s="128"/>
      <c r="L863" s="128"/>
      <c r="M863" s="318"/>
      <c r="N863" s="318"/>
    </row>
    <row r="864" spans="1:14" s="55" customFormat="1" ht="10.95" customHeight="1" x14ac:dyDescent="0.2">
      <c r="A864" s="272"/>
      <c r="B864" s="56" t="s">
        <v>962</v>
      </c>
      <c r="C864" s="55" t="s">
        <v>963</v>
      </c>
      <c r="D864" s="84"/>
      <c r="E864" s="84"/>
      <c r="F864" s="84"/>
      <c r="G864" s="138">
        <v>0.7</v>
      </c>
      <c r="H864" s="132">
        <v>19</v>
      </c>
      <c r="I864" s="132">
        <v>80</v>
      </c>
      <c r="J864" s="135">
        <v>18</v>
      </c>
      <c r="K864" s="128"/>
      <c r="L864" s="128"/>
      <c r="M864" s="318"/>
      <c r="N864" s="318"/>
    </row>
    <row r="865" spans="1:14" s="55" customFormat="1" ht="10.95" customHeight="1" x14ac:dyDescent="0.2">
      <c r="A865" s="56"/>
      <c r="B865" s="56" t="s">
        <v>964</v>
      </c>
      <c r="C865" s="55" t="s">
        <v>965</v>
      </c>
      <c r="D865" s="84"/>
      <c r="E865" s="84"/>
      <c r="F865" s="84"/>
      <c r="G865" s="138">
        <v>0.1</v>
      </c>
      <c r="H865" s="132">
        <v>2</v>
      </c>
      <c r="I865" s="132">
        <v>40</v>
      </c>
      <c r="J865" s="135">
        <v>38.5</v>
      </c>
      <c r="K865" s="128"/>
      <c r="L865" s="128"/>
      <c r="M865" s="318"/>
      <c r="N865" s="318"/>
    </row>
    <row r="866" spans="1:14" ht="3" customHeight="1" x14ac:dyDescent="0.15">
      <c r="K866" s="128"/>
      <c r="L866" s="128"/>
      <c r="M866" s="318"/>
      <c r="N866" s="318"/>
    </row>
    <row r="867" spans="1:14" s="229" customFormat="1" ht="10.95" customHeight="1" x14ac:dyDescent="0.2">
      <c r="A867" s="302">
        <v>14.7</v>
      </c>
      <c r="B867" s="302" t="s">
        <v>966</v>
      </c>
      <c r="G867" s="138">
        <v>2</v>
      </c>
      <c r="H867" s="132">
        <v>57</v>
      </c>
      <c r="I867" s="132">
        <v>210</v>
      </c>
      <c r="J867" s="135">
        <v>10.1</v>
      </c>
      <c r="K867" s="128"/>
      <c r="L867" s="128"/>
      <c r="M867" s="318"/>
      <c r="N867" s="318"/>
    </row>
    <row r="868" spans="1:14" s="229" customFormat="1" ht="10.95" customHeight="1" x14ac:dyDescent="0.2">
      <c r="A868" s="302">
        <v>14.8</v>
      </c>
      <c r="B868" s="302" t="s">
        <v>967</v>
      </c>
      <c r="G868" s="138">
        <v>0.2</v>
      </c>
      <c r="H868" s="132">
        <v>5</v>
      </c>
      <c r="I868" s="132">
        <v>100</v>
      </c>
      <c r="J868" s="135">
        <v>17.8</v>
      </c>
      <c r="K868" s="128"/>
      <c r="L868" s="128"/>
      <c r="M868" s="318"/>
      <c r="N868" s="318"/>
    </row>
    <row r="869" spans="1:14" ht="4.2" customHeight="1" x14ac:dyDescent="0.2">
      <c r="A869" s="564"/>
      <c r="B869" s="564"/>
      <c r="C869" s="565"/>
      <c r="D869" s="566"/>
      <c r="E869" s="566"/>
      <c r="F869" s="566"/>
      <c r="G869" s="567"/>
      <c r="H869" s="572"/>
      <c r="I869" s="565"/>
      <c r="J869" s="570"/>
      <c r="L869" s="269"/>
    </row>
    <row r="870" spans="1:14" ht="4.2" customHeight="1" x14ac:dyDescent="0.2">
      <c r="L870" s="269"/>
    </row>
    <row r="871" spans="1:14" ht="10.95" customHeight="1" x14ac:dyDescent="0.2">
      <c r="A871" s="157" t="s">
        <v>111</v>
      </c>
      <c r="L871" s="65"/>
    </row>
    <row r="872" spans="1:14" ht="10.95" customHeight="1" x14ac:dyDescent="0.2">
      <c r="A872" s="157" t="s">
        <v>182</v>
      </c>
      <c r="L872" s="65"/>
    </row>
    <row r="873" spans="1:14" ht="10.95" customHeight="1" x14ac:dyDescent="0.2">
      <c r="A873" s="157" t="s">
        <v>112</v>
      </c>
      <c r="L873" s="65"/>
    </row>
    <row r="874" spans="1:14" ht="13.5" customHeight="1" x14ac:dyDescent="0.2">
      <c r="A874" s="245" t="s">
        <v>968</v>
      </c>
      <c r="L874" s="65"/>
    </row>
    <row r="875" spans="1:14" ht="10.95" customHeight="1" x14ac:dyDescent="0.2">
      <c r="L875" s="65"/>
    </row>
    <row r="876" spans="1:14" ht="10.95" customHeight="1" x14ac:dyDescent="0.2">
      <c r="A876" s="320" t="s">
        <v>113</v>
      </c>
    </row>
    <row r="883" spans="1:1" ht="10.95" customHeight="1" x14ac:dyDescent="0.2">
      <c r="A883" s="245"/>
    </row>
    <row r="914" ht="10.5" customHeight="1" x14ac:dyDescent="0.2"/>
    <row r="915" ht="10.5" customHeight="1" x14ac:dyDescent="0.2"/>
    <row r="916" ht="10.5" customHeight="1" x14ac:dyDescent="0.2"/>
    <row r="917" ht="10.5" customHeight="1" x14ac:dyDescent="0.2"/>
    <row r="918" ht="10.5" customHeight="1" x14ac:dyDescent="0.2"/>
    <row r="919" ht="10.5" customHeight="1" x14ac:dyDescent="0.2"/>
    <row r="920" ht="10.5" customHeight="1" x14ac:dyDescent="0.2"/>
    <row r="921" ht="10.5" customHeight="1" x14ac:dyDescent="0.2"/>
    <row r="922" ht="10.5" customHeight="1" x14ac:dyDescent="0.2"/>
    <row r="923" ht="10.5" customHeight="1" x14ac:dyDescent="0.2"/>
    <row r="924" ht="10.5" customHeight="1" x14ac:dyDescent="0.2"/>
    <row r="925" ht="10.5" customHeight="1" x14ac:dyDescent="0.2"/>
    <row r="926" ht="10.5" customHeight="1" x14ac:dyDescent="0.2"/>
    <row r="927" ht="10.5" customHeight="1" x14ac:dyDescent="0.2"/>
    <row r="928" ht="10.5" customHeight="1" x14ac:dyDescent="0.2"/>
    <row r="929" ht="10.5" customHeight="1" x14ac:dyDescent="0.2"/>
    <row r="930" ht="10.5" customHeight="1" x14ac:dyDescent="0.2"/>
    <row r="931" ht="10.5" customHeight="1" x14ac:dyDescent="0.2"/>
    <row r="932" ht="10.5" customHeight="1" x14ac:dyDescent="0.2"/>
    <row r="933" ht="10.5" customHeight="1" x14ac:dyDescent="0.2"/>
    <row r="934" ht="10.5" customHeight="1" x14ac:dyDescent="0.2"/>
    <row r="935" ht="10.5" customHeight="1" x14ac:dyDescent="0.2"/>
    <row r="936" ht="10.5" customHeight="1" x14ac:dyDescent="0.2"/>
    <row r="937" ht="10.5" customHeight="1" x14ac:dyDescent="0.2"/>
    <row r="938" ht="10.5" customHeight="1" x14ac:dyDescent="0.2"/>
    <row r="939" ht="10.5" customHeight="1" x14ac:dyDescent="0.2"/>
    <row r="940" ht="10.5" customHeight="1" x14ac:dyDescent="0.2"/>
  </sheetData>
  <mergeCells count="2">
    <mergeCell ref="D334:F334"/>
    <mergeCell ref="D339:F339"/>
  </mergeCells>
  <hyperlinks>
    <hyperlink ref="N1" location="Contents!A1" display="Back to Contents" xr:uid="{6DC398B5-A5B6-4C66-B265-06579F3435B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28A3-881A-4C5E-80A1-C08C0EE95131}">
  <dimension ref="A1:N876"/>
  <sheetViews>
    <sheetView workbookViewId="0">
      <selection sqref="A1:XFD1048576"/>
    </sheetView>
  </sheetViews>
  <sheetFormatPr defaultColWidth="8.88671875" defaultRowHeight="14.4" x14ac:dyDescent="0.3"/>
  <cols>
    <col min="1" max="1" width="6.6640625" style="330" customWidth="1"/>
    <col min="2" max="2" width="7" style="330" customWidth="1"/>
    <col min="3" max="3" width="6.33203125" style="330" customWidth="1"/>
    <col min="4" max="4" width="4.44140625" style="330" customWidth="1"/>
    <col min="5" max="5" width="28.33203125" style="330" customWidth="1"/>
    <col min="6" max="6" width="22" style="330" customWidth="1"/>
    <col min="7" max="7" width="10.77734375" style="367" customWidth="1"/>
    <col min="8" max="9" width="9.77734375" style="368" customWidth="1"/>
    <col min="10" max="10" width="9.77734375" style="370" customWidth="1"/>
    <col min="11" max="16384" width="8.88671875" style="330"/>
  </cols>
  <sheetData>
    <row r="1" spans="1:14" ht="18" customHeight="1" x14ac:dyDescent="0.3">
      <c r="A1" s="322" t="s">
        <v>114</v>
      </c>
      <c r="B1" s="323"/>
      <c r="C1" s="324"/>
      <c r="D1" s="325"/>
      <c r="E1" s="325"/>
      <c r="F1" s="326"/>
      <c r="G1" s="327"/>
      <c r="H1" s="328"/>
      <c r="I1" s="328"/>
      <c r="J1" s="329"/>
      <c r="N1" s="331" t="s">
        <v>23</v>
      </c>
    </row>
    <row r="2" spans="1:14" ht="16.2" customHeight="1" x14ac:dyDescent="0.3">
      <c r="A2" s="332" t="s">
        <v>970</v>
      </c>
      <c r="B2" s="323"/>
      <c r="C2" s="324"/>
      <c r="D2" s="325"/>
      <c r="E2" s="325"/>
      <c r="F2" s="326"/>
      <c r="G2" s="327"/>
      <c r="H2" s="328"/>
      <c r="I2" s="328"/>
      <c r="J2" s="333"/>
    </row>
    <row r="3" spans="1:14" ht="16.8" customHeight="1" x14ac:dyDescent="0.3">
      <c r="A3" s="334" t="s">
        <v>971</v>
      </c>
      <c r="B3" s="335"/>
      <c r="C3" s="336"/>
      <c r="D3" s="337"/>
      <c r="E3" s="325"/>
      <c r="F3" s="326"/>
      <c r="G3" s="327"/>
      <c r="H3" s="328"/>
      <c r="I3" s="328"/>
      <c r="J3" s="333"/>
    </row>
    <row r="4" spans="1:14" ht="11.1" customHeight="1" x14ac:dyDescent="0.3">
      <c r="A4" s="338"/>
      <c r="B4" s="339"/>
      <c r="C4" s="340"/>
      <c r="D4" s="341"/>
      <c r="E4" s="341"/>
      <c r="F4" s="341"/>
      <c r="G4" s="342"/>
      <c r="H4" s="343"/>
      <c r="I4" s="343"/>
      <c r="J4" s="344"/>
    </row>
    <row r="5" spans="1:14" ht="11.1" customHeight="1" x14ac:dyDescent="0.3">
      <c r="A5" s="345"/>
      <c r="B5" s="346"/>
      <c r="C5" s="347"/>
      <c r="D5" s="348"/>
      <c r="E5" s="348"/>
      <c r="F5" s="348"/>
      <c r="G5" s="349"/>
      <c r="H5" s="350"/>
      <c r="I5" s="350"/>
      <c r="J5" s="351"/>
    </row>
    <row r="6" spans="1:14" ht="11.1" customHeight="1" x14ac:dyDescent="0.3">
      <c r="A6" s="345"/>
      <c r="B6" s="345"/>
      <c r="C6" s="352"/>
      <c r="D6" s="349"/>
      <c r="E6" s="349"/>
      <c r="F6" s="353"/>
      <c r="G6" s="354" t="s">
        <v>116</v>
      </c>
      <c r="H6" s="355" t="s">
        <v>25</v>
      </c>
      <c r="I6" s="355" t="s">
        <v>26</v>
      </c>
      <c r="J6" s="356" t="s">
        <v>117</v>
      </c>
    </row>
    <row r="7" spans="1:14" ht="11.1" customHeight="1" x14ac:dyDescent="0.3">
      <c r="A7" s="345"/>
      <c r="B7" s="345"/>
      <c r="C7" s="357"/>
      <c r="D7" s="349"/>
      <c r="E7" s="349"/>
      <c r="F7" s="353"/>
      <c r="G7" s="358" t="s">
        <v>29</v>
      </c>
      <c r="H7" s="355" t="s">
        <v>27</v>
      </c>
      <c r="I7" s="355" t="s">
        <v>28</v>
      </c>
      <c r="J7" s="356" t="s">
        <v>118</v>
      </c>
    </row>
    <row r="8" spans="1:14" ht="11.1" customHeight="1" x14ac:dyDescent="0.3">
      <c r="A8" s="345"/>
      <c r="B8" s="345"/>
      <c r="C8" s="357"/>
      <c r="D8" s="359"/>
      <c r="E8" s="359"/>
      <c r="F8" s="353"/>
      <c r="G8" s="354" t="s">
        <v>31</v>
      </c>
      <c r="H8" s="355" t="s">
        <v>29</v>
      </c>
      <c r="I8" s="355" t="s">
        <v>30</v>
      </c>
      <c r="J8" s="356" t="s">
        <v>119</v>
      </c>
    </row>
    <row r="9" spans="1:14" ht="11.1" customHeight="1" x14ac:dyDescent="0.3">
      <c r="A9" s="345"/>
      <c r="B9" s="345"/>
      <c r="C9" s="357"/>
      <c r="D9" s="349"/>
      <c r="E9" s="349"/>
      <c r="F9" s="353"/>
      <c r="G9" s="358" t="s">
        <v>32</v>
      </c>
      <c r="H9" s="355" t="s">
        <v>33</v>
      </c>
      <c r="I9" s="355" t="s">
        <v>120</v>
      </c>
      <c r="J9" s="356" t="s">
        <v>121</v>
      </c>
    </row>
    <row r="10" spans="1:14" ht="11.1" customHeight="1" x14ac:dyDescent="0.3">
      <c r="A10" s="360"/>
      <c r="B10" s="360"/>
      <c r="C10" s="361"/>
      <c r="D10" s="362"/>
      <c r="E10" s="362"/>
      <c r="F10" s="362"/>
      <c r="G10" s="363"/>
      <c r="H10" s="364"/>
      <c r="I10" s="364"/>
      <c r="J10" s="365"/>
    </row>
    <row r="12" spans="1:14" ht="11.1" customHeight="1" x14ac:dyDescent="0.3">
      <c r="A12" s="366" t="s">
        <v>122</v>
      </c>
      <c r="I12" s="369" t="s">
        <v>972</v>
      </c>
    </row>
    <row r="13" spans="1:14" ht="11.1" customHeight="1" x14ac:dyDescent="0.3">
      <c r="A13" s="371"/>
      <c r="B13" s="371"/>
      <c r="C13" s="371"/>
      <c r="D13" s="371"/>
      <c r="E13" s="371"/>
      <c r="F13" s="371"/>
      <c r="G13" s="372"/>
      <c r="H13" s="373"/>
      <c r="I13" s="373"/>
      <c r="J13" s="374"/>
    </row>
    <row r="15" spans="1:14" ht="11.1" customHeight="1" x14ac:dyDescent="0.3">
      <c r="A15" s="375" t="s">
        <v>123</v>
      </c>
      <c r="F15" s="330" t="s">
        <v>973</v>
      </c>
    </row>
    <row r="17" spans="1:11" ht="11.1" customHeight="1" x14ac:dyDescent="0.3">
      <c r="A17" s="376" t="s">
        <v>34</v>
      </c>
      <c r="B17" s="376" t="s">
        <v>7</v>
      </c>
      <c r="C17" s="376"/>
      <c r="D17" s="376"/>
      <c r="E17" s="376"/>
      <c r="F17" s="376"/>
      <c r="G17" s="377" t="s">
        <v>974</v>
      </c>
      <c r="H17" s="378">
        <v>2008</v>
      </c>
      <c r="I17" s="378" t="s">
        <v>975</v>
      </c>
      <c r="J17" s="379">
        <v>0.8</v>
      </c>
      <c r="K17" s="380"/>
    </row>
    <row r="18" spans="1:11" ht="11.1" customHeight="1" x14ac:dyDescent="0.3">
      <c r="A18" s="380"/>
      <c r="B18" s="380"/>
      <c r="C18" s="380"/>
      <c r="D18" s="380"/>
      <c r="E18" s="380"/>
      <c r="F18" s="380"/>
      <c r="G18" s="381"/>
      <c r="H18" s="382"/>
      <c r="I18" s="382"/>
      <c r="J18" s="383"/>
      <c r="K18" s="380"/>
    </row>
    <row r="19" spans="1:11" ht="11.1" customHeight="1" x14ac:dyDescent="0.3">
      <c r="A19" s="380">
        <v>1.1000000000000001</v>
      </c>
      <c r="B19" s="380" t="s">
        <v>35</v>
      </c>
      <c r="C19" s="380"/>
      <c r="D19" s="380"/>
      <c r="E19" s="380"/>
      <c r="F19" s="380"/>
      <c r="G19" s="381" t="s">
        <v>976</v>
      </c>
      <c r="H19" s="382">
        <v>1832</v>
      </c>
      <c r="I19" s="382" t="s">
        <v>975</v>
      </c>
      <c r="J19" s="383">
        <v>0.8</v>
      </c>
      <c r="K19" s="380"/>
    </row>
    <row r="20" spans="1:11" ht="11.1" customHeight="1" x14ac:dyDescent="0.3">
      <c r="A20" s="380"/>
      <c r="B20" s="380" t="s">
        <v>36</v>
      </c>
      <c r="C20" s="380" t="s">
        <v>37</v>
      </c>
      <c r="D20" s="380"/>
      <c r="E20" s="380"/>
      <c r="F20" s="380"/>
      <c r="G20" s="381" t="s">
        <v>977</v>
      </c>
      <c r="H20" s="382">
        <v>176</v>
      </c>
      <c r="I20" s="382" t="s">
        <v>978</v>
      </c>
      <c r="J20" s="383">
        <v>1</v>
      </c>
      <c r="K20" s="380"/>
    </row>
    <row r="21" spans="1:11" ht="11.1" customHeight="1" x14ac:dyDescent="0.3">
      <c r="A21" s="380"/>
      <c r="B21" s="380"/>
      <c r="C21" s="380" t="s">
        <v>125</v>
      </c>
      <c r="D21" s="380" t="s">
        <v>126</v>
      </c>
      <c r="E21" s="380"/>
      <c r="F21" s="380"/>
      <c r="G21" s="381" t="s">
        <v>979</v>
      </c>
      <c r="H21" s="382">
        <v>14</v>
      </c>
      <c r="I21" s="382" t="s">
        <v>980</v>
      </c>
      <c r="J21" s="383">
        <v>3.7</v>
      </c>
      <c r="K21" s="380"/>
    </row>
    <row r="22" spans="1:11" ht="11.1" customHeight="1" x14ac:dyDescent="0.3">
      <c r="A22" s="380"/>
      <c r="B22" s="380"/>
      <c r="C22" s="380" t="s">
        <v>127</v>
      </c>
      <c r="D22" s="380" t="s">
        <v>128</v>
      </c>
      <c r="E22" s="380"/>
      <c r="F22" s="380"/>
      <c r="G22" s="381" t="s">
        <v>981</v>
      </c>
      <c r="H22" s="382">
        <v>82</v>
      </c>
      <c r="I22" s="382" t="s">
        <v>982</v>
      </c>
      <c r="J22" s="383">
        <v>1.1000000000000001</v>
      </c>
      <c r="K22" s="380"/>
    </row>
    <row r="23" spans="1:11" ht="11.1" customHeight="1" x14ac:dyDescent="0.3">
      <c r="A23" s="380"/>
      <c r="B23" s="380"/>
      <c r="C23" s="380" t="s">
        <v>129</v>
      </c>
      <c r="D23" s="380" t="s">
        <v>130</v>
      </c>
      <c r="E23" s="380"/>
      <c r="F23" s="380"/>
      <c r="G23" s="381" t="s">
        <v>983</v>
      </c>
      <c r="H23" s="382">
        <v>81</v>
      </c>
      <c r="I23" s="382" t="s">
        <v>984</v>
      </c>
      <c r="J23" s="383">
        <v>1.5</v>
      </c>
      <c r="K23" s="380"/>
    </row>
    <row r="24" spans="1:11" ht="11.1" customHeight="1" x14ac:dyDescent="0.3">
      <c r="A24" s="380"/>
      <c r="B24" s="380"/>
      <c r="C24" s="380"/>
      <c r="D24" s="380"/>
      <c r="E24" s="380"/>
      <c r="F24" s="380"/>
      <c r="G24" s="381"/>
      <c r="H24" s="382"/>
      <c r="I24" s="382"/>
      <c r="J24" s="383"/>
      <c r="K24" s="380"/>
    </row>
    <row r="25" spans="1:11" ht="11.1" customHeight="1" x14ac:dyDescent="0.3">
      <c r="A25" s="380"/>
      <c r="B25" s="380" t="s">
        <v>38</v>
      </c>
      <c r="C25" s="380" t="s">
        <v>39</v>
      </c>
      <c r="D25" s="380"/>
      <c r="E25" s="380"/>
      <c r="F25" s="380"/>
      <c r="G25" s="381" t="s">
        <v>985</v>
      </c>
      <c r="H25" s="382">
        <v>16</v>
      </c>
      <c r="I25" s="382" t="s">
        <v>986</v>
      </c>
      <c r="J25" s="383">
        <v>2.2000000000000002</v>
      </c>
      <c r="K25" s="380"/>
    </row>
    <row r="26" spans="1:11" ht="11.1" customHeight="1" x14ac:dyDescent="0.3">
      <c r="A26" s="380"/>
      <c r="B26" s="380"/>
      <c r="C26" s="380"/>
      <c r="D26" s="380"/>
      <c r="E26" s="380"/>
      <c r="F26" s="380"/>
      <c r="G26" s="381"/>
      <c r="H26" s="382"/>
      <c r="I26" s="382"/>
      <c r="J26" s="383"/>
      <c r="K26" s="380"/>
    </row>
    <row r="27" spans="1:11" ht="11.1" customHeight="1" x14ac:dyDescent="0.3">
      <c r="A27" s="380"/>
      <c r="B27" s="380" t="s">
        <v>40</v>
      </c>
      <c r="C27" s="380" t="s">
        <v>41</v>
      </c>
      <c r="D27" s="380"/>
      <c r="E27" s="380"/>
      <c r="F27" s="380"/>
      <c r="G27" s="381" t="s">
        <v>987</v>
      </c>
      <c r="H27" s="382">
        <v>138</v>
      </c>
      <c r="I27" s="382" t="s">
        <v>988</v>
      </c>
      <c r="J27" s="383">
        <v>1.4</v>
      </c>
      <c r="K27" s="380"/>
    </row>
    <row r="28" spans="1:11" ht="11.1" customHeight="1" x14ac:dyDescent="0.3">
      <c r="A28" s="380"/>
      <c r="B28" s="380"/>
      <c r="C28" s="380" t="s">
        <v>131</v>
      </c>
      <c r="D28" s="380" t="s">
        <v>132</v>
      </c>
      <c r="E28" s="380"/>
      <c r="F28" s="380"/>
      <c r="G28" s="381" t="s">
        <v>981</v>
      </c>
      <c r="H28" s="382">
        <v>84</v>
      </c>
      <c r="I28" s="382" t="s">
        <v>989</v>
      </c>
      <c r="J28" s="383">
        <v>1.2</v>
      </c>
      <c r="K28" s="380"/>
    </row>
    <row r="29" spans="1:11" ht="11.1" customHeight="1" x14ac:dyDescent="0.3">
      <c r="A29" s="380"/>
      <c r="B29" s="380"/>
      <c r="C29" s="380" t="s">
        <v>133</v>
      </c>
      <c r="D29" s="380" t="s">
        <v>134</v>
      </c>
      <c r="E29" s="380"/>
      <c r="F29" s="380"/>
      <c r="G29" s="381" t="s">
        <v>990</v>
      </c>
      <c r="H29" s="382">
        <v>55</v>
      </c>
      <c r="I29" s="382" t="s">
        <v>991</v>
      </c>
      <c r="J29" s="383">
        <v>2.7</v>
      </c>
      <c r="K29" s="380"/>
    </row>
    <row r="30" spans="1:11" ht="11.1" customHeight="1" x14ac:dyDescent="0.3">
      <c r="A30" s="380"/>
      <c r="B30" s="380"/>
      <c r="C30" s="380"/>
      <c r="D30" s="380"/>
      <c r="E30" s="380"/>
      <c r="F30" s="380"/>
      <c r="G30" s="381"/>
      <c r="H30" s="382"/>
      <c r="I30" s="382"/>
      <c r="J30" s="383"/>
      <c r="K30" s="380"/>
    </row>
    <row r="31" spans="1:11" ht="11.1" customHeight="1" x14ac:dyDescent="0.3">
      <c r="A31" s="380"/>
      <c r="B31" s="380" t="s">
        <v>42</v>
      </c>
      <c r="C31" s="380" t="s">
        <v>43</v>
      </c>
      <c r="D31" s="380"/>
      <c r="E31" s="380"/>
      <c r="F31" s="380"/>
      <c r="G31" s="381" t="s">
        <v>992</v>
      </c>
      <c r="H31" s="382">
        <v>32</v>
      </c>
      <c r="I31" s="382" t="s">
        <v>993</v>
      </c>
      <c r="J31" s="383">
        <v>2</v>
      </c>
      <c r="K31" s="380"/>
    </row>
    <row r="32" spans="1:11" ht="11.1" customHeight="1" x14ac:dyDescent="0.3">
      <c r="A32" s="380"/>
      <c r="B32" s="380" t="s">
        <v>44</v>
      </c>
      <c r="C32" s="380" t="s">
        <v>45</v>
      </c>
      <c r="D32" s="380"/>
      <c r="E32" s="380"/>
      <c r="F32" s="380"/>
      <c r="G32" s="381" t="s">
        <v>994</v>
      </c>
      <c r="H32" s="382">
        <v>57</v>
      </c>
      <c r="I32" s="382" t="s">
        <v>986</v>
      </c>
      <c r="J32" s="383">
        <v>2.6</v>
      </c>
      <c r="K32" s="380"/>
    </row>
    <row r="33" spans="1:11" ht="11.1" customHeight="1" x14ac:dyDescent="0.3">
      <c r="A33" s="380"/>
      <c r="B33" s="380" t="s">
        <v>46</v>
      </c>
      <c r="C33" s="380" t="s">
        <v>47</v>
      </c>
      <c r="D33" s="380"/>
      <c r="E33" s="380"/>
      <c r="F33" s="380"/>
      <c r="G33" s="381" t="s">
        <v>985</v>
      </c>
      <c r="H33" s="382">
        <v>16</v>
      </c>
      <c r="I33" s="382" t="s">
        <v>995</v>
      </c>
      <c r="J33" s="383">
        <v>3.5</v>
      </c>
      <c r="K33" s="380"/>
    </row>
    <row r="34" spans="1:11" ht="11.1" customHeight="1" x14ac:dyDescent="0.3">
      <c r="A34" s="380"/>
      <c r="B34" s="380" t="s">
        <v>48</v>
      </c>
      <c r="C34" s="380" t="s">
        <v>49</v>
      </c>
      <c r="D34" s="380"/>
      <c r="E34" s="380"/>
      <c r="F34" s="380"/>
      <c r="G34" s="381" t="s">
        <v>979</v>
      </c>
      <c r="H34" s="382">
        <v>16</v>
      </c>
      <c r="I34" s="382" t="s">
        <v>996</v>
      </c>
      <c r="J34" s="383">
        <v>5.5</v>
      </c>
      <c r="K34" s="380"/>
    </row>
    <row r="35" spans="1:11" ht="11.1" customHeight="1" x14ac:dyDescent="0.3">
      <c r="A35" s="380"/>
      <c r="B35" s="380" t="s">
        <v>50</v>
      </c>
      <c r="C35" s="380" t="s">
        <v>51</v>
      </c>
      <c r="D35" s="380"/>
      <c r="E35" s="380"/>
      <c r="F35" s="380"/>
      <c r="G35" s="381" t="s">
        <v>997</v>
      </c>
      <c r="H35" s="382">
        <v>70</v>
      </c>
      <c r="I35" s="382" t="s">
        <v>998</v>
      </c>
      <c r="J35" s="383">
        <v>1.8</v>
      </c>
      <c r="K35" s="380"/>
    </row>
    <row r="36" spans="1:11" ht="11.1" customHeight="1" x14ac:dyDescent="0.3">
      <c r="A36" s="380"/>
      <c r="B36" s="380" t="s">
        <v>52</v>
      </c>
      <c r="C36" s="380" t="s">
        <v>53</v>
      </c>
      <c r="D36" s="380"/>
      <c r="E36" s="380"/>
      <c r="F36" s="380"/>
      <c r="G36" s="381" t="s">
        <v>999</v>
      </c>
      <c r="H36" s="382">
        <v>25</v>
      </c>
      <c r="I36" s="382" t="s">
        <v>1000</v>
      </c>
      <c r="J36" s="383">
        <v>2.1</v>
      </c>
      <c r="K36" s="380"/>
    </row>
    <row r="37" spans="1:11" ht="11.1" customHeight="1" x14ac:dyDescent="0.3">
      <c r="A37" s="380"/>
      <c r="B37" s="380"/>
      <c r="C37" s="380"/>
      <c r="D37" s="380"/>
      <c r="E37" s="380"/>
      <c r="F37" s="380"/>
      <c r="G37" s="381"/>
      <c r="H37" s="382"/>
      <c r="I37" s="382"/>
      <c r="J37" s="383"/>
      <c r="K37" s="380"/>
    </row>
    <row r="38" spans="1:11" ht="11.1" customHeight="1" x14ac:dyDescent="0.3">
      <c r="A38" s="380"/>
      <c r="B38" s="380" t="s">
        <v>54</v>
      </c>
      <c r="C38" s="380" t="s">
        <v>55</v>
      </c>
      <c r="D38" s="380"/>
      <c r="E38" s="380"/>
      <c r="F38" s="380"/>
      <c r="G38" s="381" t="s">
        <v>1001</v>
      </c>
      <c r="H38" s="382">
        <v>217</v>
      </c>
      <c r="I38" s="382" t="s">
        <v>1002</v>
      </c>
      <c r="J38" s="383">
        <v>2</v>
      </c>
      <c r="K38" s="380"/>
    </row>
    <row r="39" spans="1:11" ht="11.1" customHeight="1" x14ac:dyDescent="0.3">
      <c r="A39" s="380"/>
      <c r="B39" s="380"/>
      <c r="C39" s="380" t="s">
        <v>135</v>
      </c>
      <c r="D39" s="380" t="s">
        <v>136</v>
      </c>
      <c r="E39" s="380"/>
      <c r="F39" s="380"/>
      <c r="G39" s="381" t="s">
        <v>1003</v>
      </c>
      <c r="H39" s="382">
        <v>29</v>
      </c>
      <c r="I39" s="382" t="s">
        <v>1004</v>
      </c>
      <c r="J39" s="383">
        <v>2</v>
      </c>
      <c r="K39" s="380"/>
    </row>
    <row r="40" spans="1:11" ht="11.1" customHeight="1" x14ac:dyDescent="0.3">
      <c r="A40" s="380"/>
      <c r="B40" s="380"/>
      <c r="C40" s="380" t="s">
        <v>137</v>
      </c>
      <c r="D40" s="380" t="s">
        <v>138</v>
      </c>
      <c r="E40" s="380"/>
      <c r="F40" s="380"/>
      <c r="G40" s="381" t="s">
        <v>1005</v>
      </c>
      <c r="H40" s="382">
        <v>3</v>
      </c>
      <c r="I40" s="382" t="s">
        <v>1006</v>
      </c>
      <c r="J40" s="383">
        <v>5.8</v>
      </c>
      <c r="K40" s="380"/>
    </row>
    <row r="41" spans="1:11" ht="11.1" customHeight="1" x14ac:dyDescent="0.3">
      <c r="A41" s="380"/>
      <c r="B41" s="380"/>
      <c r="C41" s="380" t="s">
        <v>139</v>
      </c>
      <c r="D41" s="380" t="s">
        <v>140</v>
      </c>
      <c r="E41" s="380"/>
      <c r="F41" s="380"/>
      <c r="G41" s="381" t="s">
        <v>1007</v>
      </c>
      <c r="H41" s="382">
        <v>184</v>
      </c>
      <c r="I41" s="382" t="s">
        <v>1008</v>
      </c>
      <c r="J41" s="383">
        <v>2.2000000000000002</v>
      </c>
      <c r="K41" s="380"/>
    </row>
    <row r="42" spans="1:11" ht="11.1" customHeight="1" x14ac:dyDescent="0.3">
      <c r="A42" s="380"/>
      <c r="B42" s="380"/>
      <c r="C42" s="380" t="s">
        <v>141</v>
      </c>
      <c r="D42" s="380" t="s">
        <v>142</v>
      </c>
      <c r="E42" s="380"/>
      <c r="F42" s="380"/>
      <c r="G42" s="381" t="s">
        <v>1009</v>
      </c>
      <c r="H42" s="382">
        <v>1</v>
      </c>
      <c r="I42" s="382" t="s">
        <v>1010</v>
      </c>
      <c r="J42" s="383">
        <v>64</v>
      </c>
      <c r="K42" s="380"/>
    </row>
    <row r="43" spans="1:11" ht="11.1" customHeight="1" x14ac:dyDescent="0.3">
      <c r="A43" s="380"/>
      <c r="B43" s="380"/>
      <c r="C43" s="380"/>
      <c r="D43" s="380"/>
      <c r="E43" s="380"/>
      <c r="F43" s="380"/>
      <c r="G43" s="381"/>
      <c r="H43" s="382"/>
      <c r="I43" s="382"/>
      <c r="J43" s="383"/>
      <c r="K43" s="380"/>
    </row>
    <row r="44" spans="1:11" ht="11.1" customHeight="1" x14ac:dyDescent="0.3">
      <c r="A44" s="380"/>
      <c r="B44" s="380" t="s">
        <v>56</v>
      </c>
      <c r="C44" s="380" t="s">
        <v>57</v>
      </c>
      <c r="D44" s="380"/>
      <c r="E44" s="380"/>
      <c r="F44" s="380"/>
      <c r="G44" s="381" t="s">
        <v>1011</v>
      </c>
      <c r="H44" s="382">
        <v>85</v>
      </c>
      <c r="I44" s="382" t="s">
        <v>1012</v>
      </c>
      <c r="J44" s="383">
        <v>2.2000000000000002</v>
      </c>
      <c r="K44" s="380"/>
    </row>
    <row r="45" spans="1:11" ht="11.1" customHeight="1" x14ac:dyDescent="0.3">
      <c r="A45" s="380"/>
      <c r="B45" s="380"/>
      <c r="C45" s="380" t="s">
        <v>143</v>
      </c>
      <c r="D45" s="380" t="s">
        <v>144</v>
      </c>
      <c r="E45" s="380"/>
      <c r="F45" s="380"/>
      <c r="G45" s="381" t="s">
        <v>1003</v>
      </c>
      <c r="H45" s="382">
        <v>28</v>
      </c>
      <c r="I45" s="382" t="s">
        <v>1013</v>
      </c>
      <c r="J45" s="383">
        <v>3.8</v>
      </c>
      <c r="K45" s="380"/>
    </row>
    <row r="46" spans="1:11" ht="11.1" customHeight="1" x14ac:dyDescent="0.3">
      <c r="A46" s="380"/>
      <c r="B46" s="380"/>
      <c r="C46" s="380" t="s">
        <v>145</v>
      </c>
      <c r="D46" s="380" t="s">
        <v>146</v>
      </c>
      <c r="E46" s="380"/>
      <c r="F46" s="380"/>
      <c r="G46" s="381" t="s">
        <v>985</v>
      </c>
      <c r="H46" s="382">
        <v>18</v>
      </c>
      <c r="I46" s="382" t="s">
        <v>1014</v>
      </c>
      <c r="J46" s="383">
        <v>4.0999999999999996</v>
      </c>
      <c r="K46" s="380"/>
    </row>
    <row r="47" spans="1:11" ht="11.1" customHeight="1" x14ac:dyDescent="0.3">
      <c r="A47" s="380"/>
      <c r="B47" s="380"/>
      <c r="C47" s="380" t="s">
        <v>147</v>
      </c>
      <c r="D47" s="380" t="s">
        <v>148</v>
      </c>
      <c r="E47" s="380"/>
      <c r="F47" s="380"/>
      <c r="G47" s="381" t="s">
        <v>1015</v>
      </c>
      <c r="H47" s="382">
        <v>39</v>
      </c>
      <c r="I47" s="382" t="s">
        <v>1016</v>
      </c>
      <c r="J47" s="383">
        <v>2.2999999999999998</v>
      </c>
      <c r="K47" s="380"/>
    </row>
    <row r="48" spans="1:11" ht="11.1" customHeight="1" x14ac:dyDescent="0.3">
      <c r="A48" s="380"/>
      <c r="B48" s="380"/>
      <c r="C48" s="380"/>
      <c r="D48" s="380"/>
      <c r="E48" s="380"/>
      <c r="F48" s="380"/>
      <c r="G48" s="381"/>
      <c r="H48" s="382"/>
      <c r="I48" s="382"/>
      <c r="J48" s="383"/>
      <c r="K48" s="380"/>
    </row>
    <row r="49" spans="1:11" ht="11.1" customHeight="1" x14ac:dyDescent="0.3">
      <c r="A49" s="380"/>
      <c r="B49" s="380" t="s">
        <v>58</v>
      </c>
      <c r="C49" s="380" t="s">
        <v>59</v>
      </c>
      <c r="D49" s="380"/>
      <c r="E49" s="380"/>
      <c r="F49" s="380"/>
      <c r="G49" s="381" t="s">
        <v>1017</v>
      </c>
      <c r="H49" s="382">
        <v>66</v>
      </c>
      <c r="I49" s="382" t="s">
        <v>1018</v>
      </c>
      <c r="J49" s="383">
        <v>1.3</v>
      </c>
      <c r="K49" s="380"/>
    </row>
    <row r="50" spans="1:11" ht="11.1" customHeight="1" x14ac:dyDescent="0.3">
      <c r="A50" s="380"/>
      <c r="B50" s="380"/>
      <c r="C50" s="380" t="s">
        <v>149</v>
      </c>
      <c r="D50" s="380" t="s">
        <v>150</v>
      </c>
      <c r="E50" s="380"/>
      <c r="F50" s="380"/>
      <c r="G50" s="381" t="s">
        <v>985</v>
      </c>
      <c r="H50" s="382">
        <v>16</v>
      </c>
      <c r="I50" s="382" t="s">
        <v>1019</v>
      </c>
      <c r="J50" s="383">
        <v>2.5</v>
      </c>
      <c r="K50" s="380"/>
    </row>
    <row r="51" spans="1:11" ht="11.1" customHeight="1" x14ac:dyDescent="0.3">
      <c r="A51" s="380"/>
      <c r="B51" s="380"/>
      <c r="C51" s="380" t="s">
        <v>151</v>
      </c>
      <c r="D51" s="380" t="s">
        <v>152</v>
      </c>
      <c r="E51" s="380"/>
      <c r="F51" s="380"/>
      <c r="G51" s="381" t="s">
        <v>1020</v>
      </c>
      <c r="H51" s="382">
        <v>43</v>
      </c>
      <c r="I51" s="382" t="s">
        <v>1021</v>
      </c>
      <c r="J51" s="383">
        <v>1.7</v>
      </c>
      <c r="K51" s="380"/>
    </row>
    <row r="52" spans="1:11" ht="11.1" customHeight="1" x14ac:dyDescent="0.3">
      <c r="A52" s="380"/>
      <c r="B52" s="380"/>
      <c r="C52" s="380" t="s">
        <v>153</v>
      </c>
      <c r="D52" s="380" t="s">
        <v>154</v>
      </c>
      <c r="E52" s="380"/>
      <c r="F52" s="380"/>
      <c r="G52" s="381" t="s">
        <v>1022</v>
      </c>
      <c r="H52" s="382">
        <v>7</v>
      </c>
      <c r="I52" s="382" t="s">
        <v>1023</v>
      </c>
      <c r="J52" s="383">
        <v>5.6</v>
      </c>
      <c r="K52" s="380"/>
    </row>
    <row r="53" spans="1:11" ht="11.1" customHeight="1" x14ac:dyDescent="0.3">
      <c r="A53" s="380"/>
      <c r="B53" s="380"/>
      <c r="C53" s="380"/>
      <c r="D53" s="380"/>
      <c r="E53" s="380"/>
      <c r="F53" s="380"/>
      <c r="G53" s="381"/>
      <c r="H53" s="382"/>
      <c r="I53" s="382"/>
      <c r="J53" s="383"/>
      <c r="K53" s="380"/>
    </row>
    <row r="54" spans="1:11" ht="11.1" customHeight="1" x14ac:dyDescent="0.3">
      <c r="A54" s="380"/>
      <c r="B54" s="380" t="s">
        <v>60</v>
      </c>
      <c r="C54" s="380" t="s">
        <v>61</v>
      </c>
      <c r="D54" s="380"/>
      <c r="E54" s="380"/>
      <c r="F54" s="380"/>
      <c r="G54" s="381" t="s">
        <v>1024</v>
      </c>
      <c r="H54" s="382">
        <v>75</v>
      </c>
      <c r="I54" s="382" t="s">
        <v>1025</v>
      </c>
      <c r="J54" s="383">
        <v>1.4</v>
      </c>
      <c r="K54" s="380"/>
    </row>
    <row r="55" spans="1:11" ht="11.1" customHeight="1" x14ac:dyDescent="0.3">
      <c r="A55" s="380"/>
      <c r="B55" s="380" t="s">
        <v>62</v>
      </c>
      <c r="C55" s="380" t="s">
        <v>63</v>
      </c>
      <c r="D55" s="380"/>
      <c r="E55" s="380"/>
      <c r="F55" s="380"/>
      <c r="G55" s="381" t="s">
        <v>1003</v>
      </c>
      <c r="H55" s="382">
        <v>29</v>
      </c>
      <c r="I55" s="382" t="s">
        <v>1026</v>
      </c>
      <c r="J55" s="383">
        <v>1.4</v>
      </c>
      <c r="K55" s="380"/>
    </row>
    <row r="56" spans="1:11" ht="11.1" customHeight="1" x14ac:dyDescent="0.3">
      <c r="A56" s="380"/>
      <c r="B56" s="380"/>
      <c r="C56" s="380"/>
      <c r="D56" s="380"/>
      <c r="E56" s="380"/>
      <c r="F56" s="380"/>
      <c r="G56" s="381"/>
      <c r="H56" s="382"/>
      <c r="I56" s="382"/>
      <c r="J56" s="383"/>
      <c r="K56" s="380"/>
    </row>
    <row r="57" spans="1:11" ht="11.1" customHeight="1" x14ac:dyDescent="0.3">
      <c r="A57" s="380"/>
      <c r="B57" s="380" t="s">
        <v>64</v>
      </c>
      <c r="C57" s="380" t="s">
        <v>1027</v>
      </c>
      <c r="D57" s="380"/>
      <c r="E57" s="380"/>
      <c r="F57" s="380"/>
      <c r="G57" s="381" t="s">
        <v>983</v>
      </c>
      <c r="H57" s="382">
        <v>79</v>
      </c>
      <c r="I57" s="382" t="s">
        <v>1028</v>
      </c>
      <c r="J57" s="383">
        <v>1.4</v>
      </c>
      <c r="K57" s="380"/>
    </row>
    <row r="58" spans="1:11" ht="11.1" customHeight="1" x14ac:dyDescent="0.3">
      <c r="A58" s="380"/>
      <c r="B58" s="380"/>
      <c r="C58" s="380" t="s">
        <v>155</v>
      </c>
      <c r="D58" s="380" t="s">
        <v>65</v>
      </c>
      <c r="E58" s="380"/>
      <c r="F58" s="380"/>
      <c r="G58" s="381" t="s">
        <v>1015</v>
      </c>
      <c r="H58" s="382">
        <v>41</v>
      </c>
      <c r="I58" s="382" t="s">
        <v>1029</v>
      </c>
      <c r="J58" s="383">
        <v>1.9</v>
      </c>
      <c r="K58" s="380"/>
    </row>
    <row r="59" spans="1:11" ht="11.1" customHeight="1" x14ac:dyDescent="0.3">
      <c r="A59" s="380"/>
      <c r="B59" s="380"/>
      <c r="C59" s="380" t="s">
        <v>156</v>
      </c>
      <c r="D59" s="380" t="s">
        <v>157</v>
      </c>
      <c r="E59" s="380"/>
      <c r="F59" s="380"/>
      <c r="G59" s="381" t="s">
        <v>1030</v>
      </c>
      <c r="H59" s="382">
        <v>38</v>
      </c>
      <c r="I59" s="382" t="s">
        <v>1031</v>
      </c>
      <c r="J59" s="383">
        <v>1.8</v>
      </c>
      <c r="K59" s="380"/>
    </row>
    <row r="60" spans="1:11" ht="11.1" customHeight="1" x14ac:dyDescent="0.3">
      <c r="A60" s="380"/>
      <c r="B60" s="380"/>
      <c r="C60" s="380"/>
      <c r="D60" s="380"/>
      <c r="E60" s="380"/>
      <c r="F60" s="380"/>
      <c r="G60" s="381"/>
      <c r="H60" s="382"/>
      <c r="I60" s="382"/>
      <c r="J60" s="383"/>
      <c r="K60" s="380"/>
    </row>
    <row r="61" spans="1:11" ht="11.1" customHeight="1" x14ac:dyDescent="0.3">
      <c r="A61" s="380"/>
      <c r="B61" s="380" t="s">
        <v>66</v>
      </c>
      <c r="C61" s="380" t="s">
        <v>67</v>
      </c>
      <c r="D61" s="380"/>
      <c r="E61" s="380"/>
      <c r="F61" s="380"/>
      <c r="G61" s="381" t="s">
        <v>985</v>
      </c>
      <c r="H61" s="382">
        <v>16</v>
      </c>
      <c r="I61" s="382" t="s">
        <v>1032</v>
      </c>
      <c r="J61" s="383">
        <v>2.7</v>
      </c>
      <c r="K61" s="380"/>
    </row>
    <row r="62" spans="1:11" ht="11.1" customHeight="1" x14ac:dyDescent="0.3">
      <c r="A62" s="380"/>
      <c r="B62" s="380" t="s">
        <v>68</v>
      </c>
      <c r="C62" s="380" t="s">
        <v>69</v>
      </c>
      <c r="D62" s="380"/>
      <c r="E62" s="380"/>
      <c r="F62" s="380"/>
      <c r="G62" s="381" t="s">
        <v>1033</v>
      </c>
      <c r="H62" s="382">
        <v>19</v>
      </c>
      <c r="I62" s="382" t="s">
        <v>1034</v>
      </c>
      <c r="J62" s="383">
        <v>2</v>
      </c>
      <c r="K62" s="380"/>
    </row>
    <row r="63" spans="1:11" ht="11.1" customHeight="1" x14ac:dyDescent="0.3">
      <c r="A63" s="380"/>
      <c r="B63" s="380"/>
      <c r="C63" s="380"/>
      <c r="D63" s="380"/>
      <c r="E63" s="380"/>
      <c r="F63" s="380"/>
      <c r="G63" s="381"/>
      <c r="H63" s="382"/>
      <c r="I63" s="382"/>
      <c r="J63" s="383"/>
      <c r="K63" s="380"/>
    </row>
    <row r="64" spans="1:11" ht="11.1" customHeight="1" x14ac:dyDescent="0.3">
      <c r="A64" s="380"/>
      <c r="B64" s="380" t="s">
        <v>70</v>
      </c>
      <c r="C64" s="380" t="s">
        <v>71</v>
      </c>
      <c r="D64" s="380"/>
      <c r="E64" s="380"/>
      <c r="F64" s="380"/>
      <c r="G64" s="381" t="s">
        <v>979</v>
      </c>
      <c r="H64" s="382">
        <v>14</v>
      </c>
      <c r="I64" s="382" t="s">
        <v>1035</v>
      </c>
      <c r="J64" s="383">
        <v>2.8</v>
      </c>
      <c r="K64" s="380"/>
    </row>
    <row r="65" spans="1:11" ht="11.1" customHeight="1" x14ac:dyDescent="0.3">
      <c r="A65" s="380"/>
      <c r="B65" s="380"/>
      <c r="C65" s="380" t="s">
        <v>158</v>
      </c>
      <c r="D65" s="380" t="s">
        <v>159</v>
      </c>
      <c r="E65" s="380"/>
      <c r="F65" s="380"/>
      <c r="G65" s="381" t="s">
        <v>1022</v>
      </c>
      <c r="H65" s="382">
        <v>7</v>
      </c>
      <c r="I65" s="382" t="s">
        <v>1036</v>
      </c>
      <c r="J65" s="383">
        <v>3.5</v>
      </c>
      <c r="K65" s="380"/>
    </row>
    <row r="66" spans="1:11" ht="11.1" customHeight="1" x14ac:dyDescent="0.3">
      <c r="A66" s="380"/>
      <c r="B66" s="380"/>
      <c r="C66" s="380" t="s">
        <v>160</v>
      </c>
      <c r="D66" s="380" t="s">
        <v>161</v>
      </c>
      <c r="E66" s="380"/>
      <c r="F66" s="380"/>
      <c r="G66" s="381" t="s">
        <v>1022</v>
      </c>
      <c r="H66" s="382">
        <v>7</v>
      </c>
      <c r="I66" s="382" t="s">
        <v>1037</v>
      </c>
      <c r="J66" s="383">
        <v>4.0999999999999996</v>
      </c>
      <c r="K66" s="380"/>
    </row>
    <row r="67" spans="1:11" ht="11.1" customHeight="1" x14ac:dyDescent="0.3">
      <c r="A67" s="380"/>
      <c r="B67" s="380"/>
      <c r="C67" s="380"/>
      <c r="D67" s="380"/>
      <c r="E67" s="380"/>
      <c r="F67" s="380"/>
      <c r="G67" s="381"/>
      <c r="H67" s="382"/>
      <c r="I67" s="382"/>
      <c r="J67" s="383"/>
      <c r="K67" s="380"/>
    </row>
    <row r="68" spans="1:11" ht="11.1" customHeight="1" x14ac:dyDescent="0.3">
      <c r="A68" s="380"/>
      <c r="B68" s="380" t="s">
        <v>72</v>
      </c>
      <c r="C68" s="380" t="s">
        <v>73</v>
      </c>
      <c r="D68" s="380"/>
      <c r="E68" s="380"/>
      <c r="F68" s="380"/>
      <c r="G68" s="381" t="s">
        <v>1038</v>
      </c>
      <c r="H68" s="382">
        <v>115</v>
      </c>
      <c r="I68" s="382" t="s">
        <v>1039</v>
      </c>
      <c r="J68" s="383">
        <v>1.4</v>
      </c>
      <c r="K68" s="380"/>
    </row>
    <row r="69" spans="1:11" ht="11.1" customHeight="1" x14ac:dyDescent="0.3">
      <c r="A69" s="380"/>
      <c r="B69" s="380"/>
      <c r="C69" s="380" t="s">
        <v>162</v>
      </c>
      <c r="D69" s="380" t="s">
        <v>163</v>
      </c>
      <c r="E69" s="380"/>
      <c r="F69" s="380"/>
      <c r="G69" s="381" t="s">
        <v>985</v>
      </c>
      <c r="H69" s="382">
        <v>16</v>
      </c>
      <c r="I69" s="382" t="s">
        <v>1040</v>
      </c>
      <c r="J69" s="383">
        <v>2.5</v>
      </c>
      <c r="K69" s="380"/>
    </row>
    <row r="70" spans="1:11" ht="11.1" customHeight="1" x14ac:dyDescent="0.3">
      <c r="A70" s="380"/>
      <c r="B70" s="380"/>
      <c r="C70" s="380" t="s">
        <v>164</v>
      </c>
      <c r="D70" s="380" t="s">
        <v>165</v>
      </c>
      <c r="E70" s="380"/>
      <c r="F70" s="380"/>
      <c r="G70" s="381" t="s">
        <v>979</v>
      </c>
      <c r="H70" s="382">
        <v>14</v>
      </c>
      <c r="I70" s="382" t="s">
        <v>1041</v>
      </c>
      <c r="J70" s="383">
        <v>1.8</v>
      </c>
      <c r="K70" s="380"/>
    </row>
    <row r="71" spans="1:11" ht="11.1" customHeight="1" x14ac:dyDescent="0.3">
      <c r="A71" s="380"/>
      <c r="B71" s="380"/>
      <c r="C71" s="380" t="s">
        <v>166</v>
      </c>
      <c r="D71" s="380" t="s">
        <v>167</v>
      </c>
      <c r="E71" s="380"/>
      <c r="F71" s="380"/>
      <c r="G71" s="381" t="s">
        <v>979</v>
      </c>
      <c r="H71" s="382">
        <v>15</v>
      </c>
      <c r="I71" s="382" t="s">
        <v>1034</v>
      </c>
      <c r="J71" s="383">
        <v>2.5</v>
      </c>
      <c r="K71" s="380"/>
    </row>
    <row r="72" spans="1:11" ht="11.1" customHeight="1" x14ac:dyDescent="0.3">
      <c r="A72" s="380"/>
      <c r="B72" s="380"/>
      <c r="C72" s="380" t="s">
        <v>168</v>
      </c>
      <c r="D72" s="380" t="s">
        <v>169</v>
      </c>
      <c r="E72" s="380"/>
      <c r="F72" s="380"/>
      <c r="G72" s="381" t="s">
        <v>1005</v>
      </c>
      <c r="H72" s="382">
        <v>4</v>
      </c>
      <c r="I72" s="382" t="s">
        <v>1042</v>
      </c>
      <c r="J72" s="383">
        <v>4.3</v>
      </c>
      <c r="K72" s="380"/>
    </row>
    <row r="73" spans="1:11" ht="11.1" customHeight="1" x14ac:dyDescent="0.3">
      <c r="A73" s="380"/>
      <c r="B73" s="380"/>
      <c r="C73" s="380" t="s">
        <v>170</v>
      </c>
      <c r="D73" s="380" t="s">
        <v>171</v>
      </c>
      <c r="E73" s="380"/>
      <c r="F73" s="380" t="s">
        <v>973</v>
      </c>
      <c r="G73" s="381" t="s">
        <v>985</v>
      </c>
      <c r="H73" s="382">
        <v>17</v>
      </c>
      <c r="I73" s="382" t="s">
        <v>1043</v>
      </c>
      <c r="J73" s="383">
        <v>2.8</v>
      </c>
      <c r="K73" s="380"/>
    </row>
    <row r="74" spans="1:11" ht="11.1" customHeight="1" x14ac:dyDescent="0.3">
      <c r="A74" s="380"/>
      <c r="B74" s="380"/>
      <c r="C74" s="380" t="s">
        <v>172</v>
      </c>
      <c r="D74" s="380" t="s">
        <v>173</v>
      </c>
      <c r="E74" s="380"/>
      <c r="F74" s="380" t="s">
        <v>973</v>
      </c>
      <c r="G74" s="381" t="s">
        <v>1044</v>
      </c>
      <c r="H74" s="382">
        <v>49</v>
      </c>
      <c r="I74" s="382" t="s">
        <v>1045</v>
      </c>
      <c r="J74" s="383">
        <v>1.8</v>
      </c>
      <c r="K74" s="380"/>
    </row>
    <row r="75" spans="1:11" ht="11.1" customHeight="1" x14ac:dyDescent="0.3">
      <c r="A75" s="380"/>
      <c r="B75" s="380"/>
      <c r="C75" s="380"/>
      <c r="D75" s="380"/>
      <c r="E75" s="380"/>
      <c r="F75" s="380"/>
      <c r="G75" s="381"/>
      <c r="H75" s="382"/>
      <c r="I75" s="382"/>
      <c r="J75" s="383"/>
      <c r="K75" s="380"/>
    </row>
    <row r="76" spans="1:11" ht="11.1" customHeight="1" x14ac:dyDescent="0.3">
      <c r="A76" s="380"/>
      <c r="B76" s="380" t="s">
        <v>74</v>
      </c>
      <c r="C76" s="380" t="s">
        <v>75</v>
      </c>
      <c r="D76" s="380"/>
      <c r="E76" s="380"/>
      <c r="F76" s="380"/>
      <c r="G76" s="381" t="s">
        <v>979</v>
      </c>
      <c r="H76" s="382">
        <v>14</v>
      </c>
      <c r="I76" s="382" t="s">
        <v>1046</v>
      </c>
      <c r="J76" s="383">
        <v>2.8</v>
      </c>
      <c r="K76" s="380"/>
    </row>
    <row r="77" spans="1:11" ht="11.1" customHeight="1" x14ac:dyDescent="0.3">
      <c r="A77" s="380"/>
      <c r="B77" s="380" t="s">
        <v>76</v>
      </c>
      <c r="C77" s="380" t="s">
        <v>77</v>
      </c>
      <c r="D77" s="380"/>
      <c r="E77" s="380"/>
      <c r="F77" s="380"/>
      <c r="G77" s="381" t="s">
        <v>999</v>
      </c>
      <c r="H77" s="382">
        <v>25</v>
      </c>
      <c r="I77" s="382" t="s">
        <v>1047</v>
      </c>
      <c r="J77" s="383">
        <v>3</v>
      </c>
      <c r="K77" s="380"/>
    </row>
    <row r="78" spans="1:11" ht="11.1" customHeight="1" x14ac:dyDescent="0.3">
      <c r="A78" s="380"/>
      <c r="B78" s="380" t="s">
        <v>78</v>
      </c>
      <c r="C78" s="380" t="s">
        <v>79</v>
      </c>
      <c r="D78" s="380"/>
      <c r="E78" s="380"/>
      <c r="F78" s="380"/>
      <c r="G78" s="381" t="s">
        <v>1022</v>
      </c>
      <c r="H78" s="382">
        <v>4</v>
      </c>
      <c r="I78" s="382" t="s">
        <v>1048</v>
      </c>
      <c r="J78" s="383">
        <v>4.5999999999999996</v>
      </c>
      <c r="K78" s="380"/>
    </row>
    <row r="79" spans="1:11" ht="11.1" customHeight="1" x14ac:dyDescent="0.3">
      <c r="A79" s="380"/>
      <c r="B79" s="380"/>
      <c r="C79" s="380"/>
      <c r="D79" s="380"/>
      <c r="E79" s="380"/>
      <c r="F79" s="380"/>
      <c r="G79" s="381"/>
      <c r="H79" s="382"/>
      <c r="I79" s="382"/>
      <c r="J79" s="383"/>
      <c r="K79" s="380"/>
    </row>
    <row r="80" spans="1:11" ht="11.1" customHeight="1" x14ac:dyDescent="0.3">
      <c r="A80" s="380"/>
      <c r="B80" s="380" t="s">
        <v>80</v>
      </c>
      <c r="C80" s="380" t="s">
        <v>81</v>
      </c>
      <c r="D80" s="380"/>
      <c r="E80" s="380"/>
      <c r="F80" s="380"/>
      <c r="G80" s="381" t="s">
        <v>1049</v>
      </c>
      <c r="H80" s="382">
        <v>132</v>
      </c>
      <c r="I80" s="382" t="s">
        <v>1050</v>
      </c>
      <c r="J80" s="383">
        <v>1.5</v>
      </c>
      <c r="K80" s="380"/>
    </row>
    <row r="81" spans="1:11" ht="11.1" customHeight="1" x14ac:dyDescent="0.3">
      <c r="A81" s="380"/>
      <c r="B81" s="380"/>
      <c r="C81" s="380" t="s">
        <v>174</v>
      </c>
      <c r="D81" s="380" t="s">
        <v>175</v>
      </c>
      <c r="E81" s="380"/>
      <c r="F81" s="380"/>
      <c r="G81" s="381" t="s">
        <v>992</v>
      </c>
      <c r="H81" s="382">
        <v>30</v>
      </c>
      <c r="I81" s="382" t="s">
        <v>1051</v>
      </c>
      <c r="J81" s="383">
        <v>1.9</v>
      </c>
      <c r="K81" s="380"/>
    </row>
    <row r="82" spans="1:11" ht="11.1" customHeight="1" x14ac:dyDescent="0.3">
      <c r="A82" s="380"/>
      <c r="B82" s="380"/>
      <c r="C82" s="380" t="s">
        <v>176</v>
      </c>
      <c r="D82" s="380" t="s">
        <v>177</v>
      </c>
      <c r="E82" s="380"/>
      <c r="F82" s="380"/>
      <c r="G82" s="381" t="s">
        <v>1052</v>
      </c>
      <c r="H82" s="382">
        <v>12</v>
      </c>
      <c r="I82" s="382" t="s">
        <v>1053</v>
      </c>
      <c r="J82" s="383">
        <v>2.5</v>
      </c>
      <c r="K82" s="380"/>
    </row>
    <row r="83" spans="1:11" ht="11.1" customHeight="1" x14ac:dyDescent="0.3">
      <c r="A83" s="380"/>
      <c r="B83" s="380"/>
      <c r="C83" s="380" t="s">
        <v>178</v>
      </c>
      <c r="D83" s="380" t="s">
        <v>179</v>
      </c>
      <c r="E83" s="380"/>
      <c r="F83" s="380"/>
      <c r="G83" s="381" t="s">
        <v>1044</v>
      </c>
      <c r="H83" s="382">
        <v>48</v>
      </c>
      <c r="I83" s="382" t="s">
        <v>1054</v>
      </c>
      <c r="J83" s="383">
        <v>1.6</v>
      </c>
      <c r="K83" s="380"/>
    </row>
    <row r="84" spans="1:11" ht="11.1" customHeight="1" x14ac:dyDescent="0.3">
      <c r="A84" s="380"/>
      <c r="B84" s="380"/>
      <c r="C84" s="380" t="s">
        <v>180</v>
      </c>
      <c r="D84" s="380" t="s">
        <v>181</v>
      </c>
      <c r="E84" s="380"/>
      <c r="F84" s="380"/>
      <c r="G84" s="381" t="s">
        <v>1020</v>
      </c>
      <c r="H84" s="382">
        <v>42</v>
      </c>
      <c r="I84" s="382" t="s">
        <v>1055</v>
      </c>
      <c r="J84" s="383">
        <v>2</v>
      </c>
      <c r="K84" s="380"/>
    </row>
    <row r="85" spans="1:11" ht="11.1" customHeight="1" x14ac:dyDescent="0.3">
      <c r="A85" s="384"/>
      <c r="B85" s="384"/>
      <c r="C85" s="384"/>
      <c r="D85" s="384"/>
      <c r="E85" s="384"/>
      <c r="F85" s="384"/>
      <c r="G85" s="385"/>
      <c r="H85" s="386"/>
      <c r="I85" s="386"/>
      <c r="J85" s="387"/>
      <c r="K85" s="380"/>
    </row>
    <row r="86" spans="1:11" ht="11.1" customHeight="1" x14ac:dyDescent="0.3">
      <c r="A86" s="380"/>
      <c r="B86" s="380"/>
      <c r="C86" s="380"/>
      <c r="D86" s="380"/>
      <c r="E86" s="380"/>
      <c r="F86" s="380"/>
      <c r="G86" s="381"/>
      <c r="H86" s="388"/>
      <c r="I86" s="388"/>
      <c r="J86" s="389"/>
      <c r="K86" s="380"/>
    </row>
    <row r="87" spans="1:11" ht="11.1" customHeight="1" x14ac:dyDescent="0.3">
      <c r="A87" s="380" t="s">
        <v>111</v>
      </c>
      <c r="B87" s="380"/>
      <c r="C87" s="380"/>
      <c r="D87" s="380"/>
      <c r="E87" s="380"/>
      <c r="F87" s="380"/>
      <c r="G87" s="381"/>
      <c r="H87" s="388"/>
      <c r="I87" s="388"/>
      <c r="J87" s="389"/>
      <c r="K87" s="380"/>
    </row>
    <row r="88" spans="1:11" ht="11.1" customHeight="1" x14ac:dyDescent="0.3">
      <c r="A88" s="380" t="s">
        <v>182</v>
      </c>
      <c r="B88" s="380"/>
      <c r="C88" s="380"/>
      <c r="D88" s="380"/>
      <c r="E88" s="380"/>
      <c r="F88" s="380"/>
      <c r="G88" s="381"/>
      <c r="H88" s="388"/>
      <c r="I88" s="388"/>
      <c r="J88" s="389"/>
      <c r="K88" s="380"/>
    </row>
    <row r="89" spans="1:11" ht="11.1" customHeight="1" x14ac:dyDescent="0.3">
      <c r="A89" s="380" t="s">
        <v>112</v>
      </c>
      <c r="B89" s="380"/>
      <c r="C89" s="380"/>
      <c r="D89" s="380"/>
      <c r="E89" s="380"/>
      <c r="F89" s="380"/>
      <c r="G89" s="381"/>
      <c r="H89" s="388"/>
      <c r="I89" s="388"/>
      <c r="J89" s="389"/>
      <c r="K89" s="380"/>
    </row>
    <row r="90" spans="1:11" ht="11.1" customHeight="1" x14ac:dyDescent="0.3">
      <c r="A90" s="380"/>
      <c r="B90" s="380"/>
      <c r="C90" s="380"/>
      <c r="D90" s="380"/>
      <c r="E90" s="380"/>
      <c r="F90" s="380"/>
      <c r="G90" s="381"/>
      <c r="H90" s="388"/>
      <c r="I90" s="388"/>
      <c r="J90" s="389"/>
      <c r="K90" s="380"/>
    </row>
    <row r="94" spans="1:11" ht="17.399999999999999" customHeight="1" x14ac:dyDescent="0.3">
      <c r="A94" s="390" t="s">
        <v>114</v>
      </c>
      <c r="B94" s="346"/>
      <c r="C94" s="391"/>
      <c r="D94" s="391"/>
      <c r="E94" s="391"/>
      <c r="F94" s="391"/>
      <c r="G94" s="392"/>
      <c r="H94" s="388"/>
      <c r="I94" s="388"/>
      <c r="J94" s="393"/>
    </row>
    <row r="95" spans="1:11" ht="14.4" customHeight="1" x14ac:dyDescent="0.3">
      <c r="A95" s="394" t="s">
        <v>183</v>
      </c>
      <c r="B95" s="395"/>
      <c r="C95" s="324"/>
      <c r="D95" s="396"/>
      <c r="E95" s="396"/>
      <c r="F95" s="397"/>
      <c r="G95" s="398"/>
      <c r="H95" s="399"/>
      <c r="I95" s="399"/>
      <c r="J95" s="400"/>
    </row>
    <row r="96" spans="1:11" ht="14.4" customHeight="1" x14ac:dyDescent="0.3">
      <c r="A96" s="401" t="s">
        <v>971</v>
      </c>
      <c r="B96" s="402"/>
      <c r="C96" s="336"/>
      <c r="D96" s="403"/>
      <c r="E96" s="396"/>
      <c r="F96" s="397"/>
      <c r="G96" s="398"/>
      <c r="H96" s="399"/>
      <c r="I96" s="399"/>
      <c r="J96" s="404"/>
    </row>
    <row r="97" spans="1:11" ht="11.1" customHeight="1" x14ac:dyDescent="0.3">
      <c r="A97" s="360"/>
      <c r="B97" s="360"/>
      <c r="C97" s="361"/>
      <c r="D97" s="362"/>
      <c r="E97" s="362"/>
      <c r="F97" s="362"/>
      <c r="G97" s="363"/>
      <c r="H97" s="364"/>
      <c r="I97" s="364"/>
      <c r="J97" s="365"/>
    </row>
    <row r="98" spans="1:11" ht="11.1" customHeight="1" x14ac:dyDescent="0.3">
      <c r="A98" s="346"/>
      <c r="B98" s="346"/>
      <c r="C98" s="347"/>
      <c r="D98" s="348"/>
      <c r="E98" s="348"/>
      <c r="F98" s="348"/>
      <c r="G98" s="405"/>
      <c r="H98" s="406"/>
      <c r="I98" s="406"/>
      <c r="J98" s="407"/>
    </row>
    <row r="99" spans="1:11" ht="11.1" customHeight="1" x14ac:dyDescent="0.3">
      <c r="A99" s="408"/>
      <c r="B99" s="408"/>
      <c r="C99" s="409"/>
      <c r="D99" s="410"/>
      <c r="E99" s="410"/>
      <c r="F99" s="353"/>
      <c r="G99" s="354" t="s">
        <v>116</v>
      </c>
      <c r="H99" s="355" t="s">
        <v>25</v>
      </c>
      <c r="I99" s="355" t="s">
        <v>26</v>
      </c>
      <c r="J99" s="356" t="s">
        <v>117</v>
      </c>
    </row>
    <row r="100" spans="1:11" ht="11.1" customHeight="1" x14ac:dyDescent="0.3">
      <c r="A100" s="408"/>
      <c r="B100" s="408"/>
      <c r="C100" s="411"/>
      <c r="D100" s="410"/>
      <c r="E100" s="410"/>
      <c r="F100" s="353"/>
      <c r="G100" s="358" t="s">
        <v>29</v>
      </c>
      <c r="H100" s="355" t="s">
        <v>27</v>
      </c>
      <c r="I100" s="355" t="s">
        <v>28</v>
      </c>
      <c r="J100" s="356" t="s">
        <v>118</v>
      </c>
    </row>
    <row r="101" spans="1:11" ht="11.1" customHeight="1" x14ac:dyDescent="0.3">
      <c r="A101" s="408"/>
      <c r="B101" s="408"/>
      <c r="C101" s="411"/>
      <c r="D101" s="410"/>
      <c r="E101" s="410"/>
      <c r="F101" s="353"/>
      <c r="G101" s="354" t="s">
        <v>31</v>
      </c>
      <c r="H101" s="355" t="s">
        <v>29</v>
      </c>
      <c r="I101" s="355" t="s">
        <v>30</v>
      </c>
      <c r="J101" s="356" t="s">
        <v>119</v>
      </c>
    </row>
    <row r="102" spans="1:11" ht="11.1" customHeight="1" x14ac:dyDescent="0.3">
      <c r="A102" s="408"/>
      <c r="B102" s="408"/>
      <c r="C102" s="411"/>
      <c r="D102" s="410"/>
      <c r="E102" s="410"/>
      <c r="F102" s="353"/>
      <c r="G102" s="358" t="s">
        <v>32</v>
      </c>
      <c r="H102" s="355" t="s">
        <v>33</v>
      </c>
      <c r="I102" s="355" t="s">
        <v>120</v>
      </c>
      <c r="J102" s="356" t="s">
        <v>121</v>
      </c>
    </row>
    <row r="103" spans="1:11" ht="11.1" customHeight="1" x14ac:dyDescent="0.3">
      <c r="A103" s="360"/>
      <c r="B103" s="360"/>
      <c r="C103" s="361"/>
      <c r="D103" s="362"/>
      <c r="E103" s="362"/>
      <c r="F103" s="362"/>
      <c r="G103" s="363"/>
      <c r="H103" s="364"/>
      <c r="I103" s="364"/>
      <c r="J103" s="365"/>
    </row>
    <row r="105" spans="1:11" ht="11.1" customHeight="1" x14ac:dyDescent="0.3">
      <c r="A105" s="375" t="s">
        <v>123</v>
      </c>
      <c r="B105" s="412"/>
      <c r="C105" s="413"/>
      <c r="D105" s="414"/>
      <c r="E105" s="414"/>
      <c r="F105" s="415" t="s">
        <v>973</v>
      </c>
      <c r="G105" s="416"/>
      <c r="H105" s="417"/>
      <c r="I105" s="417"/>
      <c r="J105" s="418"/>
      <c r="K105" s="419"/>
    </row>
    <row r="107" spans="1:11" ht="11.1" customHeight="1" x14ac:dyDescent="0.3">
      <c r="A107" s="376">
        <v>1</v>
      </c>
      <c r="B107" s="376" t="s">
        <v>184</v>
      </c>
      <c r="C107" s="376"/>
      <c r="D107" s="376"/>
      <c r="E107" s="376"/>
      <c r="F107" s="376"/>
      <c r="G107" s="377"/>
      <c r="H107" s="420"/>
      <c r="I107" s="420"/>
      <c r="J107" s="421"/>
      <c r="K107" s="380"/>
    </row>
    <row r="108" spans="1:11" ht="11.1" customHeight="1" x14ac:dyDescent="0.3">
      <c r="A108" s="380"/>
      <c r="B108" s="380"/>
      <c r="C108" s="380"/>
      <c r="D108" s="380"/>
      <c r="E108" s="380"/>
      <c r="F108" s="380"/>
      <c r="G108" s="381"/>
      <c r="H108" s="388"/>
      <c r="I108" s="388"/>
      <c r="J108" s="389"/>
      <c r="K108" s="380"/>
    </row>
    <row r="109" spans="1:11" ht="11.1" customHeight="1" x14ac:dyDescent="0.3">
      <c r="A109" s="380"/>
      <c r="B109" s="380" t="s">
        <v>82</v>
      </c>
      <c r="C109" s="380" t="s">
        <v>185</v>
      </c>
      <c r="D109" s="380"/>
      <c r="E109" s="380"/>
      <c r="F109" s="380"/>
      <c r="G109" s="381" t="s">
        <v>1005</v>
      </c>
      <c r="H109" s="382">
        <v>2</v>
      </c>
      <c r="I109" s="382" t="s">
        <v>1056</v>
      </c>
      <c r="J109" s="383">
        <v>14.3</v>
      </c>
      <c r="K109" s="380"/>
    </row>
    <row r="110" spans="1:11" ht="11.1" customHeight="1" x14ac:dyDescent="0.3">
      <c r="A110" s="380"/>
      <c r="B110" s="380" t="s">
        <v>83</v>
      </c>
      <c r="C110" s="380" t="s">
        <v>186</v>
      </c>
      <c r="D110" s="380"/>
      <c r="E110" s="380"/>
      <c r="F110" s="380"/>
      <c r="G110" s="381" t="s">
        <v>1057</v>
      </c>
      <c r="H110" s="382">
        <v>62</v>
      </c>
      <c r="I110" s="382" t="s">
        <v>1058</v>
      </c>
      <c r="J110" s="383">
        <v>2.1</v>
      </c>
      <c r="K110" s="380"/>
    </row>
    <row r="111" spans="1:11" ht="11.1" customHeight="1" x14ac:dyDescent="0.3">
      <c r="A111" s="380"/>
      <c r="B111" s="380" t="s">
        <v>85</v>
      </c>
      <c r="C111" s="380" t="s">
        <v>84</v>
      </c>
      <c r="D111" s="380"/>
      <c r="E111" s="380"/>
      <c r="F111" s="380"/>
      <c r="G111" s="381" t="s">
        <v>985</v>
      </c>
      <c r="H111" s="382">
        <v>18</v>
      </c>
      <c r="I111" s="382" t="s">
        <v>1059</v>
      </c>
      <c r="J111" s="383">
        <v>1.7</v>
      </c>
      <c r="K111" s="380"/>
    </row>
    <row r="112" spans="1:11" ht="11.1" customHeight="1" x14ac:dyDescent="0.3">
      <c r="A112" s="380"/>
      <c r="B112" s="380" t="s">
        <v>87</v>
      </c>
      <c r="C112" s="380" t="s">
        <v>86</v>
      </c>
      <c r="D112" s="380"/>
      <c r="E112" s="380"/>
      <c r="F112" s="380"/>
      <c r="G112" s="381" t="s">
        <v>1017</v>
      </c>
      <c r="H112" s="382">
        <v>66</v>
      </c>
      <c r="I112" s="382" t="s">
        <v>1060</v>
      </c>
      <c r="J112" s="383">
        <v>1.3</v>
      </c>
      <c r="K112" s="380"/>
    </row>
    <row r="113" spans="1:11" ht="11.1" customHeight="1" x14ac:dyDescent="0.3">
      <c r="A113" s="380"/>
      <c r="B113" s="380"/>
      <c r="C113" s="380"/>
      <c r="D113" s="380"/>
      <c r="E113" s="380"/>
      <c r="F113" s="380"/>
      <c r="G113" s="381"/>
      <c r="H113" s="382"/>
      <c r="I113" s="382"/>
      <c r="J113" s="383"/>
      <c r="K113" s="380"/>
    </row>
    <row r="114" spans="1:11" ht="11.1" customHeight="1" x14ac:dyDescent="0.3">
      <c r="A114" s="380"/>
      <c r="B114" s="380" t="s">
        <v>89</v>
      </c>
      <c r="C114" s="380" t="s">
        <v>88</v>
      </c>
      <c r="D114" s="380"/>
      <c r="E114" s="380"/>
      <c r="F114" s="380"/>
      <c r="G114" s="381" t="s">
        <v>1052</v>
      </c>
      <c r="H114" s="382">
        <v>13</v>
      </c>
      <c r="I114" s="382" t="s">
        <v>1061</v>
      </c>
      <c r="J114" s="383">
        <v>2.9</v>
      </c>
      <c r="K114" s="380"/>
    </row>
    <row r="115" spans="1:11" ht="11.1" customHeight="1" x14ac:dyDescent="0.3">
      <c r="A115" s="380"/>
      <c r="B115" s="380"/>
      <c r="C115" s="380" t="s">
        <v>187</v>
      </c>
      <c r="D115" s="380" t="s">
        <v>188</v>
      </c>
      <c r="E115" s="380"/>
      <c r="F115" s="380"/>
      <c r="G115" s="381" t="s">
        <v>1022</v>
      </c>
      <c r="H115" s="382">
        <v>7</v>
      </c>
      <c r="I115" s="382" t="s">
        <v>1062</v>
      </c>
      <c r="J115" s="383">
        <v>3.2</v>
      </c>
      <c r="K115" s="380"/>
    </row>
    <row r="116" spans="1:11" ht="11.1" customHeight="1" x14ac:dyDescent="0.3">
      <c r="A116" s="380"/>
      <c r="B116" s="380"/>
      <c r="C116" s="380" t="s">
        <v>189</v>
      </c>
      <c r="D116" s="380" t="s">
        <v>190</v>
      </c>
      <c r="E116" s="380"/>
      <c r="F116" s="380"/>
      <c r="G116" s="381" t="s">
        <v>1022</v>
      </c>
      <c r="H116" s="382">
        <v>6</v>
      </c>
      <c r="I116" s="382" t="s">
        <v>1063</v>
      </c>
      <c r="J116" s="383">
        <v>5</v>
      </c>
      <c r="K116" s="380"/>
    </row>
    <row r="117" spans="1:11" ht="11.1" customHeight="1" x14ac:dyDescent="0.3">
      <c r="A117" s="380"/>
      <c r="B117" s="380"/>
      <c r="C117" s="380"/>
      <c r="D117" s="380"/>
      <c r="E117" s="380"/>
      <c r="F117" s="380"/>
      <c r="G117" s="381"/>
      <c r="H117" s="382"/>
      <c r="I117" s="382"/>
      <c r="J117" s="383"/>
      <c r="K117" s="380"/>
    </row>
    <row r="118" spans="1:11" ht="11.1" customHeight="1" x14ac:dyDescent="0.3">
      <c r="A118" s="380"/>
      <c r="B118" s="380" t="s">
        <v>91</v>
      </c>
      <c r="C118" s="380" t="s">
        <v>90</v>
      </c>
      <c r="D118" s="380"/>
      <c r="E118" s="380"/>
      <c r="F118" s="380"/>
      <c r="G118" s="381" t="s">
        <v>1064</v>
      </c>
      <c r="H118" s="382">
        <v>9</v>
      </c>
      <c r="I118" s="382" t="s">
        <v>1065</v>
      </c>
      <c r="J118" s="383">
        <v>4.2</v>
      </c>
      <c r="K118" s="380"/>
    </row>
    <row r="119" spans="1:11" ht="11.1" customHeight="1" x14ac:dyDescent="0.3">
      <c r="A119" s="380"/>
      <c r="B119" s="380" t="s">
        <v>93</v>
      </c>
      <c r="C119" s="380" t="s">
        <v>92</v>
      </c>
      <c r="D119" s="380"/>
      <c r="E119" s="380"/>
      <c r="F119" s="380"/>
      <c r="G119" s="381" t="s">
        <v>1024</v>
      </c>
      <c r="H119" s="382">
        <v>73</v>
      </c>
      <c r="I119" s="382" t="s">
        <v>1066</v>
      </c>
      <c r="J119" s="383">
        <v>1.9</v>
      </c>
      <c r="K119" s="380"/>
    </row>
    <row r="120" spans="1:11" ht="11.1" customHeight="1" x14ac:dyDescent="0.3">
      <c r="A120" s="380"/>
      <c r="B120" s="380" t="s">
        <v>95</v>
      </c>
      <c r="C120" s="380" t="s">
        <v>94</v>
      </c>
      <c r="D120" s="380"/>
      <c r="E120" s="380"/>
      <c r="F120" s="380"/>
      <c r="G120" s="381" t="s">
        <v>1003</v>
      </c>
      <c r="H120" s="382">
        <v>28</v>
      </c>
      <c r="I120" s="382" t="s">
        <v>1067</v>
      </c>
      <c r="J120" s="383">
        <v>2.7</v>
      </c>
      <c r="K120" s="380"/>
    </row>
    <row r="121" spans="1:11" ht="11.1" customHeight="1" x14ac:dyDescent="0.3">
      <c r="A121" s="380"/>
      <c r="B121" s="380" t="s">
        <v>97</v>
      </c>
      <c r="C121" s="380" t="s">
        <v>96</v>
      </c>
      <c r="D121" s="380"/>
      <c r="E121" s="380"/>
      <c r="F121" s="380"/>
      <c r="G121" s="381" t="s">
        <v>999</v>
      </c>
      <c r="H121" s="382">
        <v>25</v>
      </c>
      <c r="I121" s="382" t="s">
        <v>1068</v>
      </c>
      <c r="J121" s="383">
        <v>2.7</v>
      </c>
      <c r="K121" s="380"/>
    </row>
    <row r="122" spans="1:11" ht="11.1" customHeight="1" x14ac:dyDescent="0.3">
      <c r="A122" s="380"/>
      <c r="B122" s="380"/>
      <c r="C122" s="380"/>
      <c r="D122" s="380"/>
      <c r="E122" s="380"/>
      <c r="F122" s="380"/>
      <c r="G122" s="381"/>
      <c r="H122" s="382"/>
      <c r="I122" s="382"/>
      <c r="J122" s="383"/>
      <c r="K122" s="380"/>
    </row>
    <row r="123" spans="1:11" ht="11.1" customHeight="1" x14ac:dyDescent="0.3">
      <c r="A123" s="380"/>
      <c r="B123" s="380" t="s">
        <v>191</v>
      </c>
      <c r="C123" s="380" t="s">
        <v>98</v>
      </c>
      <c r="D123" s="380"/>
      <c r="E123" s="380"/>
      <c r="F123" s="380"/>
      <c r="G123" s="381" t="s">
        <v>1069</v>
      </c>
      <c r="H123" s="382">
        <v>98</v>
      </c>
      <c r="I123" s="382" t="s">
        <v>1070</v>
      </c>
      <c r="J123" s="383">
        <v>1.6</v>
      </c>
      <c r="K123" s="380"/>
    </row>
    <row r="124" spans="1:11" ht="11.1" customHeight="1" x14ac:dyDescent="0.3">
      <c r="A124" s="380"/>
      <c r="B124" s="380"/>
      <c r="C124" s="380" t="s">
        <v>192</v>
      </c>
      <c r="D124" s="380" t="s">
        <v>193</v>
      </c>
      <c r="E124" s="380"/>
      <c r="F124" s="380"/>
      <c r="G124" s="381" t="s">
        <v>1071</v>
      </c>
      <c r="H124" s="382">
        <v>46</v>
      </c>
      <c r="I124" s="382" t="s">
        <v>1072</v>
      </c>
      <c r="J124" s="383">
        <v>1.5</v>
      </c>
      <c r="K124" s="380"/>
    </row>
    <row r="125" spans="1:11" ht="11.1" customHeight="1" x14ac:dyDescent="0.3">
      <c r="A125" s="380"/>
      <c r="B125" s="380"/>
      <c r="C125" s="380" t="s">
        <v>194</v>
      </c>
      <c r="D125" s="380" t="s">
        <v>195</v>
      </c>
      <c r="E125" s="380"/>
      <c r="F125" s="380"/>
      <c r="G125" s="381" t="s">
        <v>1030</v>
      </c>
      <c r="H125" s="382">
        <v>37</v>
      </c>
      <c r="I125" s="382" t="s">
        <v>1016</v>
      </c>
      <c r="J125" s="383">
        <v>3.2</v>
      </c>
      <c r="K125" s="380"/>
    </row>
    <row r="126" spans="1:11" ht="11.1" customHeight="1" x14ac:dyDescent="0.3">
      <c r="A126" s="380"/>
      <c r="B126" s="380"/>
      <c r="C126" s="380" t="s">
        <v>196</v>
      </c>
      <c r="D126" s="380" t="s">
        <v>197</v>
      </c>
      <c r="E126" s="380"/>
      <c r="F126" s="380"/>
      <c r="G126" s="381" t="s">
        <v>979</v>
      </c>
      <c r="H126" s="382">
        <v>15</v>
      </c>
      <c r="I126" s="382" t="s">
        <v>1046</v>
      </c>
      <c r="J126" s="383">
        <v>4.4000000000000004</v>
      </c>
      <c r="K126" s="380"/>
    </row>
    <row r="127" spans="1:11" ht="11.1" customHeight="1" x14ac:dyDescent="0.3">
      <c r="A127" s="380"/>
      <c r="B127" s="380"/>
      <c r="C127" s="380"/>
      <c r="D127" s="380"/>
      <c r="E127" s="380"/>
      <c r="F127" s="380"/>
      <c r="G127" s="381"/>
      <c r="H127" s="382"/>
      <c r="I127" s="382"/>
      <c r="J127" s="383"/>
      <c r="K127" s="380"/>
    </row>
    <row r="128" spans="1:11" ht="11.1" customHeight="1" x14ac:dyDescent="0.3">
      <c r="A128" s="380">
        <v>1.2</v>
      </c>
      <c r="B128" s="380" t="s">
        <v>99</v>
      </c>
      <c r="C128" s="380"/>
      <c r="D128" s="380"/>
      <c r="E128" s="380"/>
      <c r="F128" s="380"/>
      <c r="G128" s="381" t="s">
        <v>977</v>
      </c>
      <c r="H128" s="382">
        <v>177</v>
      </c>
      <c r="I128" s="382" t="s">
        <v>1073</v>
      </c>
      <c r="J128" s="383">
        <v>1.4</v>
      </c>
      <c r="K128" s="380"/>
    </row>
    <row r="129" spans="1:11" ht="11.1" customHeight="1" x14ac:dyDescent="0.3">
      <c r="A129" s="380"/>
      <c r="B129" s="380" t="s">
        <v>100</v>
      </c>
      <c r="C129" s="380" t="s">
        <v>101</v>
      </c>
      <c r="D129" s="380"/>
      <c r="E129" s="380"/>
      <c r="F129" s="380"/>
      <c r="G129" s="381" t="s">
        <v>1074</v>
      </c>
      <c r="H129" s="382">
        <v>33</v>
      </c>
      <c r="I129" s="382" t="s">
        <v>1068</v>
      </c>
      <c r="J129" s="383">
        <v>3.4</v>
      </c>
      <c r="K129" s="380"/>
    </row>
    <row r="130" spans="1:11" ht="11.1" customHeight="1" x14ac:dyDescent="0.3">
      <c r="A130" s="380"/>
      <c r="B130" s="380" t="s">
        <v>102</v>
      </c>
      <c r="C130" s="380" t="s">
        <v>103</v>
      </c>
      <c r="D130" s="380"/>
      <c r="E130" s="380"/>
      <c r="F130" s="380"/>
      <c r="G130" s="381" t="s">
        <v>979</v>
      </c>
      <c r="H130" s="382">
        <v>14</v>
      </c>
      <c r="I130" s="382" t="s">
        <v>1075</v>
      </c>
      <c r="J130" s="383">
        <v>3.1</v>
      </c>
      <c r="K130" s="380"/>
    </row>
    <row r="131" spans="1:11" ht="11.1" customHeight="1" x14ac:dyDescent="0.3">
      <c r="A131" s="380"/>
      <c r="B131" s="380" t="s">
        <v>104</v>
      </c>
      <c r="C131" s="380" t="s">
        <v>105</v>
      </c>
      <c r="D131" s="380"/>
      <c r="E131" s="380"/>
      <c r="F131" s="380"/>
      <c r="G131" s="381" t="s">
        <v>1005</v>
      </c>
      <c r="H131" s="382">
        <v>4</v>
      </c>
      <c r="I131" s="382" t="s">
        <v>1076</v>
      </c>
      <c r="J131" s="383">
        <v>7.1</v>
      </c>
      <c r="K131" s="380"/>
    </row>
    <row r="132" spans="1:11" ht="11.1" customHeight="1" x14ac:dyDescent="0.3">
      <c r="A132" s="380"/>
      <c r="B132" s="380" t="s">
        <v>106</v>
      </c>
      <c r="C132" s="380" t="s">
        <v>198</v>
      </c>
      <c r="D132" s="380"/>
      <c r="E132" s="380"/>
      <c r="F132" s="380"/>
      <c r="G132" s="381" t="s">
        <v>1074</v>
      </c>
      <c r="H132" s="382">
        <v>34</v>
      </c>
      <c r="I132" s="382" t="s">
        <v>1077</v>
      </c>
      <c r="J132" s="383">
        <v>2.1</v>
      </c>
      <c r="K132" s="380"/>
    </row>
    <row r="133" spans="1:11" ht="11.1" customHeight="1" x14ac:dyDescent="0.3">
      <c r="A133" s="380"/>
      <c r="B133" s="380" t="s">
        <v>107</v>
      </c>
      <c r="C133" s="380" t="s">
        <v>108</v>
      </c>
      <c r="D133" s="380"/>
      <c r="E133" s="380"/>
      <c r="F133" s="380"/>
      <c r="G133" s="381" t="s">
        <v>1052</v>
      </c>
      <c r="H133" s="382">
        <v>11</v>
      </c>
      <c r="I133" s="382" t="s">
        <v>1062</v>
      </c>
      <c r="J133" s="383">
        <v>4.2</v>
      </c>
      <c r="K133" s="380"/>
    </row>
    <row r="134" spans="1:11" ht="11.1" customHeight="1" x14ac:dyDescent="0.3">
      <c r="A134" s="380"/>
      <c r="B134" s="380" t="s">
        <v>109</v>
      </c>
      <c r="C134" s="380" t="s">
        <v>199</v>
      </c>
      <c r="D134" s="380"/>
      <c r="E134" s="380"/>
      <c r="F134" s="380"/>
      <c r="G134" s="381" t="s">
        <v>983</v>
      </c>
      <c r="H134" s="382">
        <v>80</v>
      </c>
      <c r="I134" s="382" t="s">
        <v>1078</v>
      </c>
      <c r="J134" s="383">
        <v>1.9</v>
      </c>
      <c r="K134" s="380"/>
    </row>
    <row r="135" spans="1:11" ht="11.1" customHeight="1" x14ac:dyDescent="0.3">
      <c r="A135" s="380"/>
      <c r="B135" s="380"/>
      <c r="C135" s="380"/>
      <c r="D135" s="380"/>
      <c r="E135" s="380"/>
      <c r="F135" s="380"/>
      <c r="G135" s="381"/>
      <c r="H135" s="388"/>
      <c r="I135" s="388"/>
      <c r="J135" s="389"/>
      <c r="K135" s="380"/>
    </row>
    <row r="136" spans="1:11" ht="11.1" customHeight="1" x14ac:dyDescent="0.3">
      <c r="A136" s="384"/>
      <c r="B136" s="384"/>
      <c r="C136" s="384"/>
      <c r="D136" s="384"/>
      <c r="E136" s="384"/>
      <c r="F136" s="384"/>
      <c r="G136" s="385"/>
      <c r="H136" s="386"/>
      <c r="I136" s="386"/>
      <c r="J136" s="387"/>
      <c r="K136" s="380"/>
    </row>
    <row r="137" spans="1:11" ht="11.1" customHeight="1" x14ac:dyDescent="0.3">
      <c r="A137" s="376">
        <v>2</v>
      </c>
      <c r="B137" s="376" t="s">
        <v>8</v>
      </c>
      <c r="C137" s="376"/>
      <c r="D137" s="376"/>
      <c r="E137" s="376"/>
      <c r="F137" s="376"/>
      <c r="G137" s="377" t="s">
        <v>1079</v>
      </c>
      <c r="H137" s="378">
        <v>316</v>
      </c>
      <c r="I137" s="378" t="s">
        <v>1080</v>
      </c>
      <c r="J137" s="379">
        <v>2.8</v>
      </c>
      <c r="K137" s="380"/>
    </row>
    <row r="138" spans="1:11" ht="11.1" customHeight="1" x14ac:dyDescent="0.3">
      <c r="A138" s="380"/>
      <c r="B138" s="380"/>
      <c r="C138" s="380"/>
      <c r="D138" s="380"/>
      <c r="E138" s="380"/>
      <c r="F138" s="380"/>
      <c r="G138" s="381"/>
      <c r="H138" s="382"/>
      <c r="I138" s="382"/>
      <c r="J138" s="383"/>
      <c r="K138" s="380"/>
    </row>
    <row r="139" spans="1:11" ht="11.1" customHeight="1" x14ac:dyDescent="0.3">
      <c r="A139" s="380">
        <v>2.1</v>
      </c>
      <c r="B139" s="380" t="s">
        <v>200</v>
      </c>
      <c r="C139" s="380"/>
      <c r="D139" s="380"/>
      <c r="E139" s="380"/>
      <c r="F139" s="380"/>
      <c r="G139" s="381" t="s">
        <v>1081</v>
      </c>
      <c r="H139" s="382">
        <v>242</v>
      </c>
      <c r="I139" s="382" t="s">
        <v>1082</v>
      </c>
      <c r="J139" s="383">
        <v>2.8</v>
      </c>
      <c r="K139" s="380"/>
    </row>
    <row r="140" spans="1:11" ht="11.1" customHeight="1" x14ac:dyDescent="0.3">
      <c r="A140" s="380"/>
      <c r="B140" s="380" t="s">
        <v>201</v>
      </c>
      <c r="C140" s="380" t="s">
        <v>202</v>
      </c>
      <c r="D140" s="380"/>
      <c r="E140" s="380"/>
      <c r="F140" s="380"/>
      <c r="G140" s="381" t="s">
        <v>1083</v>
      </c>
      <c r="H140" s="382">
        <v>58</v>
      </c>
      <c r="I140" s="382" t="s">
        <v>1084</v>
      </c>
      <c r="J140" s="383">
        <v>4</v>
      </c>
      <c r="K140" s="380"/>
    </row>
    <row r="141" spans="1:11" ht="11.1" customHeight="1" x14ac:dyDescent="0.3">
      <c r="A141" s="380"/>
      <c r="B141" s="380"/>
      <c r="C141" s="380"/>
      <c r="D141" s="380"/>
      <c r="E141" s="380"/>
      <c r="F141" s="380"/>
      <c r="G141" s="381"/>
      <c r="H141" s="382"/>
      <c r="I141" s="382"/>
      <c r="J141" s="383"/>
      <c r="K141" s="380"/>
    </row>
    <row r="142" spans="1:11" ht="11.1" customHeight="1" x14ac:dyDescent="0.3">
      <c r="A142" s="380"/>
      <c r="B142" s="380" t="s">
        <v>203</v>
      </c>
      <c r="C142" s="380" t="s">
        <v>204</v>
      </c>
      <c r="D142" s="380"/>
      <c r="E142" s="380"/>
      <c r="F142" s="380"/>
      <c r="G142" s="381" t="s">
        <v>1085</v>
      </c>
      <c r="H142" s="382">
        <v>116</v>
      </c>
      <c r="I142" s="382" t="s">
        <v>1086</v>
      </c>
      <c r="J142" s="383">
        <v>4.2</v>
      </c>
      <c r="K142" s="380"/>
    </row>
    <row r="143" spans="1:11" ht="11.1" customHeight="1" x14ac:dyDescent="0.3">
      <c r="A143" s="380"/>
      <c r="B143" s="380"/>
      <c r="C143" s="380" t="s">
        <v>205</v>
      </c>
      <c r="D143" s="380" t="s">
        <v>206</v>
      </c>
      <c r="E143" s="380"/>
      <c r="F143" s="380"/>
      <c r="G143" s="381" t="s">
        <v>1087</v>
      </c>
      <c r="H143" s="382">
        <v>98</v>
      </c>
      <c r="I143" s="382" t="s">
        <v>1032</v>
      </c>
      <c r="J143" s="383">
        <v>4.4000000000000004</v>
      </c>
      <c r="K143" s="380"/>
    </row>
    <row r="144" spans="1:11" ht="11.1" customHeight="1" x14ac:dyDescent="0.3">
      <c r="A144" s="380"/>
      <c r="B144" s="380"/>
      <c r="C144" s="380" t="s">
        <v>207</v>
      </c>
      <c r="D144" s="380" t="s">
        <v>208</v>
      </c>
      <c r="E144" s="380"/>
      <c r="F144" s="380"/>
      <c r="G144" s="381" t="s">
        <v>1005</v>
      </c>
      <c r="H144" s="382">
        <v>3</v>
      </c>
      <c r="I144" s="382" t="s">
        <v>1088</v>
      </c>
      <c r="J144" s="383">
        <v>13.7</v>
      </c>
      <c r="K144" s="380"/>
    </row>
    <row r="145" spans="1:11" ht="11.1" customHeight="1" x14ac:dyDescent="0.3">
      <c r="A145" s="380"/>
      <c r="B145" s="380"/>
      <c r="C145" s="380" t="s">
        <v>209</v>
      </c>
      <c r="D145" s="380" t="s">
        <v>210</v>
      </c>
      <c r="E145" s="380"/>
      <c r="F145" s="380"/>
      <c r="G145" s="381" t="s">
        <v>979</v>
      </c>
      <c r="H145" s="382">
        <v>15</v>
      </c>
      <c r="I145" s="382" t="s">
        <v>1089</v>
      </c>
      <c r="J145" s="383">
        <v>11.4</v>
      </c>
      <c r="K145" s="380"/>
    </row>
    <row r="146" spans="1:11" ht="11.1" customHeight="1" x14ac:dyDescent="0.3">
      <c r="A146" s="380"/>
      <c r="B146" s="380"/>
      <c r="C146" s="380"/>
      <c r="D146" s="380"/>
      <c r="E146" s="380"/>
      <c r="F146" s="380"/>
      <c r="G146" s="381"/>
      <c r="H146" s="382"/>
      <c r="I146" s="382"/>
      <c r="J146" s="383"/>
      <c r="K146" s="380"/>
    </row>
    <row r="147" spans="1:11" ht="11.1" customHeight="1" x14ac:dyDescent="0.3">
      <c r="A147" s="380"/>
      <c r="B147" s="380" t="s">
        <v>211</v>
      </c>
      <c r="C147" s="380" t="s">
        <v>212</v>
      </c>
      <c r="D147" s="380"/>
      <c r="E147" s="380"/>
      <c r="F147" s="380"/>
      <c r="G147" s="381" t="s">
        <v>1017</v>
      </c>
      <c r="H147" s="382">
        <v>66</v>
      </c>
      <c r="I147" s="382" t="s">
        <v>1090</v>
      </c>
      <c r="J147" s="383">
        <v>5</v>
      </c>
      <c r="K147" s="380"/>
    </row>
    <row r="148" spans="1:11" ht="11.1" customHeight="1" x14ac:dyDescent="0.3">
      <c r="A148" s="380"/>
      <c r="B148" s="380"/>
      <c r="C148" s="380" t="s">
        <v>213</v>
      </c>
      <c r="D148" s="380" t="s">
        <v>214</v>
      </c>
      <c r="E148" s="380"/>
      <c r="F148" s="380"/>
      <c r="G148" s="381" t="s">
        <v>990</v>
      </c>
      <c r="H148" s="382">
        <v>56</v>
      </c>
      <c r="I148" s="382" t="s">
        <v>1091</v>
      </c>
      <c r="J148" s="383">
        <v>5</v>
      </c>
      <c r="K148" s="380"/>
    </row>
    <row r="149" spans="1:11" ht="11.1" customHeight="1" x14ac:dyDescent="0.3">
      <c r="A149" s="380"/>
      <c r="B149" s="380"/>
      <c r="C149" s="380" t="s">
        <v>215</v>
      </c>
      <c r="D149" s="380" t="s">
        <v>216</v>
      </c>
      <c r="E149" s="380"/>
      <c r="F149" s="380"/>
      <c r="G149" s="381" t="s">
        <v>1052</v>
      </c>
      <c r="H149" s="382">
        <v>11</v>
      </c>
      <c r="I149" s="382" t="s">
        <v>1092</v>
      </c>
      <c r="J149" s="383">
        <v>16.899999999999999</v>
      </c>
      <c r="K149" s="380"/>
    </row>
    <row r="150" spans="1:11" ht="11.1" customHeight="1" x14ac:dyDescent="0.3">
      <c r="A150" s="380"/>
      <c r="B150" s="380"/>
      <c r="C150" s="380"/>
      <c r="D150" s="380"/>
      <c r="E150" s="380"/>
      <c r="F150" s="380"/>
      <c r="G150" s="381"/>
      <c r="H150" s="382"/>
      <c r="I150" s="382"/>
      <c r="J150" s="383"/>
      <c r="K150" s="380"/>
    </row>
    <row r="151" spans="1:11" ht="11.1" customHeight="1" x14ac:dyDescent="0.3">
      <c r="A151" s="380"/>
      <c r="B151" s="380" t="s">
        <v>217</v>
      </c>
      <c r="C151" s="380" t="s">
        <v>218</v>
      </c>
      <c r="D151" s="380"/>
      <c r="E151" s="380"/>
      <c r="F151" s="380"/>
      <c r="G151" s="381" t="s">
        <v>1009</v>
      </c>
      <c r="H151" s="382">
        <v>1</v>
      </c>
      <c r="I151" s="382" t="s">
        <v>1093</v>
      </c>
      <c r="J151" s="383">
        <v>16.100000000000001</v>
      </c>
      <c r="K151" s="380"/>
    </row>
    <row r="152" spans="1:11" ht="11.1" customHeight="1" x14ac:dyDescent="0.3">
      <c r="A152" s="380"/>
      <c r="B152" s="380"/>
      <c r="C152" s="380"/>
      <c r="D152" s="380"/>
      <c r="E152" s="380"/>
      <c r="F152" s="380"/>
      <c r="G152" s="381"/>
      <c r="H152" s="382"/>
      <c r="I152" s="382"/>
      <c r="J152" s="383"/>
      <c r="K152" s="380"/>
    </row>
    <row r="153" spans="1:11" ht="11.1" customHeight="1" x14ac:dyDescent="0.3">
      <c r="A153" s="380">
        <v>2.2000000000000002</v>
      </c>
      <c r="B153" s="380" t="s">
        <v>219</v>
      </c>
      <c r="C153" s="380"/>
      <c r="D153" s="380"/>
      <c r="E153" s="380"/>
      <c r="F153" s="380"/>
      <c r="G153" s="381" t="s">
        <v>1024</v>
      </c>
      <c r="H153" s="382">
        <v>74</v>
      </c>
      <c r="I153" s="382" t="s">
        <v>1094</v>
      </c>
      <c r="J153" s="383">
        <v>6.5</v>
      </c>
      <c r="K153" s="380"/>
    </row>
    <row r="154" spans="1:11" ht="11.1" customHeight="1" x14ac:dyDescent="0.3">
      <c r="A154" s="380"/>
      <c r="B154" s="380" t="s">
        <v>220</v>
      </c>
      <c r="C154" s="380" t="s">
        <v>221</v>
      </c>
      <c r="D154" s="380"/>
      <c r="E154" s="380"/>
      <c r="F154" s="380"/>
      <c r="G154" s="381" t="s">
        <v>1015</v>
      </c>
      <c r="H154" s="382">
        <v>41</v>
      </c>
      <c r="I154" s="382" t="s">
        <v>1095</v>
      </c>
      <c r="J154" s="383">
        <v>10.6</v>
      </c>
      <c r="K154" s="380"/>
    </row>
    <row r="155" spans="1:11" ht="11.1" customHeight="1" x14ac:dyDescent="0.3">
      <c r="A155" s="380"/>
      <c r="B155" s="380"/>
      <c r="C155" s="380"/>
      <c r="D155" s="380"/>
      <c r="E155" s="380"/>
      <c r="F155" s="380"/>
      <c r="G155" s="381"/>
      <c r="H155" s="382"/>
      <c r="I155" s="382"/>
      <c r="J155" s="383"/>
      <c r="K155" s="380"/>
    </row>
    <row r="156" spans="1:11" ht="11.1" customHeight="1" x14ac:dyDescent="0.3">
      <c r="A156" s="380"/>
      <c r="B156" s="380" t="s">
        <v>222</v>
      </c>
      <c r="C156" s="380" t="s">
        <v>223</v>
      </c>
      <c r="D156" s="380"/>
      <c r="E156" s="380"/>
      <c r="F156" s="380"/>
      <c r="G156" s="381" t="s">
        <v>1074</v>
      </c>
      <c r="H156" s="382">
        <v>33</v>
      </c>
      <c r="I156" s="382" t="s">
        <v>1089</v>
      </c>
      <c r="J156" s="383">
        <v>6</v>
      </c>
      <c r="K156" s="380"/>
    </row>
    <row r="157" spans="1:11" ht="11.1" customHeight="1" x14ac:dyDescent="0.3">
      <c r="A157" s="380"/>
      <c r="B157" s="380"/>
      <c r="C157" s="380" t="s">
        <v>224</v>
      </c>
      <c r="D157" s="380" t="s">
        <v>225</v>
      </c>
      <c r="E157" s="380"/>
      <c r="F157" s="380"/>
      <c r="G157" s="381" t="s">
        <v>230</v>
      </c>
      <c r="H157" s="382" t="s">
        <v>230</v>
      </c>
      <c r="I157" s="382" t="s">
        <v>230</v>
      </c>
      <c r="J157" s="383" t="s">
        <v>230</v>
      </c>
      <c r="K157" s="380"/>
    </row>
    <row r="158" spans="1:11" ht="11.1" customHeight="1" x14ac:dyDescent="0.3">
      <c r="A158" s="380"/>
      <c r="B158" s="380"/>
      <c r="C158" s="380" t="s">
        <v>226</v>
      </c>
      <c r="D158" s="380" t="s">
        <v>227</v>
      </c>
      <c r="E158" s="380"/>
      <c r="F158" s="380"/>
      <c r="G158" s="381" t="s">
        <v>992</v>
      </c>
      <c r="H158" s="382">
        <v>32</v>
      </c>
      <c r="I158" s="382" t="s">
        <v>1096</v>
      </c>
      <c r="J158" s="383">
        <v>5.8</v>
      </c>
      <c r="K158" s="380"/>
    </row>
    <row r="159" spans="1:11" ht="11.1" customHeight="1" x14ac:dyDescent="0.3">
      <c r="A159" s="380"/>
      <c r="B159" s="380"/>
      <c r="C159" s="380" t="s">
        <v>228</v>
      </c>
      <c r="D159" s="380" t="s">
        <v>229</v>
      </c>
      <c r="E159" s="380"/>
      <c r="F159" s="380"/>
      <c r="G159" s="381" t="s">
        <v>367</v>
      </c>
      <c r="H159" s="382" t="s">
        <v>367</v>
      </c>
      <c r="I159" s="382" t="s">
        <v>367</v>
      </c>
      <c r="J159" s="383" t="s">
        <v>367</v>
      </c>
      <c r="K159" s="380"/>
    </row>
    <row r="160" spans="1:11" ht="11.1" customHeight="1" x14ac:dyDescent="0.3">
      <c r="A160" s="380"/>
      <c r="B160" s="380"/>
      <c r="C160" s="380"/>
      <c r="D160" s="380"/>
      <c r="E160" s="380"/>
      <c r="F160" s="380"/>
      <c r="G160" s="381"/>
      <c r="H160" s="388"/>
      <c r="I160" s="388"/>
      <c r="J160" s="389"/>
      <c r="K160" s="380"/>
    </row>
    <row r="161" spans="1:11" ht="11.1" customHeight="1" x14ac:dyDescent="0.3">
      <c r="A161" s="384"/>
      <c r="B161" s="384"/>
      <c r="C161" s="384"/>
      <c r="D161" s="384"/>
      <c r="E161" s="384"/>
      <c r="F161" s="384"/>
      <c r="G161" s="385"/>
      <c r="H161" s="386"/>
      <c r="I161" s="386"/>
      <c r="J161" s="387"/>
      <c r="K161" s="380"/>
    </row>
    <row r="162" spans="1:11" ht="11.1" customHeight="1" x14ac:dyDescent="0.3">
      <c r="A162" s="376" t="s">
        <v>231</v>
      </c>
      <c r="B162" s="376" t="s">
        <v>9</v>
      </c>
      <c r="C162" s="376"/>
      <c r="D162" s="376"/>
      <c r="E162" s="376"/>
      <c r="F162" s="376"/>
      <c r="G162" s="377" t="s">
        <v>1097</v>
      </c>
      <c r="H162" s="378">
        <v>498</v>
      </c>
      <c r="I162" s="378" t="s">
        <v>1098</v>
      </c>
      <c r="J162" s="379">
        <v>4.0999999999999996</v>
      </c>
      <c r="K162" s="380"/>
    </row>
    <row r="163" spans="1:11" ht="11.1" customHeight="1" x14ac:dyDescent="0.3">
      <c r="A163" s="380"/>
      <c r="B163" s="380"/>
      <c r="C163" s="380"/>
      <c r="D163" s="380"/>
      <c r="E163" s="380"/>
      <c r="F163" s="380"/>
      <c r="G163" s="381"/>
      <c r="H163" s="382"/>
      <c r="I163" s="382"/>
      <c r="J163" s="383"/>
      <c r="K163" s="380"/>
    </row>
    <row r="164" spans="1:11" ht="11.1" customHeight="1" x14ac:dyDescent="0.3">
      <c r="A164" s="380">
        <v>3.1</v>
      </c>
      <c r="B164" s="380" t="s">
        <v>232</v>
      </c>
      <c r="C164" s="380"/>
      <c r="D164" s="380"/>
      <c r="E164" s="380"/>
      <c r="F164" s="380"/>
      <c r="G164" s="381" t="s">
        <v>1099</v>
      </c>
      <c r="H164" s="382">
        <v>401</v>
      </c>
      <c r="I164" s="382" t="s">
        <v>1100</v>
      </c>
      <c r="J164" s="383">
        <v>4.4000000000000004</v>
      </c>
      <c r="K164" s="380"/>
    </row>
    <row r="165" spans="1:11" ht="11.1" customHeight="1" x14ac:dyDescent="0.3">
      <c r="A165" s="380"/>
      <c r="B165" s="380" t="s">
        <v>233</v>
      </c>
      <c r="C165" s="380" t="s">
        <v>234</v>
      </c>
      <c r="D165" s="380"/>
      <c r="E165" s="380"/>
      <c r="F165" s="380"/>
      <c r="G165" s="381" t="s">
        <v>1087</v>
      </c>
      <c r="H165" s="382">
        <v>100</v>
      </c>
      <c r="I165" s="382" t="s">
        <v>1101</v>
      </c>
      <c r="J165" s="383">
        <v>11.6</v>
      </c>
      <c r="K165" s="380"/>
    </row>
    <row r="166" spans="1:11" ht="11.1" customHeight="1" x14ac:dyDescent="0.3">
      <c r="A166" s="380"/>
      <c r="B166" s="380" t="s">
        <v>235</v>
      </c>
      <c r="C166" s="380" t="s">
        <v>236</v>
      </c>
      <c r="D166" s="380"/>
      <c r="E166" s="380"/>
      <c r="F166" s="380"/>
      <c r="G166" s="381" t="s">
        <v>979</v>
      </c>
      <c r="H166" s="382">
        <v>15</v>
      </c>
      <c r="I166" s="382" t="s">
        <v>1102</v>
      </c>
      <c r="J166" s="383">
        <v>8.1</v>
      </c>
      <c r="K166" s="380"/>
    </row>
    <row r="167" spans="1:11" ht="11.1" customHeight="1" x14ac:dyDescent="0.3">
      <c r="A167" s="380"/>
      <c r="B167" s="380" t="s">
        <v>237</v>
      </c>
      <c r="C167" s="380" t="s">
        <v>238</v>
      </c>
      <c r="D167" s="380"/>
      <c r="E167" s="380"/>
      <c r="F167" s="380"/>
      <c r="G167" s="381" t="s">
        <v>1103</v>
      </c>
      <c r="H167" s="382">
        <v>162</v>
      </c>
      <c r="I167" s="382" t="s">
        <v>1019</v>
      </c>
      <c r="J167" s="383">
        <v>5.4</v>
      </c>
      <c r="K167" s="380"/>
    </row>
    <row r="168" spans="1:11" ht="11.1" customHeight="1" x14ac:dyDescent="0.3">
      <c r="A168" s="380"/>
      <c r="B168" s="380" t="s">
        <v>239</v>
      </c>
      <c r="C168" s="380" t="s">
        <v>240</v>
      </c>
      <c r="D168" s="380"/>
      <c r="E168" s="380"/>
      <c r="F168" s="380"/>
      <c r="G168" s="381" t="s">
        <v>1074</v>
      </c>
      <c r="H168" s="382">
        <v>33</v>
      </c>
      <c r="I168" s="382" t="s">
        <v>1104</v>
      </c>
      <c r="J168" s="383">
        <v>4.7</v>
      </c>
      <c r="K168" s="380"/>
    </row>
    <row r="169" spans="1:11" ht="11.1" customHeight="1" x14ac:dyDescent="0.3">
      <c r="A169" s="380"/>
      <c r="B169" s="380" t="s">
        <v>241</v>
      </c>
      <c r="C169" s="380" t="s">
        <v>242</v>
      </c>
      <c r="D169" s="380"/>
      <c r="E169" s="380"/>
      <c r="F169" s="380"/>
      <c r="G169" s="381" t="s">
        <v>1105</v>
      </c>
      <c r="H169" s="382">
        <v>22</v>
      </c>
      <c r="I169" s="382" t="s">
        <v>1056</v>
      </c>
      <c r="J169" s="383">
        <v>5.4</v>
      </c>
      <c r="K169" s="380"/>
    </row>
    <row r="170" spans="1:11" ht="11.1" customHeight="1" x14ac:dyDescent="0.3">
      <c r="A170" s="380"/>
      <c r="B170" s="380" t="s">
        <v>243</v>
      </c>
      <c r="C170" s="380" t="s">
        <v>244</v>
      </c>
      <c r="D170" s="380"/>
      <c r="E170" s="380"/>
      <c r="F170" s="380"/>
      <c r="G170" s="381" t="s">
        <v>1105</v>
      </c>
      <c r="H170" s="382">
        <v>22</v>
      </c>
      <c r="I170" s="382" t="s">
        <v>1106</v>
      </c>
      <c r="J170" s="383">
        <v>10.6</v>
      </c>
      <c r="K170" s="380"/>
    </row>
    <row r="171" spans="1:11" ht="11.1" customHeight="1" x14ac:dyDescent="0.3">
      <c r="A171" s="380"/>
      <c r="B171" s="380" t="s">
        <v>245</v>
      </c>
      <c r="C171" s="380" t="s">
        <v>246</v>
      </c>
      <c r="D171" s="380"/>
      <c r="E171" s="380"/>
      <c r="F171" s="380"/>
      <c r="G171" s="381" t="s">
        <v>1052</v>
      </c>
      <c r="H171" s="382">
        <v>11</v>
      </c>
      <c r="I171" s="382" t="s">
        <v>1107</v>
      </c>
      <c r="J171" s="383">
        <v>12</v>
      </c>
      <c r="K171" s="380"/>
    </row>
    <row r="172" spans="1:11" ht="11.1" customHeight="1" x14ac:dyDescent="0.3">
      <c r="A172" s="384"/>
      <c r="B172" s="384" t="s">
        <v>247</v>
      </c>
      <c r="C172" s="384" t="s">
        <v>248</v>
      </c>
      <c r="D172" s="384"/>
      <c r="E172" s="384"/>
      <c r="F172" s="384"/>
      <c r="G172" s="385" t="s">
        <v>1064</v>
      </c>
      <c r="H172" s="422">
        <v>9</v>
      </c>
      <c r="I172" s="422" t="s">
        <v>1108</v>
      </c>
      <c r="J172" s="423">
        <v>7.9</v>
      </c>
      <c r="K172" s="380"/>
    </row>
    <row r="173" spans="1:11" ht="11.1" customHeight="1" x14ac:dyDescent="0.3">
      <c r="A173" s="380"/>
      <c r="B173" s="380"/>
      <c r="C173" s="380"/>
      <c r="D173" s="380"/>
      <c r="E173" s="380"/>
      <c r="F173" s="380"/>
      <c r="G173" s="381"/>
      <c r="H173" s="388"/>
      <c r="I173" s="388"/>
      <c r="J173" s="389"/>
      <c r="K173" s="380"/>
    </row>
    <row r="174" spans="1:11" ht="11.1" customHeight="1" x14ac:dyDescent="0.3">
      <c r="A174" s="380" t="s">
        <v>111</v>
      </c>
      <c r="B174" s="380"/>
      <c r="C174" s="380"/>
      <c r="D174" s="380"/>
      <c r="E174" s="380"/>
      <c r="F174" s="380"/>
      <c r="G174" s="381"/>
      <c r="H174" s="388"/>
      <c r="I174" s="388"/>
      <c r="J174" s="389"/>
      <c r="K174" s="380"/>
    </row>
    <row r="175" spans="1:11" ht="11.1" customHeight="1" x14ac:dyDescent="0.3">
      <c r="A175" s="380" t="s">
        <v>182</v>
      </c>
      <c r="B175" s="380"/>
      <c r="C175" s="380"/>
      <c r="D175" s="380"/>
      <c r="E175" s="380"/>
      <c r="F175" s="380"/>
      <c r="G175" s="381"/>
      <c r="H175" s="388"/>
      <c r="I175" s="388"/>
      <c r="J175" s="389"/>
      <c r="K175" s="380"/>
    </row>
    <row r="176" spans="1:11" ht="11.1" customHeight="1" x14ac:dyDescent="0.3">
      <c r="A176" s="380" t="s">
        <v>112</v>
      </c>
      <c r="B176" s="380"/>
      <c r="C176" s="380"/>
      <c r="D176" s="380"/>
      <c r="E176" s="380"/>
      <c r="F176" s="380"/>
      <c r="G176" s="381"/>
      <c r="H176" s="388"/>
      <c r="I176" s="388"/>
      <c r="J176" s="389"/>
      <c r="K176" s="380"/>
    </row>
    <row r="181" spans="1:11" ht="11.1" customHeight="1" x14ac:dyDescent="0.3">
      <c r="K181" s="424"/>
    </row>
    <row r="182" spans="1:11" ht="13.8" customHeight="1" x14ac:dyDescent="0.3">
      <c r="A182" s="390" t="s">
        <v>114</v>
      </c>
      <c r="B182" s="425"/>
      <c r="C182" s="426"/>
      <c r="D182" s="427"/>
      <c r="E182" s="427"/>
      <c r="F182" s="428"/>
      <c r="G182" s="405"/>
      <c r="H182" s="406"/>
      <c r="I182" s="406"/>
      <c r="J182" s="393"/>
      <c r="K182" s="429"/>
    </row>
    <row r="183" spans="1:11" ht="19.8" customHeight="1" x14ac:dyDescent="0.3">
      <c r="A183" s="394" t="s">
        <v>183</v>
      </c>
      <c r="B183" s="395"/>
      <c r="C183" s="324"/>
      <c r="D183" s="325"/>
      <c r="E183" s="325"/>
      <c r="F183" s="326"/>
      <c r="G183" s="430"/>
      <c r="H183" s="431"/>
      <c r="I183" s="431"/>
      <c r="J183" s="400"/>
      <c r="K183" s="429"/>
    </row>
    <row r="184" spans="1:11" ht="15.6" customHeight="1" x14ac:dyDescent="0.3">
      <c r="A184" s="401" t="s">
        <v>971</v>
      </c>
      <c r="B184" s="402"/>
      <c r="C184" s="336"/>
      <c r="D184" s="337"/>
      <c r="E184" s="325"/>
      <c r="F184" s="326"/>
      <c r="G184" s="430"/>
      <c r="H184" s="431"/>
      <c r="I184" s="431"/>
      <c r="J184" s="400"/>
      <c r="K184" s="419"/>
    </row>
    <row r="185" spans="1:11" ht="11.1" customHeight="1" x14ac:dyDescent="0.3">
      <c r="A185" s="360"/>
      <c r="B185" s="360"/>
      <c r="C185" s="361"/>
      <c r="D185" s="362"/>
      <c r="E185" s="362"/>
      <c r="F185" s="362"/>
      <c r="G185" s="363"/>
      <c r="H185" s="364"/>
      <c r="I185" s="364"/>
      <c r="J185" s="365"/>
      <c r="K185" s="419"/>
    </row>
    <row r="186" spans="1:11" ht="11.1" customHeight="1" x14ac:dyDescent="0.3">
      <c r="A186" s="346"/>
      <c r="B186" s="346"/>
      <c r="C186" s="347"/>
      <c r="D186" s="348"/>
      <c r="E186" s="348"/>
      <c r="F186" s="348"/>
      <c r="G186" s="405"/>
      <c r="H186" s="406"/>
      <c r="I186" s="406"/>
      <c r="J186" s="407"/>
      <c r="K186" s="432"/>
    </row>
    <row r="187" spans="1:11" ht="11.1" customHeight="1" x14ac:dyDescent="0.3">
      <c r="A187" s="408"/>
      <c r="B187" s="408"/>
      <c r="C187" s="409"/>
      <c r="D187" s="410"/>
      <c r="E187" s="410"/>
      <c r="F187" s="353"/>
      <c r="G187" s="354" t="s">
        <v>116</v>
      </c>
      <c r="H187" s="355" t="s">
        <v>25</v>
      </c>
      <c r="I187" s="355" t="s">
        <v>26</v>
      </c>
      <c r="J187" s="356" t="s">
        <v>117</v>
      </c>
      <c r="K187" s="432"/>
    </row>
    <row r="188" spans="1:11" ht="11.1" customHeight="1" x14ac:dyDescent="0.3">
      <c r="A188" s="408"/>
      <c r="B188" s="408"/>
      <c r="C188" s="411"/>
      <c r="D188" s="410"/>
      <c r="E188" s="410"/>
      <c r="F188" s="353"/>
      <c r="G188" s="358" t="s">
        <v>29</v>
      </c>
      <c r="H188" s="355" t="s">
        <v>27</v>
      </c>
      <c r="I188" s="355" t="s">
        <v>28</v>
      </c>
      <c r="J188" s="356" t="s">
        <v>118</v>
      </c>
      <c r="K188" s="432"/>
    </row>
    <row r="189" spans="1:11" ht="11.1" customHeight="1" x14ac:dyDescent="0.3">
      <c r="A189" s="408"/>
      <c r="B189" s="408"/>
      <c r="C189" s="411"/>
      <c r="D189" s="410"/>
      <c r="E189" s="410"/>
      <c r="F189" s="353"/>
      <c r="G189" s="354" t="s">
        <v>31</v>
      </c>
      <c r="H189" s="355" t="s">
        <v>29</v>
      </c>
      <c r="I189" s="355" t="s">
        <v>30</v>
      </c>
      <c r="J189" s="356" t="s">
        <v>119</v>
      </c>
      <c r="K189" s="432"/>
    </row>
    <row r="190" spans="1:11" ht="11.1" customHeight="1" x14ac:dyDescent="0.3">
      <c r="A190" s="408"/>
      <c r="B190" s="408"/>
      <c r="C190" s="411"/>
      <c r="D190" s="410"/>
      <c r="E190" s="410"/>
      <c r="F190" s="353"/>
      <c r="G190" s="358" t="s">
        <v>32</v>
      </c>
      <c r="H190" s="355" t="s">
        <v>33</v>
      </c>
      <c r="I190" s="355" t="s">
        <v>120</v>
      </c>
      <c r="J190" s="356" t="s">
        <v>121</v>
      </c>
      <c r="K190" s="419"/>
    </row>
    <row r="191" spans="1:11" ht="11.1" customHeight="1" x14ac:dyDescent="0.3">
      <c r="A191" s="360"/>
      <c r="B191" s="360"/>
      <c r="C191" s="361"/>
      <c r="D191" s="362"/>
      <c r="E191" s="362"/>
      <c r="F191" s="362"/>
      <c r="G191" s="363"/>
      <c r="H191" s="364"/>
      <c r="I191" s="364"/>
      <c r="J191" s="365"/>
      <c r="K191" s="419"/>
    </row>
    <row r="192" spans="1:11" ht="11.1" customHeight="1" x14ac:dyDescent="0.3">
      <c r="A192" s="433"/>
      <c r="B192" s="346"/>
      <c r="C192" s="434"/>
      <c r="D192" s="405"/>
      <c r="E192" s="405"/>
      <c r="F192" s="348"/>
      <c r="G192" s="405"/>
      <c r="H192" s="406"/>
      <c r="I192" s="406"/>
      <c r="J192" s="407"/>
    </row>
    <row r="193" spans="1:11" ht="11.1" customHeight="1" x14ac:dyDescent="0.3">
      <c r="A193" s="375" t="s">
        <v>123</v>
      </c>
      <c r="B193" s="412"/>
      <c r="C193" s="413"/>
      <c r="D193" s="414"/>
      <c r="F193" s="330" t="s">
        <v>973</v>
      </c>
    </row>
    <row r="194" spans="1:11" ht="11.1" customHeight="1" x14ac:dyDescent="0.3">
      <c r="K194" s="380"/>
    </row>
    <row r="195" spans="1:11" ht="11.1" customHeight="1" x14ac:dyDescent="0.3">
      <c r="A195" s="376" t="s">
        <v>231</v>
      </c>
      <c r="B195" s="376" t="s">
        <v>249</v>
      </c>
      <c r="C195" s="376"/>
      <c r="D195" s="376"/>
      <c r="E195" s="376"/>
      <c r="F195" s="376"/>
      <c r="G195" s="377"/>
      <c r="H195" s="420"/>
      <c r="I195" s="420"/>
      <c r="J195" s="421"/>
      <c r="K195" s="380"/>
    </row>
    <row r="196" spans="1:11" ht="11.1" customHeight="1" x14ac:dyDescent="0.3">
      <c r="A196" s="380"/>
      <c r="B196" s="380"/>
      <c r="C196" s="380"/>
      <c r="D196" s="380"/>
      <c r="E196" s="380"/>
      <c r="F196" s="380"/>
      <c r="G196" s="381"/>
      <c r="H196" s="388"/>
      <c r="I196" s="388"/>
      <c r="J196" s="389"/>
      <c r="K196" s="380"/>
    </row>
    <row r="197" spans="1:11" ht="11.1" customHeight="1" x14ac:dyDescent="0.3">
      <c r="A197" s="380"/>
      <c r="B197" s="380" t="s">
        <v>250</v>
      </c>
      <c r="C197" s="380" t="s">
        <v>251</v>
      </c>
      <c r="D197" s="380"/>
      <c r="E197" s="380"/>
      <c r="F197" s="380"/>
      <c r="G197" s="381" t="s">
        <v>979</v>
      </c>
      <c r="H197" s="382">
        <v>13</v>
      </c>
      <c r="I197" s="382" t="s">
        <v>1036</v>
      </c>
      <c r="J197" s="383">
        <v>11.5</v>
      </c>
      <c r="K197" s="380"/>
    </row>
    <row r="198" spans="1:11" ht="11.1" customHeight="1" x14ac:dyDescent="0.3">
      <c r="A198" s="380"/>
      <c r="B198" s="380"/>
      <c r="C198" s="380" t="s">
        <v>252</v>
      </c>
      <c r="D198" s="380" t="s">
        <v>253</v>
      </c>
      <c r="E198" s="380"/>
      <c r="F198" s="380"/>
      <c r="G198" s="381" t="s">
        <v>1005</v>
      </c>
      <c r="H198" s="382">
        <v>4</v>
      </c>
      <c r="I198" s="382" t="s">
        <v>1109</v>
      </c>
      <c r="J198" s="383">
        <v>22.2</v>
      </c>
      <c r="K198" s="380"/>
    </row>
    <row r="199" spans="1:11" ht="11.1" customHeight="1" x14ac:dyDescent="0.3">
      <c r="A199" s="380"/>
      <c r="B199" s="380"/>
      <c r="C199" s="380" t="s">
        <v>254</v>
      </c>
      <c r="D199" s="380" t="s">
        <v>255</v>
      </c>
      <c r="E199" s="380"/>
      <c r="F199" s="380"/>
      <c r="G199" s="381" t="s">
        <v>1022</v>
      </c>
      <c r="H199" s="382">
        <v>7</v>
      </c>
      <c r="I199" s="382" t="s">
        <v>1110</v>
      </c>
      <c r="J199" s="383">
        <v>14.8</v>
      </c>
      <c r="K199" s="380"/>
    </row>
    <row r="200" spans="1:11" ht="11.1" customHeight="1" x14ac:dyDescent="0.3">
      <c r="A200" s="380"/>
      <c r="B200" s="380"/>
      <c r="C200" s="380" t="s">
        <v>256</v>
      </c>
      <c r="D200" s="380" t="s">
        <v>257</v>
      </c>
      <c r="E200" s="380"/>
      <c r="F200" s="380"/>
      <c r="G200" s="381" t="s">
        <v>1005</v>
      </c>
      <c r="H200" s="382">
        <v>1</v>
      </c>
      <c r="I200" s="382" t="s">
        <v>1111</v>
      </c>
      <c r="J200" s="383">
        <v>14.1</v>
      </c>
      <c r="K200" s="380"/>
    </row>
    <row r="201" spans="1:11" ht="11.1" customHeight="1" x14ac:dyDescent="0.3">
      <c r="A201" s="380"/>
      <c r="B201" s="380"/>
      <c r="C201" s="380" t="s">
        <v>258</v>
      </c>
      <c r="D201" s="380" t="s">
        <v>259</v>
      </c>
      <c r="E201" s="380"/>
      <c r="F201" s="380"/>
      <c r="G201" s="381" t="s">
        <v>1112</v>
      </c>
      <c r="H201" s="382" t="s">
        <v>1113</v>
      </c>
      <c r="I201" s="382" t="s">
        <v>230</v>
      </c>
      <c r="J201" s="383" t="s">
        <v>230</v>
      </c>
      <c r="K201" s="380"/>
    </row>
    <row r="202" spans="1:11" ht="11.1" customHeight="1" x14ac:dyDescent="0.3">
      <c r="A202" s="380"/>
      <c r="B202" s="380"/>
      <c r="C202" s="380"/>
      <c r="D202" s="380"/>
      <c r="E202" s="380"/>
      <c r="F202" s="380"/>
      <c r="G202" s="381"/>
      <c r="H202" s="382"/>
      <c r="I202" s="382"/>
      <c r="J202" s="383"/>
      <c r="K202" s="380"/>
    </row>
    <row r="203" spans="1:11" ht="11.1" customHeight="1" x14ac:dyDescent="0.3">
      <c r="A203" s="380"/>
      <c r="B203" s="380" t="s">
        <v>260</v>
      </c>
      <c r="C203" s="380" t="s">
        <v>261</v>
      </c>
      <c r="D203" s="380"/>
      <c r="E203" s="380"/>
      <c r="F203" s="380"/>
      <c r="G203" s="381" t="s">
        <v>1064</v>
      </c>
      <c r="H203" s="382">
        <v>8</v>
      </c>
      <c r="I203" s="382" t="s">
        <v>1107</v>
      </c>
      <c r="J203" s="383">
        <v>11.3</v>
      </c>
      <c r="K203" s="380"/>
    </row>
    <row r="204" spans="1:11" ht="11.1" customHeight="1" x14ac:dyDescent="0.3">
      <c r="A204" s="380"/>
      <c r="B204" s="380"/>
      <c r="C204" s="380"/>
      <c r="D204" s="380"/>
      <c r="E204" s="380"/>
      <c r="F204" s="380"/>
      <c r="G204" s="381"/>
      <c r="H204" s="388"/>
      <c r="I204" s="388"/>
      <c r="J204" s="389"/>
      <c r="K204" s="380"/>
    </row>
    <row r="205" spans="1:11" ht="11.1" customHeight="1" x14ac:dyDescent="0.3">
      <c r="A205" s="380"/>
      <c r="B205" s="380" t="s">
        <v>262</v>
      </c>
      <c r="C205" s="380" t="s">
        <v>263</v>
      </c>
      <c r="D205" s="380"/>
      <c r="E205" s="380"/>
      <c r="F205" s="380"/>
      <c r="G205" s="381" t="s">
        <v>1022</v>
      </c>
      <c r="H205" s="382">
        <v>4</v>
      </c>
      <c r="I205" s="382" t="s">
        <v>1114</v>
      </c>
      <c r="J205" s="383">
        <v>23.5</v>
      </c>
      <c r="K205" s="380"/>
    </row>
    <row r="206" spans="1:11" ht="11.1" customHeight="1" x14ac:dyDescent="0.3">
      <c r="A206" s="380"/>
      <c r="B206" s="380"/>
      <c r="C206" s="380" t="s">
        <v>264</v>
      </c>
      <c r="D206" s="380" t="s">
        <v>265</v>
      </c>
      <c r="E206" s="380"/>
      <c r="F206" s="380"/>
      <c r="G206" s="381" t="s">
        <v>1005</v>
      </c>
      <c r="H206" s="382">
        <v>3</v>
      </c>
      <c r="I206" s="382" t="s">
        <v>1115</v>
      </c>
      <c r="J206" s="383">
        <v>19.600000000000001</v>
      </c>
      <c r="K206" s="380"/>
    </row>
    <row r="207" spans="1:11" ht="11.1" customHeight="1" x14ac:dyDescent="0.3">
      <c r="A207" s="380"/>
      <c r="B207" s="380"/>
      <c r="C207" s="380" t="s">
        <v>266</v>
      </c>
      <c r="D207" s="380" t="s">
        <v>267</v>
      </c>
      <c r="E207" s="380"/>
      <c r="F207" s="380"/>
      <c r="G207" s="381" t="s">
        <v>1112</v>
      </c>
      <c r="H207" s="382" t="s">
        <v>1113</v>
      </c>
      <c r="I207" s="382" t="s">
        <v>1010</v>
      </c>
      <c r="J207" s="383">
        <v>82.2</v>
      </c>
      <c r="K207" s="380"/>
    </row>
    <row r="208" spans="1:11" ht="11.1" customHeight="1" x14ac:dyDescent="0.3">
      <c r="A208" s="380"/>
      <c r="B208" s="380"/>
      <c r="C208" s="380"/>
      <c r="D208" s="380"/>
      <c r="E208" s="380"/>
      <c r="F208" s="380"/>
      <c r="G208" s="381"/>
      <c r="H208" s="388"/>
      <c r="I208" s="388"/>
      <c r="J208" s="389"/>
      <c r="K208" s="380"/>
    </row>
    <row r="209" spans="1:11" ht="11.1" customHeight="1" x14ac:dyDescent="0.3">
      <c r="A209" s="380">
        <v>3.2</v>
      </c>
      <c r="B209" s="380" t="s">
        <v>268</v>
      </c>
      <c r="C209" s="380"/>
      <c r="D209" s="380"/>
      <c r="E209" s="380"/>
      <c r="F209" s="380"/>
      <c r="G209" s="381" t="s">
        <v>1069</v>
      </c>
      <c r="H209" s="382">
        <v>97</v>
      </c>
      <c r="I209" s="382" t="s">
        <v>1116</v>
      </c>
      <c r="J209" s="383">
        <v>5.2</v>
      </c>
      <c r="K209" s="380"/>
    </row>
    <row r="210" spans="1:11" ht="11.1" customHeight="1" x14ac:dyDescent="0.3">
      <c r="A210" s="380"/>
      <c r="B210" s="380" t="s">
        <v>269</v>
      </c>
      <c r="C210" s="380" t="s">
        <v>270</v>
      </c>
      <c r="D210" s="380"/>
      <c r="E210" s="380"/>
      <c r="F210" s="380"/>
      <c r="G210" s="381" t="s">
        <v>1074</v>
      </c>
      <c r="H210" s="382">
        <v>35</v>
      </c>
      <c r="I210" s="382" t="s">
        <v>1056</v>
      </c>
      <c r="J210" s="383">
        <v>7.1</v>
      </c>
      <c r="K210" s="380"/>
    </row>
    <row r="211" spans="1:11" ht="11.1" customHeight="1" x14ac:dyDescent="0.3">
      <c r="A211" s="380"/>
      <c r="B211" s="380" t="s">
        <v>271</v>
      </c>
      <c r="C211" s="380" t="s">
        <v>272</v>
      </c>
      <c r="D211" s="380"/>
      <c r="E211" s="380"/>
      <c r="F211" s="380"/>
      <c r="G211" s="381" t="s">
        <v>1044</v>
      </c>
      <c r="H211" s="382">
        <v>49</v>
      </c>
      <c r="I211" s="382" t="s">
        <v>1006</v>
      </c>
      <c r="J211" s="383">
        <v>7.9</v>
      </c>
      <c r="K211" s="380"/>
    </row>
    <row r="212" spans="1:11" ht="11.1" customHeight="1" x14ac:dyDescent="0.3">
      <c r="A212" s="380"/>
      <c r="B212" s="380" t="s">
        <v>273</v>
      </c>
      <c r="C212" s="380" t="s">
        <v>274</v>
      </c>
      <c r="D212" s="380"/>
      <c r="E212" s="380"/>
      <c r="F212" s="380"/>
      <c r="G212" s="381" t="s">
        <v>1052</v>
      </c>
      <c r="H212" s="382">
        <v>12</v>
      </c>
      <c r="I212" s="382" t="s">
        <v>1117</v>
      </c>
      <c r="J212" s="383">
        <v>12.8</v>
      </c>
      <c r="K212" s="380"/>
    </row>
    <row r="213" spans="1:11" ht="11.1" customHeight="1" x14ac:dyDescent="0.3">
      <c r="A213" s="380"/>
      <c r="B213" s="380" t="s">
        <v>275</v>
      </c>
      <c r="C213" s="380" t="s">
        <v>276</v>
      </c>
      <c r="D213" s="380"/>
      <c r="E213" s="380"/>
      <c r="F213" s="380"/>
      <c r="G213" s="381" t="s">
        <v>230</v>
      </c>
      <c r="H213" s="382" t="s">
        <v>230</v>
      </c>
      <c r="I213" s="382" t="s">
        <v>230</v>
      </c>
      <c r="J213" s="383" t="s">
        <v>230</v>
      </c>
      <c r="K213" s="380"/>
    </row>
    <row r="214" spans="1:11" ht="11.1" customHeight="1" x14ac:dyDescent="0.3">
      <c r="A214" s="380"/>
      <c r="B214" s="380"/>
      <c r="C214" s="380"/>
      <c r="D214" s="380"/>
      <c r="E214" s="380"/>
      <c r="F214" s="380"/>
      <c r="G214" s="381"/>
      <c r="H214" s="388"/>
      <c r="I214" s="388"/>
      <c r="J214" s="389"/>
      <c r="K214" s="380"/>
    </row>
    <row r="215" spans="1:11" ht="11.1" customHeight="1" x14ac:dyDescent="0.3">
      <c r="A215" s="384"/>
      <c r="B215" s="384"/>
      <c r="C215" s="384"/>
      <c r="D215" s="384"/>
      <c r="E215" s="384"/>
      <c r="F215" s="384"/>
      <c r="G215" s="385"/>
      <c r="H215" s="386"/>
      <c r="I215" s="386"/>
      <c r="J215" s="387"/>
      <c r="K215" s="380"/>
    </row>
    <row r="216" spans="1:11" ht="11.1" customHeight="1" x14ac:dyDescent="0.3">
      <c r="A216" s="376">
        <v>4</v>
      </c>
      <c r="B216" s="376" t="s">
        <v>1118</v>
      </c>
      <c r="C216" s="376"/>
      <c r="D216" s="376"/>
      <c r="E216" s="376"/>
      <c r="F216" s="376"/>
      <c r="G216" s="377" t="s">
        <v>1119</v>
      </c>
      <c r="H216" s="378">
        <v>3227</v>
      </c>
      <c r="I216" s="378" t="s">
        <v>1120</v>
      </c>
      <c r="J216" s="379">
        <v>1.2</v>
      </c>
      <c r="K216" s="380"/>
    </row>
    <row r="217" spans="1:11" ht="11.1" customHeight="1" x14ac:dyDescent="0.3">
      <c r="A217" s="380"/>
      <c r="B217" s="380"/>
      <c r="C217" s="380"/>
      <c r="D217" s="380"/>
      <c r="E217" s="380"/>
      <c r="F217" s="380"/>
      <c r="G217" s="381"/>
      <c r="H217" s="388"/>
      <c r="I217" s="388"/>
      <c r="J217" s="389"/>
      <c r="K217" s="380"/>
    </row>
    <row r="218" spans="1:11" ht="11.1" customHeight="1" x14ac:dyDescent="0.3">
      <c r="A218" s="380">
        <v>4.0999999999999996</v>
      </c>
      <c r="B218" s="380" t="s">
        <v>278</v>
      </c>
      <c r="C218" s="380"/>
      <c r="D218" s="380"/>
      <c r="E218" s="380"/>
      <c r="F218" s="380"/>
      <c r="G218" s="381" t="s">
        <v>1121</v>
      </c>
      <c r="H218" s="382">
        <v>1723</v>
      </c>
      <c r="I218" s="382" t="s">
        <v>1046</v>
      </c>
      <c r="J218" s="383">
        <v>2.1</v>
      </c>
      <c r="K218" s="380"/>
    </row>
    <row r="219" spans="1:11" ht="11.1" customHeight="1" x14ac:dyDescent="0.3">
      <c r="A219" s="380"/>
      <c r="B219" s="380" t="s">
        <v>279</v>
      </c>
      <c r="C219" s="380" t="s">
        <v>280</v>
      </c>
      <c r="D219" s="380"/>
      <c r="E219" s="380"/>
      <c r="F219" s="380"/>
      <c r="G219" s="381" t="s">
        <v>1121</v>
      </c>
      <c r="H219" s="382">
        <v>1722</v>
      </c>
      <c r="I219" s="382" t="s">
        <v>1046</v>
      </c>
      <c r="J219" s="383">
        <v>2.1</v>
      </c>
      <c r="K219" s="380"/>
    </row>
    <row r="220" spans="1:11" ht="11.1" customHeight="1" x14ac:dyDescent="0.3">
      <c r="A220" s="380"/>
      <c r="B220" s="380" t="s">
        <v>281</v>
      </c>
      <c r="C220" s="380" t="s">
        <v>1122</v>
      </c>
      <c r="D220" s="380"/>
      <c r="E220" s="380"/>
      <c r="F220" s="380"/>
      <c r="G220" s="381" t="s">
        <v>1123</v>
      </c>
      <c r="H220" s="382">
        <v>279</v>
      </c>
      <c r="I220" s="382" t="s">
        <v>1084</v>
      </c>
      <c r="J220" s="383">
        <v>5.9</v>
      </c>
      <c r="K220" s="380"/>
    </row>
    <row r="221" spans="1:11" ht="11.1" customHeight="1" x14ac:dyDescent="0.3">
      <c r="A221" s="380"/>
      <c r="B221" s="380" t="s">
        <v>283</v>
      </c>
      <c r="C221" s="380" t="s">
        <v>1124</v>
      </c>
      <c r="D221" s="380"/>
      <c r="E221" s="380"/>
      <c r="F221" s="380"/>
      <c r="G221" s="381" t="s">
        <v>1125</v>
      </c>
      <c r="H221" s="382">
        <v>1443</v>
      </c>
      <c r="I221" s="382" t="s">
        <v>1126</v>
      </c>
      <c r="J221" s="383">
        <v>2.4</v>
      </c>
      <c r="K221" s="380"/>
    </row>
    <row r="222" spans="1:11" ht="11.1" customHeight="1" x14ac:dyDescent="0.3">
      <c r="A222" s="380"/>
      <c r="B222" s="380" t="s">
        <v>285</v>
      </c>
      <c r="C222" s="380" t="s">
        <v>286</v>
      </c>
      <c r="D222" s="380"/>
      <c r="E222" s="380"/>
      <c r="F222" s="380"/>
      <c r="G222" s="381" t="s">
        <v>230</v>
      </c>
      <c r="H222" s="382" t="s">
        <v>230</v>
      </c>
      <c r="I222" s="382" t="s">
        <v>230</v>
      </c>
      <c r="J222" s="383" t="s">
        <v>230</v>
      </c>
      <c r="K222" s="380"/>
    </row>
    <row r="223" spans="1:11" ht="11.1" customHeight="1" x14ac:dyDescent="0.3">
      <c r="A223" s="380"/>
      <c r="B223" s="380"/>
      <c r="C223" s="380"/>
      <c r="D223" s="380"/>
      <c r="E223" s="380"/>
      <c r="F223" s="380"/>
      <c r="G223" s="381"/>
      <c r="H223" s="388"/>
      <c r="I223" s="388"/>
      <c r="J223" s="389"/>
      <c r="K223" s="380"/>
    </row>
    <row r="224" spans="1:11" ht="11.1" customHeight="1" x14ac:dyDescent="0.3">
      <c r="A224" s="380">
        <v>4.2</v>
      </c>
      <c r="B224" s="380" t="s">
        <v>287</v>
      </c>
      <c r="C224" s="380"/>
      <c r="D224" s="380"/>
      <c r="E224" s="380"/>
      <c r="F224" s="380"/>
      <c r="G224" s="381" t="s">
        <v>1127</v>
      </c>
      <c r="H224" s="382">
        <v>314</v>
      </c>
      <c r="I224" s="382" t="s">
        <v>1128</v>
      </c>
      <c r="J224" s="383">
        <v>4.5999999999999996</v>
      </c>
      <c r="K224" s="380"/>
    </row>
    <row r="225" spans="1:11" ht="11.1" customHeight="1" x14ac:dyDescent="0.3">
      <c r="A225" s="380"/>
      <c r="B225" s="380" t="s">
        <v>288</v>
      </c>
      <c r="C225" s="380" t="s">
        <v>289</v>
      </c>
      <c r="D225" s="380"/>
      <c r="E225" s="380"/>
      <c r="F225" s="380"/>
      <c r="G225" s="381" t="s">
        <v>1020</v>
      </c>
      <c r="H225" s="382">
        <v>42</v>
      </c>
      <c r="I225" s="382" t="s">
        <v>1129</v>
      </c>
      <c r="J225" s="383">
        <v>6.8</v>
      </c>
      <c r="K225" s="380"/>
    </row>
    <row r="226" spans="1:11" ht="11.1" customHeight="1" x14ac:dyDescent="0.3">
      <c r="A226" s="380"/>
      <c r="B226" s="380" t="s">
        <v>290</v>
      </c>
      <c r="C226" s="380" t="s">
        <v>291</v>
      </c>
      <c r="D226" s="380"/>
      <c r="E226" s="380"/>
      <c r="F226" s="380"/>
      <c r="G226" s="381" t="s">
        <v>1130</v>
      </c>
      <c r="H226" s="382">
        <v>196</v>
      </c>
      <c r="I226" s="382" t="s">
        <v>1131</v>
      </c>
      <c r="J226" s="383">
        <v>5.6</v>
      </c>
      <c r="K226" s="380"/>
    </row>
    <row r="227" spans="1:11" ht="11.1" customHeight="1" x14ac:dyDescent="0.3">
      <c r="A227" s="380"/>
      <c r="B227" s="380" t="s">
        <v>292</v>
      </c>
      <c r="C227" s="380" t="s">
        <v>293</v>
      </c>
      <c r="D227" s="380"/>
      <c r="E227" s="380"/>
      <c r="F227" s="380"/>
      <c r="G227" s="381" t="s">
        <v>1015</v>
      </c>
      <c r="H227" s="382">
        <v>41</v>
      </c>
      <c r="I227" s="382" t="s">
        <v>1132</v>
      </c>
      <c r="J227" s="383">
        <v>11.4</v>
      </c>
      <c r="K227" s="380"/>
    </row>
    <row r="228" spans="1:11" ht="11.1" customHeight="1" x14ac:dyDescent="0.3">
      <c r="A228" s="380"/>
      <c r="B228" s="380" t="s">
        <v>294</v>
      </c>
      <c r="C228" s="380" t="s">
        <v>295</v>
      </c>
      <c r="D228" s="380"/>
      <c r="E228" s="380"/>
      <c r="F228" s="380"/>
      <c r="G228" s="381" t="s">
        <v>1074</v>
      </c>
      <c r="H228" s="382">
        <v>35</v>
      </c>
      <c r="I228" s="382" t="s">
        <v>1089</v>
      </c>
      <c r="J228" s="383">
        <v>14.4</v>
      </c>
      <c r="K228" s="380"/>
    </row>
    <row r="229" spans="1:11" ht="11.1" customHeight="1" x14ac:dyDescent="0.3">
      <c r="A229" s="380"/>
      <c r="B229" s="380"/>
      <c r="C229" s="380"/>
      <c r="D229" s="380"/>
      <c r="E229" s="380"/>
      <c r="F229" s="380"/>
      <c r="G229" s="381"/>
      <c r="H229" s="388"/>
      <c r="I229" s="388"/>
      <c r="J229" s="389"/>
      <c r="K229" s="380"/>
    </row>
    <row r="230" spans="1:11" ht="11.1" customHeight="1" x14ac:dyDescent="0.3">
      <c r="A230" s="380">
        <v>4.3</v>
      </c>
      <c r="B230" s="380" t="s">
        <v>296</v>
      </c>
      <c r="C230" s="380"/>
      <c r="D230" s="380"/>
      <c r="E230" s="380"/>
      <c r="F230" s="380"/>
      <c r="G230" s="381" t="s">
        <v>1079</v>
      </c>
      <c r="H230" s="382">
        <v>316</v>
      </c>
      <c r="I230" s="382" t="s">
        <v>1133</v>
      </c>
      <c r="J230" s="383">
        <v>2.1</v>
      </c>
      <c r="K230" s="380"/>
    </row>
    <row r="231" spans="1:11" ht="11.1" customHeight="1" x14ac:dyDescent="0.3">
      <c r="A231" s="380"/>
      <c r="B231" s="380" t="s">
        <v>297</v>
      </c>
      <c r="C231" s="380" t="s">
        <v>298</v>
      </c>
      <c r="D231" s="380"/>
      <c r="E231" s="380"/>
      <c r="F231" s="380"/>
      <c r="G231" s="381" t="s">
        <v>1081</v>
      </c>
      <c r="H231" s="382">
        <v>242</v>
      </c>
      <c r="I231" s="382" t="s">
        <v>1050</v>
      </c>
      <c r="J231" s="383">
        <v>0.9</v>
      </c>
      <c r="K231" s="380"/>
    </row>
    <row r="232" spans="1:11" ht="11.1" customHeight="1" x14ac:dyDescent="0.3">
      <c r="A232" s="380"/>
      <c r="B232" s="380" t="s">
        <v>299</v>
      </c>
      <c r="C232" s="380" t="s">
        <v>300</v>
      </c>
      <c r="D232" s="380"/>
      <c r="E232" s="380"/>
      <c r="F232" s="380"/>
      <c r="G232" s="381" t="s">
        <v>1134</v>
      </c>
      <c r="H232" s="382">
        <v>69</v>
      </c>
      <c r="I232" s="382" t="s">
        <v>1135</v>
      </c>
      <c r="J232" s="383">
        <v>7.4</v>
      </c>
      <c r="K232" s="380"/>
    </row>
    <row r="233" spans="1:11" ht="11.1" customHeight="1" x14ac:dyDescent="0.3">
      <c r="A233" s="380"/>
      <c r="B233" s="380" t="s">
        <v>301</v>
      </c>
      <c r="C233" s="380" t="s">
        <v>302</v>
      </c>
      <c r="D233" s="380"/>
      <c r="E233" s="380"/>
      <c r="F233" s="380"/>
      <c r="G233" s="381" t="s">
        <v>1005</v>
      </c>
      <c r="H233" s="382">
        <v>4</v>
      </c>
      <c r="I233" s="382" t="s">
        <v>1136</v>
      </c>
      <c r="J233" s="383">
        <v>65.5</v>
      </c>
      <c r="K233" s="380"/>
    </row>
    <row r="234" spans="1:11" ht="11.1" customHeight="1" x14ac:dyDescent="0.3">
      <c r="A234" s="380"/>
      <c r="B234" s="380"/>
      <c r="C234" s="380"/>
      <c r="D234" s="380"/>
      <c r="E234" s="380"/>
      <c r="F234" s="380"/>
      <c r="G234" s="381"/>
      <c r="H234" s="388"/>
      <c r="I234" s="388"/>
      <c r="J234" s="389"/>
      <c r="K234" s="380"/>
    </row>
    <row r="235" spans="1:11" ht="11.1" customHeight="1" x14ac:dyDescent="0.3">
      <c r="A235" s="380">
        <v>4.4000000000000004</v>
      </c>
      <c r="B235" s="380" t="s">
        <v>303</v>
      </c>
      <c r="C235" s="380"/>
      <c r="D235" s="380"/>
      <c r="E235" s="380"/>
      <c r="F235" s="380"/>
      <c r="G235" s="381" t="s">
        <v>1137</v>
      </c>
      <c r="H235" s="382">
        <v>1153</v>
      </c>
      <c r="I235" s="382" t="s">
        <v>1138</v>
      </c>
      <c r="J235" s="383">
        <v>0.5</v>
      </c>
      <c r="K235" s="380"/>
    </row>
    <row r="236" spans="1:11" ht="11.1" customHeight="1" x14ac:dyDescent="0.3">
      <c r="A236" s="380"/>
      <c r="B236" s="380" t="s">
        <v>304</v>
      </c>
      <c r="C236" s="380" t="s">
        <v>305</v>
      </c>
      <c r="D236" s="380"/>
      <c r="E236" s="380"/>
      <c r="F236" s="380"/>
      <c r="G236" s="381" t="s">
        <v>1139</v>
      </c>
      <c r="H236" s="382">
        <v>613</v>
      </c>
      <c r="I236" s="382" t="s">
        <v>1140</v>
      </c>
      <c r="J236" s="383">
        <v>0.6</v>
      </c>
      <c r="K236" s="380"/>
    </row>
    <row r="237" spans="1:11" ht="11.1" customHeight="1" x14ac:dyDescent="0.3">
      <c r="A237" s="380"/>
      <c r="B237" s="380" t="s">
        <v>306</v>
      </c>
      <c r="C237" s="380" t="s">
        <v>307</v>
      </c>
      <c r="D237" s="380"/>
      <c r="E237" s="380"/>
      <c r="F237" s="380"/>
      <c r="G237" s="381" t="s">
        <v>1141</v>
      </c>
      <c r="H237" s="382">
        <v>484</v>
      </c>
      <c r="I237" s="382" t="s">
        <v>984</v>
      </c>
      <c r="J237" s="383">
        <v>0.9</v>
      </c>
      <c r="K237" s="380"/>
    </row>
    <row r="238" spans="1:11" ht="11.1" customHeight="1" x14ac:dyDescent="0.3">
      <c r="A238" s="380"/>
      <c r="B238" s="380"/>
      <c r="C238" s="380"/>
      <c r="D238" s="380"/>
      <c r="E238" s="380"/>
      <c r="F238" s="380"/>
      <c r="G238" s="381"/>
      <c r="H238" s="388"/>
      <c r="I238" s="388"/>
      <c r="J238" s="389"/>
      <c r="K238" s="380"/>
    </row>
    <row r="239" spans="1:11" ht="11.1" customHeight="1" x14ac:dyDescent="0.3">
      <c r="A239" s="380"/>
      <c r="B239" s="380" t="s">
        <v>308</v>
      </c>
      <c r="C239" s="380" t="s">
        <v>309</v>
      </c>
      <c r="D239" s="380"/>
      <c r="E239" s="380"/>
      <c r="F239" s="380"/>
      <c r="G239" s="381" t="s">
        <v>994</v>
      </c>
      <c r="H239" s="382">
        <v>56</v>
      </c>
      <c r="I239" s="382" t="s">
        <v>1142</v>
      </c>
      <c r="J239" s="383">
        <v>6.1</v>
      </c>
      <c r="K239" s="380"/>
    </row>
    <row r="240" spans="1:11" ht="11.1" customHeight="1" x14ac:dyDescent="0.3">
      <c r="A240" s="380"/>
      <c r="B240" s="380"/>
      <c r="C240" s="380" t="s">
        <v>310</v>
      </c>
      <c r="D240" s="380" t="s">
        <v>311</v>
      </c>
      <c r="E240" s="380"/>
      <c r="F240" s="380"/>
      <c r="G240" s="381" t="s">
        <v>1022</v>
      </c>
      <c r="H240" s="382">
        <v>5</v>
      </c>
      <c r="I240" s="382" t="s">
        <v>1088</v>
      </c>
      <c r="J240" s="383">
        <v>15.4</v>
      </c>
      <c r="K240" s="380"/>
    </row>
    <row r="241" spans="1:11" ht="11.1" customHeight="1" x14ac:dyDescent="0.3">
      <c r="A241" s="380"/>
      <c r="B241" s="380"/>
      <c r="C241" s="380" t="s">
        <v>312</v>
      </c>
      <c r="D241" s="380" t="s">
        <v>313</v>
      </c>
      <c r="E241" s="380"/>
      <c r="F241" s="380"/>
      <c r="G241" s="381" t="s">
        <v>1020</v>
      </c>
      <c r="H241" s="382">
        <v>42</v>
      </c>
      <c r="I241" s="382" t="s">
        <v>1132</v>
      </c>
      <c r="J241" s="383">
        <v>7.3</v>
      </c>
      <c r="K241" s="380"/>
    </row>
    <row r="242" spans="1:11" ht="11.1" customHeight="1" x14ac:dyDescent="0.3">
      <c r="A242" s="380"/>
      <c r="B242" s="380"/>
      <c r="C242" s="380" t="s">
        <v>314</v>
      </c>
      <c r="D242" s="380" t="s">
        <v>315</v>
      </c>
      <c r="E242" s="380"/>
      <c r="F242" s="380"/>
      <c r="G242" s="381" t="s">
        <v>1064</v>
      </c>
      <c r="H242" s="382">
        <v>8</v>
      </c>
      <c r="I242" s="382" t="s">
        <v>1088</v>
      </c>
      <c r="J242" s="383">
        <v>10.1</v>
      </c>
      <c r="K242" s="380"/>
    </row>
    <row r="243" spans="1:11" ht="11.1" customHeight="1" x14ac:dyDescent="0.3">
      <c r="A243" s="380"/>
      <c r="B243" s="380"/>
      <c r="C243" s="380"/>
      <c r="D243" s="380"/>
      <c r="E243" s="380"/>
      <c r="F243" s="380"/>
      <c r="G243" s="381"/>
      <c r="H243" s="388"/>
      <c r="I243" s="388"/>
      <c r="J243" s="389"/>
      <c r="K243" s="380"/>
    </row>
    <row r="244" spans="1:11" ht="11.1" customHeight="1" x14ac:dyDescent="0.3">
      <c r="A244" s="384"/>
      <c r="B244" s="384"/>
      <c r="C244" s="384"/>
      <c r="D244" s="384"/>
      <c r="E244" s="384"/>
      <c r="F244" s="384"/>
      <c r="G244" s="385"/>
      <c r="H244" s="386"/>
      <c r="I244" s="386"/>
      <c r="J244" s="387"/>
      <c r="K244" s="380"/>
    </row>
    <row r="245" spans="1:11" ht="11.1" customHeight="1" x14ac:dyDescent="0.3">
      <c r="A245" s="376">
        <v>5</v>
      </c>
      <c r="B245" s="376" t="s">
        <v>316</v>
      </c>
      <c r="C245" s="376"/>
      <c r="D245" s="376"/>
      <c r="E245" s="376"/>
      <c r="F245" s="376"/>
      <c r="G245" s="377" t="s">
        <v>1143</v>
      </c>
      <c r="H245" s="378">
        <v>1102</v>
      </c>
      <c r="I245" s="378" t="s">
        <v>1133</v>
      </c>
      <c r="J245" s="379">
        <v>2.8</v>
      </c>
      <c r="K245" s="380"/>
    </row>
    <row r="246" spans="1:11" ht="11.1" customHeight="1" x14ac:dyDescent="0.3">
      <c r="A246" s="380"/>
      <c r="B246" s="380"/>
      <c r="C246" s="380"/>
      <c r="D246" s="380"/>
      <c r="E246" s="380"/>
      <c r="F246" s="380"/>
      <c r="G246" s="381"/>
      <c r="H246" s="388"/>
      <c r="I246" s="388"/>
      <c r="J246" s="389"/>
      <c r="K246" s="380"/>
    </row>
    <row r="247" spans="1:11" ht="11.1" customHeight="1" x14ac:dyDescent="0.3">
      <c r="A247" s="380">
        <v>5.0999999999999996</v>
      </c>
      <c r="B247" s="380" t="s">
        <v>317</v>
      </c>
      <c r="C247" s="380"/>
      <c r="D247" s="380"/>
      <c r="E247" s="380"/>
      <c r="F247" s="380"/>
      <c r="G247" s="381" t="s">
        <v>1144</v>
      </c>
      <c r="H247" s="382">
        <v>605</v>
      </c>
      <c r="I247" s="382" t="s">
        <v>1145</v>
      </c>
      <c r="J247" s="383">
        <v>4.3</v>
      </c>
      <c r="K247" s="380"/>
    </row>
    <row r="248" spans="1:11" ht="11.1" customHeight="1" x14ac:dyDescent="0.3">
      <c r="A248" s="380"/>
      <c r="B248" s="380" t="s">
        <v>318</v>
      </c>
      <c r="C248" s="380" t="s">
        <v>319</v>
      </c>
      <c r="D248" s="380"/>
      <c r="E248" s="380"/>
      <c r="F248" s="380"/>
      <c r="G248" s="381" t="s">
        <v>1146</v>
      </c>
      <c r="H248" s="382">
        <v>492</v>
      </c>
      <c r="I248" s="382" t="s">
        <v>1147</v>
      </c>
      <c r="J248" s="383">
        <v>4.5999999999999996</v>
      </c>
      <c r="K248" s="380"/>
    </row>
    <row r="249" spans="1:11" ht="11.1" customHeight="1" x14ac:dyDescent="0.3">
      <c r="A249" s="380"/>
      <c r="B249" s="380"/>
      <c r="C249" s="380" t="s">
        <v>320</v>
      </c>
      <c r="D249" s="380" t="s">
        <v>321</v>
      </c>
      <c r="E249" s="380"/>
      <c r="F249" s="380"/>
      <c r="G249" s="381" t="s">
        <v>1148</v>
      </c>
      <c r="H249" s="382">
        <v>449</v>
      </c>
      <c r="I249" s="382" t="s">
        <v>1013</v>
      </c>
      <c r="J249" s="383">
        <v>4.8</v>
      </c>
      <c r="K249" s="380"/>
    </row>
    <row r="250" spans="1:11" ht="11.1" customHeight="1" x14ac:dyDescent="0.3">
      <c r="A250" s="380"/>
      <c r="B250" s="380"/>
      <c r="C250" s="380" t="s">
        <v>322</v>
      </c>
      <c r="D250" s="380" t="s">
        <v>323</v>
      </c>
      <c r="E250" s="380"/>
      <c r="F250" s="380"/>
      <c r="G250" s="381" t="s">
        <v>992</v>
      </c>
      <c r="H250" s="382">
        <v>31</v>
      </c>
      <c r="I250" s="382" t="s">
        <v>1149</v>
      </c>
      <c r="J250" s="383">
        <v>17</v>
      </c>
      <c r="K250" s="380"/>
    </row>
    <row r="251" spans="1:11" ht="11.1" customHeight="1" x14ac:dyDescent="0.3">
      <c r="A251" s="380"/>
      <c r="B251" s="380"/>
      <c r="C251" s="380" t="s">
        <v>324</v>
      </c>
      <c r="D251" s="380" t="s">
        <v>325</v>
      </c>
      <c r="E251" s="380"/>
      <c r="F251" s="380"/>
      <c r="G251" s="381" t="s">
        <v>1052</v>
      </c>
      <c r="H251" s="382">
        <v>12</v>
      </c>
      <c r="I251" s="382" t="s">
        <v>1115</v>
      </c>
      <c r="J251" s="383">
        <v>17.600000000000001</v>
      </c>
      <c r="K251" s="380"/>
    </row>
    <row r="252" spans="1:11" ht="11.1" customHeight="1" x14ac:dyDescent="0.3">
      <c r="A252" s="380"/>
      <c r="B252" s="380"/>
      <c r="C252" s="380"/>
      <c r="D252" s="380"/>
      <c r="E252" s="380"/>
      <c r="F252" s="380"/>
      <c r="G252" s="381"/>
      <c r="H252" s="388"/>
      <c r="I252" s="388"/>
      <c r="J252" s="389"/>
      <c r="K252" s="380"/>
    </row>
    <row r="253" spans="1:11" ht="11.1" customHeight="1" x14ac:dyDescent="0.3">
      <c r="A253" s="380"/>
      <c r="B253" s="380" t="s">
        <v>326</v>
      </c>
      <c r="C253" s="380" t="s">
        <v>327</v>
      </c>
      <c r="D253" s="380"/>
      <c r="E253" s="380"/>
      <c r="F253" s="380"/>
      <c r="G253" s="381" t="s">
        <v>1038</v>
      </c>
      <c r="H253" s="382">
        <v>113</v>
      </c>
      <c r="I253" s="382" t="s">
        <v>1006</v>
      </c>
      <c r="J253" s="383">
        <v>8.1</v>
      </c>
      <c r="K253" s="380"/>
    </row>
    <row r="254" spans="1:11" ht="11.1" customHeight="1" x14ac:dyDescent="0.3">
      <c r="A254" s="380"/>
      <c r="B254" s="380"/>
      <c r="C254" s="380" t="s">
        <v>328</v>
      </c>
      <c r="D254" s="380" t="s">
        <v>329</v>
      </c>
      <c r="E254" s="380"/>
      <c r="F254" s="380"/>
      <c r="G254" s="381" t="s">
        <v>1087</v>
      </c>
      <c r="H254" s="382">
        <v>100</v>
      </c>
      <c r="I254" s="382" t="s">
        <v>1150</v>
      </c>
      <c r="J254" s="383">
        <v>8.1</v>
      </c>
      <c r="K254" s="380"/>
    </row>
    <row r="255" spans="1:11" ht="11.1" customHeight="1" x14ac:dyDescent="0.3">
      <c r="A255" s="380"/>
      <c r="B255" s="380"/>
      <c r="C255" s="380" t="s">
        <v>330</v>
      </c>
      <c r="D255" s="380" t="s">
        <v>331</v>
      </c>
      <c r="E255" s="380"/>
      <c r="F255" s="380"/>
      <c r="G255" s="381" t="s">
        <v>979</v>
      </c>
      <c r="H255" s="382">
        <v>13</v>
      </c>
      <c r="I255" s="382" t="s">
        <v>1010</v>
      </c>
      <c r="J255" s="383">
        <v>31.1</v>
      </c>
      <c r="K255" s="380"/>
    </row>
    <row r="256" spans="1:11" ht="11.1" customHeight="1" x14ac:dyDescent="0.3">
      <c r="A256" s="380"/>
      <c r="B256" s="380"/>
      <c r="C256" s="380"/>
      <c r="D256" s="380"/>
      <c r="E256" s="380"/>
      <c r="F256" s="380"/>
      <c r="G256" s="381"/>
      <c r="H256" s="388"/>
      <c r="I256" s="388"/>
      <c r="J256" s="389"/>
      <c r="K256" s="380"/>
    </row>
    <row r="257" spans="1:11" ht="11.1" customHeight="1" x14ac:dyDescent="0.3">
      <c r="A257" s="380">
        <v>5.2</v>
      </c>
      <c r="B257" s="380" t="s">
        <v>332</v>
      </c>
      <c r="C257" s="380"/>
      <c r="D257" s="380"/>
      <c r="E257" s="380"/>
      <c r="F257" s="380"/>
      <c r="G257" s="381" t="s">
        <v>1057</v>
      </c>
      <c r="H257" s="382">
        <v>61</v>
      </c>
      <c r="I257" s="382" t="s">
        <v>1151</v>
      </c>
      <c r="J257" s="383">
        <v>6.1</v>
      </c>
      <c r="K257" s="380"/>
    </row>
    <row r="258" spans="1:11" ht="11.1" customHeight="1" x14ac:dyDescent="0.3">
      <c r="A258" s="380"/>
      <c r="B258" s="380" t="s">
        <v>333</v>
      </c>
      <c r="C258" s="380" t="s">
        <v>334</v>
      </c>
      <c r="D258" s="380"/>
      <c r="E258" s="380"/>
      <c r="F258" s="380"/>
      <c r="G258" s="381" t="s">
        <v>999</v>
      </c>
      <c r="H258" s="382">
        <v>26</v>
      </c>
      <c r="I258" s="382" t="s">
        <v>1095</v>
      </c>
      <c r="J258" s="383">
        <v>6.3</v>
      </c>
      <c r="K258" s="380"/>
    </row>
    <row r="259" spans="1:11" ht="11.1" customHeight="1" x14ac:dyDescent="0.3">
      <c r="A259" s="380"/>
      <c r="B259" s="380" t="s">
        <v>335</v>
      </c>
      <c r="C259" s="380" t="s">
        <v>336</v>
      </c>
      <c r="D259" s="380"/>
      <c r="E259" s="380"/>
      <c r="F259" s="380"/>
      <c r="G259" s="381" t="s">
        <v>1074</v>
      </c>
      <c r="H259" s="382">
        <v>35</v>
      </c>
      <c r="I259" s="382" t="s">
        <v>1151</v>
      </c>
      <c r="J259" s="383">
        <v>9</v>
      </c>
      <c r="K259" s="380"/>
    </row>
    <row r="260" spans="1:11" ht="11.1" customHeight="1" x14ac:dyDescent="0.3">
      <c r="A260" s="384"/>
      <c r="B260" s="384"/>
      <c r="C260" s="384"/>
      <c r="D260" s="384"/>
      <c r="E260" s="384"/>
      <c r="F260" s="384"/>
      <c r="G260" s="385"/>
      <c r="H260" s="386"/>
      <c r="I260" s="386"/>
      <c r="J260" s="387"/>
      <c r="K260" s="380"/>
    </row>
    <row r="261" spans="1:11" ht="11.1" customHeight="1" x14ac:dyDescent="0.3">
      <c r="A261" s="380"/>
      <c r="B261" s="380"/>
      <c r="C261" s="380"/>
      <c r="D261" s="380"/>
      <c r="E261" s="380"/>
      <c r="F261" s="380"/>
      <c r="G261" s="381"/>
      <c r="H261" s="388"/>
      <c r="I261" s="388"/>
      <c r="J261" s="389"/>
      <c r="K261" s="380"/>
    </row>
    <row r="262" spans="1:11" ht="11.1" customHeight="1" x14ac:dyDescent="0.3">
      <c r="A262" s="157" t="s">
        <v>111</v>
      </c>
      <c r="B262" s="380"/>
      <c r="C262" s="380"/>
      <c r="D262" s="380"/>
      <c r="E262" s="380"/>
      <c r="F262" s="380"/>
      <c r="G262" s="381"/>
      <c r="H262" s="388"/>
      <c r="I262" s="388"/>
      <c r="J262" s="389"/>
      <c r="K262" s="380"/>
    </row>
    <row r="263" spans="1:11" ht="11.1" customHeight="1" x14ac:dyDescent="0.3">
      <c r="A263" s="157" t="s">
        <v>182</v>
      </c>
      <c r="B263" s="380"/>
      <c r="C263" s="380"/>
      <c r="D263" s="380"/>
      <c r="E263" s="380"/>
      <c r="F263" s="380"/>
      <c r="G263" s="381"/>
      <c r="H263" s="388"/>
      <c r="I263" s="388"/>
      <c r="J263" s="389"/>
      <c r="K263" s="380"/>
    </row>
    <row r="264" spans="1:11" ht="11.1" customHeight="1" x14ac:dyDescent="0.3">
      <c r="A264" s="157" t="s">
        <v>112</v>
      </c>
      <c r="B264" s="380"/>
      <c r="C264" s="380"/>
      <c r="D264" s="380"/>
      <c r="E264" s="380"/>
      <c r="F264" s="380"/>
      <c r="G264" s="381"/>
      <c r="H264" s="388"/>
      <c r="I264" s="388"/>
      <c r="J264" s="389"/>
      <c r="K264" s="380"/>
    </row>
    <row r="265" spans="1:11" ht="11.1" customHeight="1" x14ac:dyDescent="0.3">
      <c r="A265" s="157" t="s">
        <v>1152</v>
      </c>
      <c r="B265" s="380"/>
      <c r="C265" s="380"/>
      <c r="D265" s="380"/>
      <c r="E265" s="380"/>
      <c r="F265" s="380"/>
      <c r="G265" s="381"/>
      <c r="H265" s="388"/>
      <c r="I265" s="388"/>
      <c r="J265" s="389"/>
      <c r="K265" s="380"/>
    </row>
    <row r="266" spans="1:11" ht="11.1" customHeight="1" x14ac:dyDescent="0.3">
      <c r="A266" s="157" t="s">
        <v>338</v>
      </c>
      <c r="B266" s="380"/>
      <c r="C266" s="380"/>
      <c r="D266" s="380"/>
      <c r="E266" s="380"/>
      <c r="F266" s="380"/>
      <c r="G266" s="381"/>
      <c r="H266" s="388"/>
      <c r="I266" s="388"/>
      <c r="J266" s="389"/>
      <c r="K266" s="380"/>
    </row>
    <row r="271" spans="1:11" ht="13.8" customHeight="1" x14ac:dyDescent="0.3">
      <c r="A271" s="390" t="s">
        <v>114</v>
      </c>
      <c r="B271" s="425"/>
      <c r="C271" s="426"/>
      <c r="D271" s="427"/>
      <c r="E271" s="427"/>
      <c r="F271" s="428"/>
      <c r="G271" s="405"/>
      <c r="H271" s="406"/>
      <c r="I271" s="406"/>
      <c r="J271" s="393"/>
      <c r="K271" s="424"/>
    </row>
    <row r="272" spans="1:11" ht="17.399999999999999" customHeight="1" x14ac:dyDescent="0.3">
      <c r="A272" s="394" t="s">
        <v>183</v>
      </c>
      <c r="B272" s="395"/>
      <c r="C272" s="324"/>
      <c r="D272" s="325"/>
      <c r="E272" s="325"/>
      <c r="F272" s="326"/>
      <c r="G272" s="430"/>
      <c r="H272" s="431"/>
      <c r="I272" s="431"/>
      <c r="J272" s="400"/>
      <c r="K272" s="429"/>
    </row>
    <row r="273" spans="1:11" ht="16.2" customHeight="1" x14ac:dyDescent="0.3">
      <c r="A273" s="401" t="s">
        <v>971</v>
      </c>
      <c r="B273" s="402"/>
      <c r="C273" s="336"/>
      <c r="D273" s="337"/>
      <c r="E273" s="325"/>
      <c r="F273" s="326"/>
      <c r="G273" s="430"/>
      <c r="H273" s="431"/>
      <c r="I273" s="431"/>
      <c r="J273" s="400"/>
      <c r="K273" s="429"/>
    </row>
    <row r="274" spans="1:11" ht="11.1" customHeight="1" x14ac:dyDescent="0.3">
      <c r="A274" s="360"/>
      <c r="B274" s="360"/>
      <c r="C274" s="361"/>
      <c r="D274" s="362"/>
      <c r="E274" s="362"/>
      <c r="F274" s="362"/>
      <c r="G274" s="363"/>
      <c r="H274" s="364"/>
      <c r="I274" s="364"/>
      <c r="J274" s="365"/>
      <c r="K274" s="419"/>
    </row>
    <row r="275" spans="1:11" ht="11.1" customHeight="1" x14ac:dyDescent="0.3">
      <c r="A275" s="346"/>
      <c r="B275" s="346"/>
      <c r="C275" s="347"/>
      <c r="D275" s="348"/>
      <c r="E275" s="348"/>
      <c r="F275" s="348"/>
      <c r="G275" s="405"/>
      <c r="H275" s="406"/>
      <c r="I275" s="406"/>
      <c r="J275" s="407"/>
      <c r="K275" s="419"/>
    </row>
    <row r="276" spans="1:11" ht="11.1" customHeight="1" x14ac:dyDescent="0.3">
      <c r="A276" s="408"/>
      <c r="B276" s="408"/>
      <c r="C276" s="409"/>
      <c r="D276" s="410"/>
      <c r="E276" s="410"/>
      <c r="F276" s="353"/>
      <c r="G276" s="354" t="s">
        <v>116</v>
      </c>
      <c r="H276" s="355" t="s">
        <v>25</v>
      </c>
      <c r="I276" s="355" t="s">
        <v>26</v>
      </c>
      <c r="J276" s="356" t="s">
        <v>117</v>
      </c>
      <c r="K276" s="432"/>
    </row>
    <row r="277" spans="1:11" ht="11.1" customHeight="1" x14ac:dyDescent="0.3">
      <c r="A277" s="408"/>
      <c r="B277" s="408"/>
      <c r="C277" s="411"/>
      <c r="D277" s="410"/>
      <c r="E277" s="410"/>
      <c r="F277" s="353"/>
      <c r="G277" s="358" t="s">
        <v>29</v>
      </c>
      <c r="H277" s="355" t="s">
        <v>27</v>
      </c>
      <c r="I277" s="355" t="s">
        <v>28</v>
      </c>
      <c r="J277" s="356" t="s">
        <v>118</v>
      </c>
      <c r="K277" s="432"/>
    </row>
    <row r="278" spans="1:11" ht="11.1" customHeight="1" x14ac:dyDescent="0.3">
      <c r="A278" s="408"/>
      <c r="B278" s="408"/>
      <c r="C278" s="411"/>
      <c r="D278" s="410"/>
      <c r="E278" s="410"/>
      <c r="F278" s="353"/>
      <c r="G278" s="354" t="s">
        <v>31</v>
      </c>
      <c r="H278" s="355" t="s">
        <v>29</v>
      </c>
      <c r="I278" s="355" t="s">
        <v>30</v>
      </c>
      <c r="J278" s="356" t="s">
        <v>119</v>
      </c>
      <c r="K278" s="432"/>
    </row>
    <row r="279" spans="1:11" ht="11.1" customHeight="1" x14ac:dyDescent="0.3">
      <c r="A279" s="408"/>
      <c r="B279" s="408"/>
      <c r="C279" s="411"/>
      <c r="D279" s="410"/>
      <c r="E279" s="410"/>
      <c r="F279" s="353"/>
      <c r="G279" s="358" t="s">
        <v>32</v>
      </c>
      <c r="H279" s="355" t="s">
        <v>33</v>
      </c>
      <c r="I279" s="355" t="s">
        <v>120</v>
      </c>
      <c r="J279" s="356" t="s">
        <v>121</v>
      </c>
      <c r="K279" s="432"/>
    </row>
    <row r="280" spans="1:11" ht="11.1" customHeight="1" x14ac:dyDescent="0.3">
      <c r="A280" s="360"/>
      <c r="B280" s="360"/>
      <c r="C280" s="361"/>
      <c r="D280" s="362"/>
      <c r="E280" s="362"/>
      <c r="F280" s="362"/>
      <c r="G280" s="363"/>
      <c r="H280" s="364"/>
      <c r="I280" s="364"/>
      <c r="J280" s="365"/>
      <c r="K280" s="419"/>
    </row>
    <row r="281" spans="1:11" ht="11.1" customHeight="1" x14ac:dyDescent="0.3">
      <c r="A281" s="433"/>
      <c r="B281" s="346"/>
      <c r="C281" s="434"/>
      <c r="D281" s="405"/>
      <c r="E281" s="405"/>
      <c r="F281" s="348"/>
      <c r="G281" s="405"/>
      <c r="H281" s="406"/>
      <c r="I281" s="406"/>
      <c r="J281" s="407"/>
      <c r="K281" s="419"/>
    </row>
    <row r="282" spans="1:11" ht="11.1" customHeight="1" x14ac:dyDescent="0.3">
      <c r="A282" s="375" t="s">
        <v>123</v>
      </c>
      <c r="B282" s="412"/>
      <c r="C282" s="413"/>
      <c r="D282" s="414"/>
      <c r="E282" s="414"/>
      <c r="F282" s="415" t="s">
        <v>973</v>
      </c>
      <c r="G282" s="416"/>
      <c r="H282" s="417"/>
      <c r="I282" s="417"/>
      <c r="J282" s="418"/>
      <c r="K282" s="419"/>
    </row>
    <row r="283" spans="1:11" ht="11.1" customHeight="1" x14ac:dyDescent="0.3">
      <c r="A283" s="380"/>
      <c r="B283" s="380"/>
      <c r="C283" s="380"/>
      <c r="D283" s="380"/>
      <c r="E283" s="380"/>
      <c r="F283" s="380"/>
      <c r="G283" s="381"/>
      <c r="H283" s="388"/>
      <c r="I283" s="388"/>
      <c r="J283" s="389"/>
      <c r="K283" s="380"/>
    </row>
    <row r="284" spans="1:11" ht="11.1" customHeight="1" x14ac:dyDescent="0.3">
      <c r="A284" s="376">
        <v>5</v>
      </c>
      <c r="B284" s="376" t="s">
        <v>339</v>
      </c>
      <c r="C284" s="376"/>
      <c r="D284" s="376"/>
      <c r="E284" s="376"/>
      <c r="F284" s="376"/>
      <c r="G284" s="377"/>
      <c r="H284" s="388"/>
      <c r="I284" s="388"/>
      <c r="J284" s="389"/>
      <c r="K284" s="380"/>
    </row>
    <row r="285" spans="1:11" ht="11.1" customHeight="1" x14ac:dyDescent="0.3">
      <c r="A285" s="380"/>
      <c r="B285" s="380"/>
      <c r="C285" s="380"/>
      <c r="D285" s="380"/>
      <c r="E285" s="380"/>
      <c r="F285" s="380"/>
      <c r="G285" s="381"/>
      <c r="H285" s="388"/>
      <c r="I285" s="388"/>
      <c r="J285" s="389"/>
      <c r="K285" s="380"/>
    </row>
    <row r="286" spans="1:11" ht="11.1" customHeight="1" x14ac:dyDescent="0.3">
      <c r="A286" s="380">
        <v>5.3</v>
      </c>
      <c r="B286" s="380" t="s">
        <v>340</v>
      </c>
      <c r="C286" s="380"/>
      <c r="D286" s="380"/>
      <c r="E286" s="380"/>
      <c r="F286" s="380"/>
      <c r="G286" s="381" t="s">
        <v>1069</v>
      </c>
      <c r="H286" s="382">
        <v>96</v>
      </c>
      <c r="I286" s="382" t="s">
        <v>1092</v>
      </c>
      <c r="J286" s="383">
        <v>11.8</v>
      </c>
      <c r="K286" s="380"/>
    </row>
    <row r="287" spans="1:11" ht="11.1" customHeight="1" x14ac:dyDescent="0.3">
      <c r="A287" s="380"/>
      <c r="B287" s="380" t="s">
        <v>341</v>
      </c>
      <c r="C287" s="380" t="s">
        <v>342</v>
      </c>
      <c r="D287" s="380"/>
      <c r="E287" s="380"/>
      <c r="F287" s="380"/>
      <c r="G287" s="381" t="s">
        <v>230</v>
      </c>
      <c r="H287" s="382" t="s">
        <v>230</v>
      </c>
      <c r="I287" s="382" t="s">
        <v>230</v>
      </c>
      <c r="J287" s="383" t="s">
        <v>230</v>
      </c>
      <c r="K287" s="380"/>
    </row>
    <row r="288" spans="1:11" ht="11.1" customHeight="1" x14ac:dyDescent="0.3">
      <c r="A288" s="380"/>
      <c r="B288" s="380" t="s">
        <v>343</v>
      </c>
      <c r="C288" s="380" t="s">
        <v>344</v>
      </c>
      <c r="D288" s="380"/>
      <c r="E288" s="380"/>
      <c r="F288" s="380"/>
      <c r="G288" s="381" t="s">
        <v>1153</v>
      </c>
      <c r="H288" s="382" t="s">
        <v>1154</v>
      </c>
      <c r="I288" s="382" t="s">
        <v>1010</v>
      </c>
      <c r="J288" s="383">
        <v>7.8</v>
      </c>
      <c r="K288" s="380"/>
    </row>
    <row r="289" spans="1:11" ht="11.1" customHeight="1" x14ac:dyDescent="0.3">
      <c r="A289" s="380"/>
      <c r="B289" s="380" t="s">
        <v>345</v>
      </c>
      <c r="C289" s="380" t="s">
        <v>346</v>
      </c>
      <c r="D289" s="380"/>
      <c r="E289" s="380"/>
      <c r="F289" s="380"/>
      <c r="G289" s="381" t="s">
        <v>1022</v>
      </c>
      <c r="H289" s="382">
        <v>6</v>
      </c>
      <c r="I289" s="382" t="s">
        <v>1136</v>
      </c>
      <c r="J289" s="383">
        <v>55.1</v>
      </c>
      <c r="K289" s="380"/>
    </row>
    <row r="290" spans="1:11" ht="11.1" customHeight="1" x14ac:dyDescent="0.3">
      <c r="A290" s="380"/>
      <c r="B290" s="380" t="s">
        <v>347</v>
      </c>
      <c r="C290" s="380" t="s">
        <v>348</v>
      </c>
      <c r="D290" s="380"/>
      <c r="E290" s="380"/>
      <c r="F290" s="380"/>
      <c r="G290" s="381" t="s">
        <v>979</v>
      </c>
      <c r="H290" s="382">
        <v>13</v>
      </c>
      <c r="I290" s="382" t="s">
        <v>1136</v>
      </c>
      <c r="J290" s="383">
        <v>21.2</v>
      </c>
      <c r="K290" s="380"/>
    </row>
    <row r="291" spans="1:11" ht="11.1" customHeight="1" x14ac:dyDescent="0.3">
      <c r="A291" s="380"/>
      <c r="B291" s="380" t="s">
        <v>349</v>
      </c>
      <c r="C291" s="380" t="s">
        <v>350</v>
      </c>
      <c r="D291" s="380"/>
      <c r="E291" s="380"/>
      <c r="F291" s="380"/>
      <c r="G291" s="381"/>
      <c r="H291" s="388"/>
      <c r="I291" s="388"/>
      <c r="J291" s="389"/>
      <c r="K291" s="380"/>
    </row>
    <row r="292" spans="1:11" ht="11.1" customHeight="1" x14ac:dyDescent="0.3">
      <c r="A292" s="380"/>
      <c r="B292" s="380"/>
      <c r="C292" s="380" t="s">
        <v>351</v>
      </c>
      <c r="D292" s="380"/>
      <c r="E292" s="380"/>
      <c r="F292" s="380"/>
      <c r="G292" s="381" t="s">
        <v>999</v>
      </c>
      <c r="H292" s="382">
        <v>27</v>
      </c>
      <c r="I292" s="382" t="s">
        <v>1109</v>
      </c>
      <c r="J292" s="383">
        <v>37.5</v>
      </c>
      <c r="K292" s="380"/>
    </row>
    <row r="293" spans="1:11" ht="11.1" customHeight="1" x14ac:dyDescent="0.3">
      <c r="A293" s="380"/>
      <c r="B293" s="380" t="s">
        <v>352</v>
      </c>
      <c r="C293" s="380" t="s">
        <v>353</v>
      </c>
      <c r="D293" s="380"/>
      <c r="E293" s="380"/>
      <c r="F293" s="380"/>
      <c r="G293" s="381" t="s">
        <v>1155</v>
      </c>
      <c r="H293" s="382" t="s">
        <v>1156</v>
      </c>
      <c r="I293" s="382" t="s">
        <v>230</v>
      </c>
      <c r="J293" s="383" t="s">
        <v>230</v>
      </c>
      <c r="K293" s="380"/>
    </row>
    <row r="294" spans="1:11" ht="11.1" customHeight="1" x14ac:dyDescent="0.3">
      <c r="A294" s="380"/>
      <c r="B294" s="380" t="s">
        <v>354</v>
      </c>
      <c r="C294" s="380" t="s">
        <v>355</v>
      </c>
      <c r="D294" s="380"/>
      <c r="E294" s="380"/>
      <c r="F294" s="380"/>
      <c r="G294" s="381" t="s">
        <v>985</v>
      </c>
      <c r="H294" s="382">
        <v>18</v>
      </c>
      <c r="I294" s="382" t="s">
        <v>1157</v>
      </c>
      <c r="J294" s="383">
        <v>13.8</v>
      </c>
      <c r="K294" s="380"/>
    </row>
    <row r="295" spans="1:11" ht="11.1" customHeight="1" x14ac:dyDescent="0.3">
      <c r="A295" s="380"/>
      <c r="B295" s="380" t="s">
        <v>356</v>
      </c>
      <c r="C295" s="380" t="s">
        <v>357</v>
      </c>
      <c r="D295" s="380"/>
      <c r="E295" s="380"/>
      <c r="F295" s="380"/>
      <c r="G295" s="381" t="s">
        <v>979</v>
      </c>
      <c r="H295" s="382">
        <v>14</v>
      </c>
      <c r="I295" s="382" t="s">
        <v>1115</v>
      </c>
      <c r="J295" s="383">
        <v>17.100000000000001</v>
      </c>
      <c r="K295" s="380"/>
    </row>
    <row r="296" spans="1:11" ht="11.1" customHeight="1" x14ac:dyDescent="0.3">
      <c r="A296" s="380"/>
      <c r="B296" s="380" t="s">
        <v>358</v>
      </c>
      <c r="C296" s="380" t="s">
        <v>359</v>
      </c>
      <c r="D296" s="380"/>
      <c r="E296" s="380"/>
      <c r="F296" s="380"/>
      <c r="G296" s="381" t="s">
        <v>230</v>
      </c>
      <c r="H296" s="382" t="s">
        <v>230</v>
      </c>
      <c r="I296" s="382" t="s">
        <v>230</v>
      </c>
      <c r="J296" s="383" t="s">
        <v>230</v>
      </c>
      <c r="K296" s="380"/>
    </row>
    <row r="297" spans="1:11" ht="11.1" customHeight="1" x14ac:dyDescent="0.3">
      <c r="A297" s="380"/>
      <c r="B297" s="380"/>
      <c r="C297" s="380"/>
      <c r="D297" s="380"/>
      <c r="E297" s="380"/>
      <c r="F297" s="380"/>
      <c r="G297" s="381"/>
      <c r="H297" s="388"/>
      <c r="I297" s="388"/>
      <c r="J297" s="389"/>
      <c r="K297" s="380"/>
    </row>
    <row r="298" spans="1:11" ht="11.1" customHeight="1" x14ac:dyDescent="0.3">
      <c r="A298" s="380">
        <v>5.4</v>
      </c>
      <c r="B298" s="380" t="s">
        <v>360</v>
      </c>
      <c r="C298" s="380"/>
      <c r="D298" s="380"/>
      <c r="E298" s="380"/>
      <c r="F298" s="380"/>
      <c r="G298" s="381" t="s">
        <v>1083</v>
      </c>
      <c r="H298" s="382">
        <v>61</v>
      </c>
      <c r="I298" s="382" t="s">
        <v>980</v>
      </c>
      <c r="J298" s="383">
        <v>3.4</v>
      </c>
      <c r="K298" s="380"/>
    </row>
    <row r="299" spans="1:11" ht="11.1" customHeight="1" x14ac:dyDescent="0.3">
      <c r="A299" s="380"/>
      <c r="B299" s="380" t="s">
        <v>361</v>
      </c>
      <c r="C299" s="380" t="s">
        <v>362</v>
      </c>
      <c r="D299" s="380"/>
      <c r="E299" s="380"/>
      <c r="F299" s="380"/>
      <c r="G299" s="381" t="s">
        <v>985</v>
      </c>
      <c r="H299" s="382">
        <v>18</v>
      </c>
      <c r="I299" s="382" t="s">
        <v>1158</v>
      </c>
      <c r="J299" s="383">
        <v>5.4</v>
      </c>
      <c r="K299" s="380"/>
    </row>
    <row r="300" spans="1:11" ht="11.1" customHeight="1" x14ac:dyDescent="0.3">
      <c r="A300" s="380"/>
      <c r="B300" s="380" t="s">
        <v>363</v>
      </c>
      <c r="C300" s="380" t="s">
        <v>364</v>
      </c>
      <c r="D300" s="380"/>
      <c r="E300" s="380"/>
      <c r="F300" s="380"/>
      <c r="G300" s="381" t="s">
        <v>999</v>
      </c>
      <c r="H300" s="382">
        <v>26</v>
      </c>
      <c r="I300" s="382" t="s">
        <v>1159</v>
      </c>
      <c r="J300" s="383">
        <v>4.8</v>
      </c>
      <c r="K300" s="380"/>
    </row>
    <row r="301" spans="1:11" ht="11.1" customHeight="1" x14ac:dyDescent="0.3">
      <c r="A301" s="380"/>
      <c r="B301" s="380" t="s">
        <v>365</v>
      </c>
      <c r="C301" s="380" t="s">
        <v>366</v>
      </c>
      <c r="D301" s="380"/>
      <c r="E301" s="380"/>
      <c r="F301" s="380"/>
      <c r="G301" s="381" t="s">
        <v>230</v>
      </c>
      <c r="H301" s="382" t="s">
        <v>230</v>
      </c>
      <c r="I301" s="382" t="s">
        <v>230</v>
      </c>
      <c r="J301" s="383" t="s">
        <v>230</v>
      </c>
      <c r="K301" s="380"/>
    </row>
    <row r="302" spans="1:11" ht="11.1" customHeight="1" x14ac:dyDescent="0.3">
      <c r="A302" s="380"/>
      <c r="B302" s="380" t="s">
        <v>368</v>
      </c>
      <c r="C302" s="380" t="s">
        <v>369</v>
      </c>
      <c r="D302" s="380"/>
      <c r="E302" s="380"/>
      <c r="F302" s="380"/>
      <c r="G302" s="381" t="s">
        <v>985</v>
      </c>
      <c r="H302" s="382">
        <v>16</v>
      </c>
      <c r="I302" s="382" t="s">
        <v>1160</v>
      </c>
      <c r="J302" s="383">
        <v>6.6</v>
      </c>
      <c r="K302" s="380"/>
    </row>
    <row r="303" spans="1:11" ht="11.1" customHeight="1" x14ac:dyDescent="0.3">
      <c r="A303" s="380"/>
      <c r="B303" s="380"/>
      <c r="C303" s="380"/>
      <c r="D303" s="380"/>
      <c r="E303" s="380"/>
      <c r="F303" s="380"/>
      <c r="G303" s="381"/>
      <c r="H303" s="388"/>
      <c r="I303" s="388"/>
      <c r="J303" s="389"/>
      <c r="K303" s="380"/>
    </row>
    <row r="304" spans="1:11" ht="11.1" customHeight="1" x14ac:dyDescent="0.3">
      <c r="A304" s="380">
        <v>5.5</v>
      </c>
      <c r="B304" s="380" t="s">
        <v>370</v>
      </c>
      <c r="C304" s="380"/>
      <c r="D304" s="380"/>
      <c r="E304" s="380"/>
      <c r="F304" s="380"/>
      <c r="G304" s="381" t="s">
        <v>1161</v>
      </c>
      <c r="H304" s="382">
        <v>87</v>
      </c>
      <c r="I304" s="382" t="s">
        <v>1126</v>
      </c>
      <c r="J304" s="383">
        <v>5.2</v>
      </c>
      <c r="K304" s="380"/>
    </row>
    <row r="305" spans="1:11" ht="11.1" customHeight="1" x14ac:dyDescent="0.3">
      <c r="A305" s="380"/>
      <c r="B305" s="380" t="s">
        <v>371</v>
      </c>
      <c r="C305" s="380" t="s">
        <v>372</v>
      </c>
      <c r="D305" s="380"/>
      <c r="E305" s="380"/>
      <c r="F305" s="380"/>
      <c r="G305" s="381" t="s">
        <v>1022</v>
      </c>
      <c r="H305" s="382">
        <v>7</v>
      </c>
      <c r="I305" s="382" t="s">
        <v>1115</v>
      </c>
      <c r="J305" s="383">
        <v>27.9</v>
      </c>
      <c r="K305" s="380"/>
    </row>
    <row r="306" spans="1:11" ht="11.1" customHeight="1" x14ac:dyDescent="0.3">
      <c r="A306" s="380"/>
      <c r="B306" s="380" t="s">
        <v>373</v>
      </c>
      <c r="C306" s="380" t="s">
        <v>374</v>
      </c>
      <c r="D306" s="380"/>
      <c r="E306" s="380"/>
      <c r="F306" s="380"/>
      <c r="G306" s="381" t="s">
        <v>985</v>
      </c>
      <c r="H306" s="382">
        <v>17</v>
      </c>
      <c r="I306" s="382" t="s">
        <v>1023</v>
      </c>
      <c r="J306" s="383">
        <v>9.5</v>
      </c>
      <c r="K306" s="380"/>
    </row>
    <row r="307" spans="1:11" ht="11.1" customHeight="1" x14ac:dyDescent="0.3">
      <c r="A307" s="380"/>
      <c r="B307" s="380" t="s">
        <v>375</v>
      </c>
      <c r="C307" s="380" t="s">
        <v>376</v>
      </c>
      <c r="D307" s="380"/>
      <c r="E307" s="380"/>
      <c r="F307" s="380"/>
      <c r="G307" s="381" t="s">
        <v>1052</v>
      </c>
      <c r="H307" s="382">
        <v>11</v>
      </c>
      <c r="I307" s="382" t="s">
        <v>1096</v>
      </c>
      <c r="J307" s="383">
        <v>12.9</v>
      </c>
      <c r="K307" s="380"/>
    </row>
    <row r="308" spans="1:11" ht="11.1" customHeight="1" x14ac:dyDescent="0.3">
      <c r="A308" s="380"/>
      <c r="B308" s="380" t="s">
        <v>377</v>
      </c>
      <c r="C308" s="380" t="s">
        <v>378</v>
      </c>
      <c r="D308" s="380"/>
      <c r="E308" s="380"/>
      <c r="F308" s="380"/>
      <c r="G308" s="381" t="s">
        <v>992</v>
      </c>
      <c r="H308" s="382">
        <v>31</v>
      </c>
      <c r="I308" s="382" t="s">
        <v>1132</v>
      </c>
      <c r="J308" s="383">
        <v>7.9</v>
      </c>
      <c r="K308" s="380"/>
    </row>
    <row r="309" spans="1:11" ht="11.1" customHeight="1" x14ac:dyDescent="0.3">
      <c r="A309" s="380"/>
      <c r="B309" s="380" t="s">
        <v>379</v>
      </c>
      <c r="C309" s="380" t="s">
        <v>380</v>
      </c>
      <c r="D309" s="380"/>
      <c r="E309" s="380"/>
      <c r="F309" s="380"/>
      <c r="G309" s="381" t="s">
        <v>1105</v>
      </c>
      <c r="H309" s="382">
        <v>22</v>
      </c>
      <c r="I309" s="382" t="s">
        <v>1104</v>
      </c>
      <c r="J309" s="383">
        <v>8.8000000000000007</v>
      </c>
      <c r="K309" s="380"/>
    </row>
    <row r="310" spans="1:11" ht="11.1" customHeight="1" x14ac:dyDescent="0.3">
      <c r="A310" s="380"/>
      <c r="B310" s="380"/>
      <c r="C310" s="380"/>
      <c r="D310" s="380"/>
      <c r="E310" s="380"/>
      <c r="F310" s="380"/>
      <c r="G310" s="381"/>
      <c r="H310" s="388"/>
      <c r="I310" s="388"/>
      <c r="J310" s="389"/>
      <c r="K310" s="380"/>
    </row>
    <row r="311" spans="1:11" ht="11.1" customHeight="1" x14ac:dyDescent="0.3">
      <c r="A311" s="380">
        <v>5.6</v>
      </c>
      <c r="B311" s="380" t="s">
        <v>381</v>
      </c>
      <c r="C311" s="380"/>
      <c r="D311" s="380"/>
      <c r="E311" s="380"/>
      <c r="F311" s="380"/>
      <c r="G311" s="381" t="s">
        <v>1162</v>
      </c>
      <c r="H311" s="382">
        <v>192</v>
      </c>
      <c r="I311" s="382" t="s">
        <v>1163</v>
      </c>
      <c r="J311" s="383">
        <v>4.5</v>
      </c>
      <c r="K311" s="380"/>
    </row>
    <row r="312" spans="1:11" ht="11.1" customHeight="1" x14ac:dyDescent="0.3">
      <c r="A312" s="380"/>
      <c r="B312" s="380" t="s">
        <v>382</v>
      </c>
      <c r="C312" s="380" t="s">
        <v>383</v>
      </c>
      <c r="D312" s="380"/>
      <c r="E312" s="380"/>
      <c r="F312" s="380"/>
      <c r="G312" s="381" t="s">
        <v>981</v>
      </c>
      <c r="H312" s="382">
        <v>82</v>
      </c>
      <c r="I312" s="382" t="s">
        <v>1164</v>
      </c>
      <c r="J312" s="383">
        <v>3.5</v>
      </c>
      <c r="K312" s="380"/>
    </row>
    <row r="313" spans="1:11" ht="11.1" customHeight="1" x14ac:dyDescent="0.3">
      <c r="A313" s="380"/>
      <c r="B313" s="380"/>
      <c r="C313" s="380" t="s">
        <v>384</v>
      </c>
      <c r="D313" s="380" t="s">
        <v>385</v>
      </c>
      <c r="E313" s="380"/>
      <c r="F313" s="380"/>
      <c r="G313" s="381" t="s">
        <v>1074</v>
      </c>
      <c r="H313" s="382">
        <v>33</v>
      </c>
      <c r="I313" s="382" t="s">
        <v>1165</v>
      </c>
      <c r="J313" s="383">
        <v>2.2000000000000002</v>
      </c>
      <c r="K313" s="380"/>
    </row>
    <row r="314" spans="1:11" ht="11.1" customHeight="1" x14ac:dyDescent="0.3">
      <c r="A314" s="380"/>
      <c r="B314" s="380"/>
      <c r="C314" s="380" t="s">
        <v>386</v>
      </c>
      <c r="D314" s="380" t="s">
        <v>387</v>
      </c>
      <c r="E314" s="380"/>
      <c r="F314" s="380"/>
      <c r="G314" s="381" t="s">
        <v>1044</v>
      </c>
      <c r="H314" s="382">
        <v>49</v>
      </c>
      <c r="I314" s="382" t="s">
        <v>1077</v>
      </c>
      <c r="J314" s="383">
        <v>5.5</v>
      </c>
      <c r="K314" s="380"/>
    </row>
    <row r="315" spans="1:11" ht="11.1" customHeight="1" x14ac:dyDescent="0.3">
      <c r="A315" s="380"/>
      <c r="B315" s="380"/>
      <c r="C315" s="380"/>
      <c r="D315" s="380"/>
      <c r="E315" s="380"/>
      <c r="F315" s="380"/>
      <c r="G315" s="381"/>
      <c r="H315" s="388"/>
      <c r="I315" s="388"/>
      <c r="J315" s="389"/>
      <c r="K315" s="380"/>
    </row>
    <row r="316" spans="1:11" ht="11.1" customHeight="1" x14ac:dyDescent="0.3">
      <c r="A316" s="380"/>
      <c r="B316" s="380" t="s">
        <v>388</v>
      </c>
      <c r="C316" s="380" t="s">
        <v>389</v>
      </c>
      <c r="D316" s="380"/>
      <c r="E316" s="380"/>
      <c r="F316" s="380"/>
      <c r="G316" s="381" t="s">
        <v>994</v>
      </c>
      <c r="H316" s="382">
        <v>56</v>
      </c>
      <c r="I316" s="382" t="s">
        <v>1166</v>
      </c>
      <c r="J316" s="383">
        <v>3.5</v>
      </c>
      <c r="K316" s="380"/>
    </row>
    <row r="317" spans="1:11" ht="11.1" customHeight="1" x14ac:dyDescent="0.3">
      <c r="A317" s="380"/>
      <c r="B317" s="380"/>
      <c r="C317" s="380" t="s">
        <v>390</v>
      </c>
      <c r="D317" s="380" t="s">
        <v>391</v>
      </c>
      <c r="E317" s="380"/>
      <c r="F317" s="380"/>
      <c r="G317" s="381" t="s">
        <v>1074</v>
      </c>
      <c r="H317" s="382">
        <v>34</v>
      </c>
      <c r="I317" s="382" t="s">
        <v>1167</v>
      </c>
      <c r="J317" s="383">
        <v>4.8</v>
      </c>
      <c r="K317" s="380"/>
    </row>
    <row r="318" spans="1:11" ht="11.1" customHeight="1" x14ac:dyDescent="0.3">
      <c r="A318" s="380"/>
      <c r="B318" s="380"/>
      <c r="C318" s="380" t="s">
        <v>392</v>
      </c>
      <c r="D318" s="380" t="s">
        <v>393</v>
      </c>
      <c r="E318" s="380"/>
      <c r="F318" s="380"/>
      <c r="G318" s="381" t="s">
        <v>1064</v>
      </c>
      <c r="H318" s="382">
        <v>10</v>
      </c>
      <c r="I318" s="382" t="s">
        <v>1168</v>
      </c>
      <c r="J318" s="383">
        <v>6.4</v>
      </c>
      <c r="K318" s="380"/>
    </row>
    <row r="319" spans="1:11" ht="11.1" customHeight="1" x14ac:dyDescent="0.3">
      <c r="A319" s="380"/>
      <c r="B319" s="380"/>
      <c r="C319" s="380" t="s">
        <v>394</v>
      </c>
      <c r="D319" s="380" t="s">
        <v>395</v>
      </c>
      <c r="E319" s="380"/>
      <c r="F319" s="380"/>
      <c r="G319" s="381" t="s">
        <v>1022</v>
      </c>
      <c r="H319" s="382">
        <v>5</v>
      </c>
      <c r="I319" s="382" t="s">
        <v>1104</v>
      </c>
      <c r="J319" s="383">
        <v>4.8</v>
      </c>
      <c r="K319" s="380"/>
    </row>
    <row r="320" spans="1:11" ht="11.1" customHeight="1" x14ac:dyDescent="0.3">
      <c r="A320" s="380"/>
      <c r="B320" s="380"/>
      <c r="C320" s="380" t="s">
        <v>396</v>
      </c>
      <c r="D320" s="380" t="s">
        <v>397</v>
      </c>
      <c r="E320" s="380"/>
      <c r="F320" s="380"/>
      <c r="G320" s="381" t="s">
        <v>1064</v>
      </c>
      <c r="H320" s="382">
        <v>7</v>
      </c>
      <c r="I320" s="382" t="s">
        <v>1089</v>
      </c>
      <c r="J320" s="383">
        <v>10.199999999999999</v>
      </c>
      <c r="K320" s="380"/>
    </row>
    <row r="321" spans="1:11" ht="11.1" customHeight="1" x14ac:dyDescent="0.3">
      <c r="A321" s="380"/>
      <c r="B321" s="380"/>
      <c r="C321" s="380"/>
      <c r="D321" s="380"/>
      <c r="E321" s="380"/>
      <c r="F321" s="380"/>
      <c r="G321" s="381"/>
      <c r="H321" s="388"/>
      <c r="I321" s="388"/>
      <c r="J321" s="389"/>
      <c r="K321" s="380"/>
    </row>
    <row r="322" spans="1:11" ht="11.1" customHeight="1" x14ac:dyDescent="0.3">
      <c r="A322" s="380"/>
      <c r="B322" s="380" t="s">
        <v>398</v>
      </c>
      <c r="C322" s="380" t="s">
        <v>399</v>
      </c>
      <c r="D322" s="380"/>
      <c r="E322" s="380"/>
      <c r="F322" s="380"/>
      <c r="G322" s="381" t="s">
        <v>990</v>
      </c>
      <c r="H322" s="382">
        <v>54</v>
      </c>
      <c r="I322" s="382" t="s">
        <v>1169</v>
      </c>
      <c r="J322" s="383">
        <v>14.3</v>
      </c>
      <c r="K322" s="380"/>
    </row>
    <row r="323" spans="1:11" ht="11.1" customHeight="1" x14ac:dyDescent="0.3">
      <c r="A323" s="380"/>
      <c r="B323" s="380"/>
      <c r="C323" s="380" t="s">
        <v>400</v>
      </c>
      <c r="D323" s="380" t="s">
        <v>401</v>
      </c>
      <c r="E323" s="380"/>
      <c r="F323" s="380"/>
      <c r="G323" s="381" t="s">
        <v>1020</v>
      </c>
      <c r="H323" s="382">
        <v>43</v>
      </c>
      <c r="I323" s="382" t="s">
        <v>1056</v>
      </c>
      <c r="J323" s="383">
        <v>12.9</v>
      </c>
      <c r="K323" s="380"/>
    </row>
    <row r="324" spans="1:11" ht="11.1" customHeight="1" x14ac:dyDescent="0.3">
      <c r="A324" s="380"/>
      <c r="B324" s="380"/>
      <c r="C324" s="380" t="s">
        <v>402</v>
      </c>
      <c r="D324" s="380" t="s">
        <v>403</v>
      </c>
      <c r="E324" s="380"/>
      <c r="F324" s="380"/>
      <c r="G324" s="381" t="s">
        <v>1064</v>
      </c>
      <c r="H324" s="382">
        <v>10</v>
      </c>
      <c r="I324" s="382" t="s">
        <v>1106</v>
      </c>
      <c r="J324" s="383">
        <v>14.8</v>
      </c>
      <c r="K324" s="380"/>
    </row>
    <row r="325" spans="1:11" ht="11.1" customHeight="1" x14ac:dyDescent="0.3">
      <c r="A325" s="380"/>
      <c r="B325" s="380"/>
      <c r="C325" s="380" t="s">
        <v>404</v>
      </c>
      <c r="D325" s="380" t="s">
        <v>405</v>
      </c>
      <c r="E325" s="380"/>
      <c r="F325" s="380"/>
      <c r="G325" s="381" t="s">
        <v>230</v>
      </c>
      <c r="H325" s="382" t="s">
        <v>230</v>
      </c>
      <c r="I325" s="382" t="s">
        <v>230</v>
      </c>
      <c r="J325" s="383" t="s">
        <v>230</v>
      </c>
      <c r="K325" s="380"/>
    </row>
    <row r="326" spans="1:11" ht="11.1" customHeight="1" x14ac:dyDescent="0.3">
      <c r="A326" s="380"/>
      <c r="B326" s="380"/>
      <c r="C326" s="380"/>
      <c r="D326" s="380"/>
      <c r="E326" s="380"/>
      <c r="F326" s="380"/>
      <c r="G326" s="381"/>
      <c r="H326" s="388"/>
      <c r="I326" s="388"/>
      <c r="J326" s="389"/>
      <c r="K326" s="380"/>
    </row>
    <row r="327" spans="1:11" ht="11.1" customHeight="1" x14ac:dyDescent="0.3">
      <c r="A327" s="384"/>
      <c r="B327" s="384"/>
      <c r="C327" s="384"/>
      <c r="D327" s="384"/>
      <c r="E327" s="384"/>
      <c r="F327" s="384"/>
      <c r="G327" s="385"/>
      <c r="H327" s="386"/>
      <c r="I327" s="386"/>
      <c r="J327" s="387"/>
      <c r="K327" s="380"/>
    </row>
    <row r="328" spans="1:11" ht="11.1" customHeight="1" x14ac:dyDescent="0.3">
      <c r="A328" s="376">
        <v>6</v>
      </c>
      <c r="B328" s="376" t="s">
        <v>12</v>
      </c>
      <c r="C328" s="376"/>
      <c r="D328" s="376"/>
      <c r="E328" s="376"/>
      <c r="F328" s="376"/>
      <c r="G328" s="377" t="s">
        <v>1001</v>
      </c>
      <c r="H328" s="378">
        <v>216</v>
      </c>
      <c r="I328" s="378" t="s">
        <v>1170</v>
      </c>
      <c r="J328" s="379">
        <v>6.7</v>
      </c>
      <c r="K328" s="376"/>
    </row>
    <row r="329" spans="1:11" ht="11.1" customHeight="1" x14ac:dyDescent="0.3">
      <c r="A329" s="380"/>
      <c r="B329" s="380"/>
      <c r="C329" s="380"/>
      <c r="D329" s="380"/>
      <c r="E329" s="380"/>
      <c r="F329" s="380"/>
      <c r="G329" s="381"/>
      <c r="H329" s="388"/>
      <c r="I329" s="388"/>
      <c r="J329" s="389"/>
      <c r="K329" s="380"/>
    </row>
    <row r="330" spans="1:11" ht="11.1" customHeight="1" x14ac:dyDescent="0.3">
      <c r="A330" s="380">
        <v>6.1</v>
      </c>
      <c r="B330" s="380" t="s">
        <v>406</v>
      </c>
      <c r="C330" s="380"/>
      <c r="D330" s="380"/>
      <c r="E330" s="380"/>
      <c r="F330" s="380"/>
      <c r="G330" s="381" t="s">
        <v>1171</v>
      </c>
      <c r="H330" s="382">
        <v>119</v>
      </c>
      <c r="I330" s="382" t="s">
        <v>1098</v>
      </c>
      <c r="J330" s="383">
        <v>8.6</v>
      </c>
      <c r="K330" s="380"/>
    </row>
    <row r="331" spans="1:11" ht="11.1" customHeight="1" x14ac:dyDescent="0.3">
      <c r="A331" s="380"/>
      <c r="B331" s="380" t="s">
        <v>407</v>
      </c>
      <c r="C331" s="380" t="s">
        <v>408</v>
      </c>
      <c r="D331" s="380"/>
      <c r="E331" s="380"/>
      <c r="F331" s="380"/>
      <c r="G331" s="381" t="s">
        <v>981</v>
      </c>
      <c r="H331" s="382">
        <v>82</v>
      </c>
      <c r="I331" s="382" t="s">
        <v>1172</v>
      </c>
      <c r="J331" s="383">
        <v>9.9</v>
      </c>
      <c r="K331" s="380"/>
    </row>
    <row r="332" spans="1:11" ht="11.1" customHeight="1" x14ac:dyDescent="0.3">
      <c r="A332" s="380"/>
      <c r="B332" s="380"/>
      <c r="C332" s="380" t="s">
        <v>409</v>
      </c>
      <c r="D332" s="380" t="s">
        <v>410</v>
      </c>
      <c r="E332" s="380"/>
      <c r="F332" s="380"/>
      <c r="G332" s="381" t="s">
        <v>1064</v>
      </c>
      <c r="H332" s="382">
        <v>7</v>
      </c>
      <c r="I332" s="382" t="s">
        <v>1107</v>
      </c>
      <c r="J332" s="383">
        <v>7.5</v>
      </c>
      <c r="K332" s="380"/>
    </row>
    <row r="333" spans="1:11" ht="11.1" customHeight="1" x14ac:dyDescent="0.3">
      <c r="A333" s="380"/>
      <c r="B333" s="380"/>
      <c r="C333" s="380" t="s">
        <v>411</v>
      </c>
      <c r="D333" s="380" t="s">
        <v>412</v>
      </c>
      <c r="E333" s="380"/>
      <c r="F333" s="380"/>
      <c r="G333" s="381" t="s">
        <v>1083</v>
      </c>
      <c r="H333" s="382">
        <v>59</v>
      </c>
      <c r="I333" s="382" t="s">
        <v>1173</v>
      </c>
      <c r="J333" s="383">
        <v>3.7</v>
      </c>
      <c r="K333" s="380"/>
    </row>
    <row r="334" spans="1:11" ht="11.1" customHeight="1" x14ac:dyDescent="0.3">
      <c r="A334" s="380"/>
      <c r="B334" s="380"/>
      <c r="C334" s="380" t="s">
        <v>413</v>
      </c>
      <c r="D334" s="380" t="s">
        <v>414</v>
      </c>
      <c r="E334" s="380"/>
      <c r="F334" s="380"/>
      <c r="G334" s="381" t="s">
        <v>1064</v>
      </c>
      <c r="H334" s="382">
        <v>8</v>
      </c>
      <c r="I334" s="382" t="s">
        <v>1006</v>
      </c>
      <c r="J334" s="383">
        <v>11.4</v>
      </c>
      <c r="K334" s="380"/>
    </row>
    <row r="335" spans="1:11" ht="11.1" customHeight="1" x14ac:dyDescent="0.3">
      <c r="A335" s="380"/>
      <c r="B335" s="380"/>
      <c r="C335" s="380" t="s">
        <v>415</v>
      </c>
      <c r="D335" s="380" t="s">
        <v>416</v>
      </c>
      <c r="E335" s="380"/>
      <c r="F335" s="380"/>
      <c r="G335" s="381"/>
      <c r="H335" s="388"/>
      <c r="I335" s="388"/>
      <c r="J335" s="389"/>
      <c r="K335" s="380"/>
    </row>
    <row r="336" spans="1:11" ht="11.1" customHeight="1" x14ac:dyDescent="0.3">
      <c r="A336" s="380"/>
      <c r="B336" s="380"/>
      <c r="C336" s="380"/>
      <c r="D336" s="380" t="s">
        <v>417</v>
      </c>
      <c r="E336" s="380"/>
      <c r="F336" s="380"/>
      <c r="G336" s="381" t="s">
        <v>1064</v>
      </c>
      <c r="H336" s="382">
        <v>8</v>
      </c>
      <c r="I336" s="382" t="s">
        <v>1115</v>
      </c>
      <c r="J336" s="383">
        <v>100.1</v>
      </c>
      <c r="K336" s="380"/>
    </row>
    <row r="337" spans="1:11" ht="11.1" customHeight="1" x14ac:dyDescent="0.3">
      <c r="A337" s="380"/>
      <c r="B337" s="380"/>
      <c r="C337" s="380"/>
      <c r="D337" s="380"/>
      <c r="E337" s="380"/>
      <c r="F337" s="380"/>
      <c r="G337" s="381"/>
      <c r="H337" s="388"/>
      <c r="I337" s="388"/>
      <c r="J337" s="389"/>
      <c r="K337" s="380"/>
    </row>
    <row r="338" spans="1:11" ht="11.1" customHeight="1" x14ac:dyDescent="0.3">
      <c r="A338" s="380"/>
      <c r="B338" s="380" t="s">
        <v>418</v>
      </c>
      <c r="C338" s="380" t="s">
        <v>419</v>
      </c>
      <c r="D338" s="380"/>
      <c r="E338" s="380"/>
      <c r="F338" s="380"/>
      <c r="G338" s="381" t="s">
        <v>1030</v>
      </c>
      <c r="H338" s="382">
        <v>36</v>
      </c>
      <c r="I338" s="382" t="s">
        <v>1174</v>
      </c>
      <c r="J338" s="383">
        <v>16.8</v>
      </c>
      <c r="K338" s="380"/>
    </row>
    <row r="339" spans="1:11" ht="11.1" customHeight="1" x14ac:dyDescent="0.3">
      <c r="A339" s="380"/>
      <c r="B339" s="380"/>
      <c r="C339" s="380" t="s">
        <v>420</v>
      </c>
      <c r="D339" s="380" t="s">
        <v>421</v>
      </c>
      <c r="E339" s="380"/>
      <c r="F339" s="380"/>
      <c r="G339" s="381" t="s">
        <v>1074</v>
      </c>
      <c r="H339" s="382">
        <v>35</v>
      </c>
      <c r="I339" s="382" t="s">
        <v>1096</v>
      </c>
      <c r="J339" s="383">
        <v>17.3</v>
      </c>
      <c r="K339" s="380"/>
    </row>
    <row r="340" spans="1:11" ht="11.1" customHeight="1" x14ac:dyDescent="0.3">
      <c r="A340" s="380"/>
      <c r="B340" s="380"/>
      <c r="C340" s="380" t="s">
        <v>422</v>
      </c>
      <c r="D340" s="380" t="s">
        <v>423</v>
      </c>
      <c r="E340" s="380"/>
      <c r="F340" s="380"/>
      <c r="G340" s="381" t="s">
        <v>1009</v>
      </c>
      <c r="H340" s="382">
        <v>1</v>
      </c>
      <c r="I340" s="382" t="s">
        <v>1114</v>
      </c>
      <c r="J340" s="383">
        <v>22</v>
      </c>
      <c r="K340" s="380"/>
    </row>
    <row r="341" spans="1:11" ht="11.1" customHeight="1" x14ac:dyDescent="0.3">
      <c r="A341" s="380"/>
      <c r="B341" s="380"/>
      <c r="C341" s="380"/>
      <c r="D341" s="380"/>
      <c r="E341" s="380"/>
      <c r="F341" s="380"/>
      <c r="G341" s="381"/>
      <c r="H341" s="388"/>
      <c r="I341" s="388"/>
      <c r="J341" s="389"/>
      <c r="K341" s="380"/>
    </row>
    <row r="342" spans="1:11" ht="11.1" customHeight="1" x14ac:dyDescent="0.3">
      <c r="A342" s="380">
        <v>6.2</v>
      </c>
      <c r="B342" s="380" t="s">
        <v>424</v>
      </c>
      <c r="C342" s="380"/>
      <c r="D342" s="380"/>
      <c r="E342" s="380"/>
      <c r="F342" s="380"/>
      <c r="G342" s="381" t="s">
        <v>1069</v>
      </c>
      <c r="H342" s="382">
        <v>97</v>
      </c>
      <c r="I342" s="382" t="s">
        <v>1150</v>
      </c>
      <c r="J342" s="383">
        <v>10.3</v>
      </c>
      <c r="K342" s="380"/>
    </row>
    <row r="343" spans="1:11" ht="11.1" customHeight="1" x14ac:dyDescent="0.3">
      <c r="A343" s="380"/>
      <c r="B343" s="380" t="s">
        <v>425</v>
      </c>
      <c r="C343" s="380" t="s">
        <v>426</v>
      </c>
      <c r="D343" s="380"/>
      <c r="E343" s="380"/>
      <c r="F343" s="380"/>
      <c r="G343" s="381" t="s">
        <v>1175</v>
      </c>
      <c r="H343" s="382">
        <v>94</v>
      </c>
      <c r="I343" s="382" t="s">
        <v>1176</v>
      </c>
      <c r="J343" s="383">
        <v>10.3</v>
      </c>
      <c r="K343" s="380"/>
    </row>
    <row r="344" spans="1:11" ht="11.1" customHeight="1" x14ac:dyDescent="0.3">
      <c r="A344" s="380"/>
      <c r="B344" s="380"/>
      <c r="C344" s="380" t="s">
        <v>427</v>
      </c>
      <c r="D344" s="380" t="s">
        <v>428</v>
      </c>
      <c r="E344" s="380"/>
      <c r="F344" s="380"/>
      <c r="G344" s="381" t="s">
        <v>979</v>
      </c>
      <c r="H344" s="382">
        <v>15</v>
      </c>
      <c r="I344" s="382" t="s">
        <v>1157</v>
      </c>
      <c r="J344" s="383">
        <v>22.3</v>
      </c>
      <c r="K344" s="380"/>
    </row>
    <row r="345" spans="1:11" ht="11.1" customHeight="1" x14ac:dyDescent="0.3">
      <c r="A345" s="380"/>
      <c r="B345" s="380"/>
      <c r="C345" s="380" t="s">
        <v>429</v>
      </c>
      <c r="D345" s="380" t="s">
        <v>430</v>
      </c>
      <c r="E345" s="380"/>
      <c r="F345" s="380"/>
      <c r="G345" s="381" t="s">
        <v>983</v>
      </c>
      <c r="H345" s="382">
        <v>79</v>
      </c>
      <c r="I345" s="382" t="s">
        <v>1076</v>
      </c>
      <c r="J345" s="383">
        <v>11.4</v>
      </c>
      <c r="K345" s="380"/>
    </row>
    <row r="346" spans="1:11" ht="11.1" customHeight="1" x14ac:dyDescent="0.3">
      <c r="A346" s="380"/>
      <c r="B346" s="380"/>
      <c r="C346" s="380" t="s">
        <v>431</v>
      </c>
      <c r="D346" s="380" t="s">
        <v>432</v>
      </c>
      <c r="E346" s="380"/>
      <c r="F346" s="380"/>
      <c r="G346" s="381" t="s">
        <v>230</v>
      </c>
      <c r="H346" s="381" t="s">
        <v>230</v>
      </c>
      <c r="I346" s="381" t="s">
        <v>230</v>
      </c>
      <c r="J346" s="381" t="s">
        <v>230</v>
      </c>
      <c r="K346" s="380"/>
    </row>
    <row r="347" spans="1:11" ht="11.1" customHeight="1" x14ac:dyDescent="0.3">
      <c r="A347" s="380"/>
      <c r="B347" s="380"/>
      <c r="C347" s="380"/>
      <c r="D347" s="380"/>
      <c r="E347" s="380"/>
      <c r="F347" s="380"/>
      <c r="G347" s="381"/>
      <c r="H347" s="388"/>
      <c r="I347" s="388"/>
      <c r="J347" s="389"/>
      <c r="K347" s="380"/>
    </row>
    <row r="348" spans="1:11" ht="11.1" customHeight="1" x14ac:dyDescent="0.3">
      <c r="A348" s="380"/>
      <c r="B348" s="380" t="s">
        <v>433</v>
      </c>
      <c r="C348" s="380" t="s">
        <v>434</v>
      </c>
      <c r="D348" s="380"/>
      <c r="E348" s="380"/>
      <c r="F348" s="380"/>
      <c r="G348" s="381" t="s">
        <v>230</v>
      </c>
      <c r="H348" s="382" t="s">
        <v>230</v>
      </c>
      <c r="I348" s="382" t="s">
        <v>230</v>
      </c>
      <c r="J348" s="383" t="s">
        <v>230</v>
      </c>
      <c r="K348" s="380"/>
    </row>
    <row r="349" spans="1:11" ht="11.1" customHeight="1" x14ac:dyDescent="0.3">
      <c r="A349" s="435"/>
      <c r="B349" s="435"/>
      <c r="C349" s="435"/>
      <c r="D349" s="435"/>
      <c r="E349" s="435"/>
      <c r="F349" s="435"/>
      <c r="G349" s="405"/>
      <c r="H349" s="406"/>
      <c r="I349" s="406"/>
      <c r="J349" s="407"/>
      <c r="K349" s="436"/>
    </row>
    <row r="350" spans="1:11" ht="11.1" customHeight="1" x14ac:dyDescent="0.3">
      <c r="A350" s="384"/>
      <c r="B350" s="384"/>
      <c r="C350" s="384"/>
      <c r="D350" s="384"/>
      <c r="E350" s="384"/>
      <c r="F350" s="384"/>
      <c r="G350" s="385"/>
      <c r="H350" s="386"/>
      <c r="I350" s="386"/>
      <c r="J350" s="387"/>
      <c r="K350" s="380"/>
    </row>
    <row r="351" spans="1:11" ht="11.1" customHeight="1" x14ac:dyDescent="0.3">
      <c r="A351" s="380" t="s">
        <v>111</v>
      </c>
      <c r="B351" s="380"/>
      <c r="C351" s="380"/>
      <c r="D351" s="380"/>
      <c r="E351" s="380"/>
      <c r="F351" s="380"/>
      <c r="G351" s="381"/>
      <c r="H351" s="388"/>
      <c r="I351" s="388"/>
      <c r="J351" s="389"/>
      <c r="K351" s="380"/>
    </row>
    <row r="352" spans="1:11" ht="11.1" customHeight="1" x14ac:dyDescent="0.3">
      <c r="A352" s="380" t="s">
        <v>182</v>
      </c>
      <c r="B352" s="380"/>
      <c r="C352" s="380"/>
      <c r="D352" s="380"/>
      <c r="E352" s="380"/>
      <c r="F352" s="380"/>
      <c r="G352" s="381"/>
      <c r="H352" s="388"/>
      <c r="I352" s="388"/>
      <c r="J352" s="389"/>
      <c r="K352" s="380"/>
    </row>
    <row r="353" spans="1:11" ht="11.1" customHeight="1" x14ac:dyDescent="0.3">
      <c r="A353" s="380" t="s">
        <v>112</v>
      </c>
      <c r="B353" s="380"/>
      <c r="C353" s="380"/>
      <c r="D353" s="380"/>
      <c r="E353" s="380"/>
      <c r="F353" s="380"/>
      <c r="G353" s="381"/>
      <c r="H353" s="388"/>
      <c r="I353" s="388"/>
      <c r="J353" s="389"/>
      <c r="K353" s="380"/>
    </row>
    <row r="354" spans="1:11" ht="11.1" customHeight="1" x14ac:dyDescent="0.3">
      <c r="A354" s="380"/>
      <c r="B354" s="380"/>
      <c r="C354" s="380"/>
      <c r="D354" s="380"/>
      <c r="E354" s="380"/>
      <c r="F354" s="380"/>
      <c r="G354" s="381"/>
      <c r="H354" s="388"/>
      <c r="I354" s="388"/>
      <c r="J354" s="389"/>
      <c r="K354" s="380"/>
    </row>
    <row r="358" spans="1:11" ht="11.4" customHeight="1" x14ac:dyDescent="0.3">
      <c r="A358" s="390" t="s">
        <v>114</v>
      </c>
      <c r="B358" s="425"/>
      <c r="C358" s="426"/>
      <c r="D358" s="427"/>
      <c r="E358" s="427"/>
      <c r="F358" s="428"/>
      <c r="G358" s="405"/>
      <c r="H358" s="406"/>
      <c r="I358" s="406"/>
      <c r="J358" s="393"/>
      <c r="K358" s="424"/>
    </row>
    <row r="359" spans="1:11" ht="20.399999999999999" customHeight="1" x14ac:dyDescent="0.3">
      <c r="A359" s="394" t="s">
        <v>183</v>
      </c>
      <c r="B359" s="395"/>
      <c r="C359" s="324"/>
      <c r="D359" s="325"/>
      <c r="E359" s="325"/>
      <c r="F359" s="326"/>
      <c r="G359" s="430"/>
      <c r="H359" s="431"/>
      <c r="I359" s="431"/>
      <c r="J359" s="400"/>
      <c r="K359" s="429"/>
    </row>
    <row r="360" spans="1:11" ht="16.2" customHeight="1" x14ac:dyDescent="0.3">
      <c r="A360" s="401" t="s">
        <v>971</v>
      </c>
      <c r="B360" s="402"/>
      <c r="C360" s="336"/>
      <c r="D360" s="337"/>
      <c r="E360" s="325"/>
      <c r="F360" s="326"/>
      <c r="G360" s="430"/>
      <c r="H360" s="431"/>
      <c r="I360" s="431"/>
      <c r="J360" s="400"/>
      <c r="K360" s="429"/>
    </row>
    <row r="361" spans="1:11" ht="11.1" customHeight="1" x14ac:dyDescent="0.3">
      <c r="A361" s="360"/>
      <c r="B361" s="360"/>
      <c r="C361" s="361"/>
      <c r="D361" s="362"/>
      <c r="E361" s="362"/>
      <c r="F361" s="362"/>
      <c r="G361" s="363"/>
      <c r="H361" s="364"/>
      <c r="I361" s="364"/>
      <c r="J361" s="365"/>
      <c r="K361" s="419"/>
    </row>
    <row r="362" spans="1:11" ht="11.1" customHeight="1" x14ac:dyDescent="0.3">
      <c r="A362" s="346"/>
      <c r="B362" s="346"/>
      <c r="C362" s="347"/>
      <c r="D362" s="348"/>
      <c r="E362" s="348"/>
      <c r="F362" s="348"/>
      <c r="G362" s="405"/>
      <c r="H362" s="406"/>
      <c r="I362" s="406"/>
      <c r="J362" s="407"/>
      <c r="K362" s="419"/>
    </row>
    <row r="363" spans="1:11" ht="11.1" customHeight="1" x14ac:dyDescent="0.3">
      <c r="A363" s="408"/>
      <c r="B363" s="408"/>
      <c r="C363" s="409"/>
      <c r="D363" s="410"/>
      <c r="E363" s="410"/>
      <c r="F363" s="353"/>
      <c r="G363" s="354" t="s">
        <v>116</v>
      </c>
      <c r="H363" s="355" t="s">
        <v>25</v>
      </c>
      <c r="I363" s="355" t="s">
        <v>26</v>
      </c>
      <c r="J363" s="356" t="s">
        <v>117</v>
      </c>
      <c r="K363" s="432"/>
    </row>
    <row r="364" spans="1:11" ht="11.1" customHeight="1" x14ac:dyDescent="0.3">
      <c r="A364" s="408"/>
      <c r="B364" s="408"/>
      <c r="C364" s="411"/>
      <c r="D364" s="410"/>
      <c r="E364" s="410"/>
      <c r="F364" s="353"/>
      <c r="G364" s="358" t="s">
        <v>29</v>
      </c>
      <c r="H364" s="355" t="s">
        <v>27</v>
      </c>
      <c r="I364" s="355" t="s">
        <v>28</v>
      </c>
      <c r="J364" s="356" t="s">
        <v>118</v>
      </c>
      <c r="K364" s="432"/>
    </row>
    <row r="365" spans="1:11" ht="11.1" customHeight="1" x14ac:dyDescent="0.3">
      <c r="A365" s="408"/>
      <c r="B365" s="408"/>
      <c r="C365" s="411"/>
      <c r="D365" s="410"/>
      <c r="E365" s="410"/>
      <c r="F365" s="353"/>
      <c r="G365" s="354" t="s">
        <v>31</v>
      </c>
      <c r="H365" s="355" t="s">
        <v>29</v>
      </c>
      <c r="I365" s="355" t="s">
        <v>30</v>
      </c>
      <c r="J365" s="356" t="s">
        <v>119</v>
      </c>
      <c r="K365" s="432"/>
    </row>
    <row r="366" spans="1:11" ht="11.1" customHeight="1" x14ac:dyDescent="0.3">
      <c r="A366" s="408"/>
      <c r="B366" s="408"/>
      <c r="C366" s="411"/>
      <c r="D366" s="410"/>
      <c r="E366" s="410"/>
      <c r="F366" s="353"/>
      <c r="G366" s="358" t="s">
        <v>32</v>
      </c>
      <c r="H366" s="355" t="s">
        <v>33</v>
      </c>
      <c r="I366" s="355" t="s">
        <v>120</v>
      </c>
      <c r="J366" s="356" t="s">
        <v>121</v>
      </c>
      <c r="K366" s="432"/>
    </row>
    <row r="367" spans="1:11" ht="11.1" customHeight="1" x14ac:dyDescent="0.3">
      <c r="A367" s="360"/>
      <c r="B367" s="360"/>
      <c r="C367" s="361"/>
      <c r="D367" s="362"/>
      <c r="E367" s="362"/>
      <c r="F367" s="362"/>
      <c r="G367" s="363"/>
      <c r="H367" s="364"/>
      <c r="I367" s="364"/>
      <c r="J367" s="365"/>
      <c r="K367" s="419"/>
    </row>
    <row r="368" spans="1:11" ht="11.1" customHeight="1" x14ac:dyDescent="0.3">
      <c r="A368" s="433"/>
      <c r="B368" s="346"/>
      <c r="C368" s="434"/>
      <c r="D368" s="405"/>
      <c r="E368" s="405"/>
      <c r="F368" s="348"/>
      <c r="G368" s="405"/>
      <c r="H368" s="406"/>
      <c r="I368" s="406"/>
      <c r="J368" s="407"/>
      <c r="K368" s="419"/>
    </row>
    <row r="369" spans="1:11" ht="11.1" customHeight="1" x14ac:dyDescent="0.3">
      <c r="A369" s="375" t="s">
        <v>123</v>
      </c>
      <c r="B369" s="412"/>
      <c r="C369" s="413"/>
      <c r="D369" s="414"/>
      <c r="E369" s="414"/>
      <c r="F369" s="415" t="s">
        <v>973</v>
      </c>
      <c r="G369" s="416"/>
      <c r="H369" s="417"/>
      <c r="I369" s="417"/>
      <c r="J369" s="418"/>
      <c r="K369" s="419"/>
    </row>
    <row r="370" spans="1:11" ht="11.1" customHeight="1" x14ac:dyDescent="0.3">
      <c r="A370" s="380"/>
      <c r="B370" s="380"/>
      <c r="C370" s="380"/>
      <c r="D370" s="380"/>
      <c r="E370" s="380"/>
      <c r="F370" s="380"/>
      <c r="G370" s="381"/>
      <c r="H370" s="388"/>
      <c r="I370" s="388"/>
      <c r="J370" s="389"/>
      <c r="K370" s="380"/>
    </row>
    <row r="371" spans="1:11" ht="11.1" customHeight="1" x14ac:dyDescent="0.3">
      <c r="A371" s="376">
        <v>7</v>
      </c>
      <c r="B371" s="376" t="s">
        <v>13</v>
      </c>
      <c r="C371" s="376"/>
      <c r="D371" s="376"/>
      <c r="E371" s="376"/>
      <c r="F371" s="376"/>
      <c r="G371" s="377" t="s">
        <v>1177</v>
      </c>
      <c r="H371" s="378">
        <v>2513</v>
      </c>
      <c r="I371" s="378" t="s">
        <v>1073</v>
      </c>
      <c r="J371" s="379">
        <v>2.2000000000000002</v>
      </c>
      <c r="K371" s="380"/>
    </row>
    <row r="372" spans="1:11" ht="11.1" customHeight="1" x14ac:dyDescent="0.3">
      <c r="A372" s="380"/>
      <c r="B372" s="380"/>
      <c r="C372" s="380"/>
      <c r="D372" s="380"/>
      <c r="E372" s="380"/>
      <c r="F372" s="380"/>
      <c r="G372" s="381"/>
      <c r="H372" s="388"/>
      <c r="I372" s="388"/>
      <c r="J372" s="389"/>
      <c r="K372" s="380"/>
    </row>
    <row r="373" spans="1:11" ht="11.1" customHeight="1" x14ac:dyDescent="0.3">
      <c r="A373" s="380">
        <v>7.1</v>
      </c>
      <c r="B373" s="380" t="s">
        <v>435</v>
      </c>
      <c r="C373" s="380"/>
      <c r="D373" s="380"/>
      <c r="E373" s="380"/>
      <c r="F373" s="380"/>
      <c r="G373" s="381" t="s">
        <v>1178</v>
      </c>
      <c r="H373" s="382">
        <v>889</v>
      </c>
      <c r="I373" s="382" t="s">
        <v>1179</v>
      </c>
      <c r="J373" s="383">
        <v>5.3</v>
      </c>
      <c r="K373" s="380"/>
    </row>
    <row r="374" spans="1:11" ht="11.1" customHeight="1" x14ac:dyDescent="0.3">
      <c r="A374" s="380"/>
      <c r="B374" s="380" t="s">
        <v>436</v>
      </c>
      <c r="C374" s="380" t="s">
        <v>437</v>
      </c>
      <c r="D374" s="380"/>
      <c r="E374" s="380"/>
      <c r="F374" s="380"/>
      <c r="G374" s="381" t="s">
        <v>1180</v>
      </c>
      <c r="H374" s="382">
        <v>209</v>
      </c>
      <c r="I374" s="382" t="s">
        <v>1181</v>
      </c>
      <c r="J374" s="383">
        <v>14.2</v>
      </c>
      <c r="K374" s="380"/>
    </row>
    <row r="375" spans="1:11" ht="11.1" customHeight="1" x14ac:dyDescent="0.3">
      <c r="A375" s="380"/>
      <c r="B375" s="380"/>
      <c r="C375" s="380" t="s">
        <v>438</v>
      </c>
      <c r="D375" s="380" t="s">
        <v>439</v>
      </c>
      <c r="E375" s="380"/>
      <c r="F375" s="380"/>
      <c r="G375" s="381" t="s">
        <v>1182</v>
      </c>
      <c r="H375" s="382">
        <v>102</v>
      </c>
      <c r="I375" s="382" t="s">
        <v>1115</v>
      </c>
      <c r="J375" s="383">
        <v>19.899999999999999</v>
      </c>
      <c r="K375" s="380"/>
    </row>
    <row r="376" spans="1:11" ht="11.1" customHeight="1" x14ac:dyDescent="0.3">
      <c r="A376" s="380"/>
      <c r="B376" s="380"/>
      <c r="C376" s="380" t="s">
        <v>440</v>
      </c>
      <c r="D376" s="380" t="s">
        <v>441</v>
      </c>
      <c r="E376" s="380"/>
      <c r="F376" s="380"/>
      <c r="G376" s="381" t="s">
        <v>1183</v>
      </c>
      <c r="H376" s="382">
        <v>107</v>
      </c>
      <c r="I376" s="382" t="s">
        <v>1107</v>
      </c>
      <c r="J376" s="383">
        <v>20.7</v>
      </c>
      <c r="K376" s="380"/>
    </row>
    <row r="377" spans="1:11" ht="11.1" customHeight="1" x14ac:dyDescent="0.3">
      <c r="A377" s="380"/>
      <c r="B377" s="380"/>
      <c r="C377" s="380"/>
      <c r="D377" s="380"/>
      <c r="E377" s="380"/>
      <c r="F377" s="380"/>
      <c r="G377" s="381"/>
      <c r="H377" s="388"/>
      <c r="I377" s="388"/>
      <c r="J377" s="389"/>
      <c r="K377" s="380"/>
    </row>
    <row r="378" spans="1:11" ht="11.1" customHeight="1" x14ac:dyDescent="0.3">
      <c r="A378" s="380"/>
      <c r="B378" s="380" t="s">
        <v>442</v>
      </c>
      <c r="C378" s="380" t="s">
        <v>443</v>
      </c>
      <c r="D378" s="380"/>
      <c r="E378" s="380"/>
      <c r="F378" s="380"/>
      <c r="G378" s="381" t="s">
        <v>1184</v>
      </c>
      <c r="H378" s="382">
        <v>656</v>
      </c>
      <c r="I378" s="382" t="s">
        <v>995</v>
      </c>
      <c r="J378" s="383">
        <v>5.4</v>
      </c>
      <c r="K378" s="380"/>
    </row>
    <row r="379" spans="1:11" ht="11.1" customHeight="1" x14ac:dyDescent="0.3">
      <c r="A379" s="380"/>
      <c r="B379" s="380"/>
      <c r="C379" s="380" t="s">
        <v>444</v>
      </c>
      <c r="D379" s="380" t="s">
        <v>439</v>
      </c>
      <c r="E379" s="380"/>
      <c r="F379" s="380"/>
      <c r="G379" s="381" t="s">
        <v>1185</v>
      </c>
      <c r="H379" s="382">
        <v>382</v>
      </c>
      <c r="I379" s="382" t="s">
        <v>1036</v>
      </c>
      <c r="J379" s="383">
        <v>7.2</v>
      </c>
      <c r="K379" s="380"/>
    </row>
    <row r="380" spans="1:11" ht="11.1" customHeight="1" x14ac:dyDescent="0.3">
      <c r="A380" s="380"/>
      <c r="B380" s="380"/>
      <c r="C380" s="380" t="s">
        <v>445</v>
      </c>
      <c r="D380" s="380" t="s">
        <v>446</v>
      </c>
      <c r="E380" s="380"/>
      <c r="F380" s="380"/>
      <c r="G380" s="381" t="s">
        <v>1186</v>
      </c>
      <c r="H380" s="382">
        <v>274</v>
      </c>
      <c r="I380" s="382" t="s">
        <v>1158</v>
      </c>
      <c r="J380" s="383">
        <v>7.3</v>
      </c>
      <c r="K380" s="380"/>
    </row>
    <row r="381" spans="1:11" ht="11.1" customHeight="1" x14ac:dyDescent="0.3">
      <c r="A381" s="380"/>
      <c r="B381" s="380"/>
      <c r="C381" s="380"/>
      <c r="D381" s="380"/>
      <c r="E381" s="380"/>
      <c r="F381" s="380"/>
      <c r="G381" s="381"/>
      <c r="H381" s="388"/>
      <c r="I381" s="388"/>
      <c r="J381" s="389"/>
      <c r="K381" s="380"/>
    </row>
    <row r="382" spans="1:11" ht="11.1" customHeight="1" x14ac:dyDescent="0.3">
      <c r="A382" s="380"/>
      <c r="B382" s="380" t="s">
        <v>447</v>
      </c>
      <c r="C382" s="380" t="s">
        <v>448</v>
      </c>
      <c r="D382" s="380"/>
      <c r="E382" s="380"/>
      <c r="F382" s="380"/>
      <c r="G382" s="381" t="s">
        <v>999</v>
      </c>
      <c r="H382" s="382">
        <v>24</v>
      </c>
      <c r="I382" s="382" t="s">
        <v>1114</v>
      </c>
      <c r="J382" s="383">
        <v>21.8</v>
      </c>
      <c r="K382" s="380"/>
    </row>
    <row r="383" spans="1:11" ht="11.1" customHeight="1" x14ac:dyDescent="0.3">
      <c r="A383" s="380"/>
      <c r="B383" s="380"/>
      <c r="C383" s="380" t="s">
        <v>449</v>
      </c>
      <c r="D383" s="380" t="s">
        <v>450</v>
      </c>
      <c r="E383" s="380"/>
      <c r="F383" s="380"/>
      <c r="G383" s="381" t="s">
        <v>1187</v>
      </c>
      <c r="H383" s="382" t="s">
        <v>1188</v>
      </c>
      <c r="I383" s="382" t="s">
        <v>1189</v>
      </c>
      <c r="J383" s="383">
        <v>17.8</v>
      </c>
      <c r="K383" s="380"/>
    </row>
    <row r="384" spans="1:11" ht="11.1" customHeight="1" x14ac:dyDescent="0.3">
      <c r="A384" s="380"/>
      <c r="B384" s="380"/>
      <c r="C384" s="380" t="s">
        <v>451</v>
      </c>
      <c r="D384" s="380" t="s">
        <v>452</v>
      </c>
      <c r="E384" s="380"/>
      <c r="F384" s="380"/>
      <c r="G384" s="381" t="s">
        <v>1190</v>
      </c>
      <c r="H384" s="382" t="s">
        <v>1191</v>
      </c>
      <c r="I384" s="382" t="s">
        <v>1189</v>
      </c>
      <c r="J384" s="383">
        <v>39.299999999999997</v>
      </c>
      <c r="K384" s="380"/>
    </row>
    <row r="385" spans="1:11" ht="11.1" customHeight="1" x14ac:dyDescent="0.3">
      <c r="A385" s="380"/>
      <c r="B385" s="380"/>
      <c r="C385" s="380" t="s">
        <v>453</v>
      </c>
      <c r="D385" s="380" t="s">
        <v>454</v>
      </c>
      <c r="E385" s="380"/>
      <c r="F385" s="380"/>
      <c r="G385" s="381" t="s">
        <v>1052</v>
      </c>
      <c r="H385" s="382">
        <v>11</v>
      </c>
      <c r="I385" s="382" t="s">
        <v>1136</v>
      </c>
      <c r="J385" s="383">
        <v>42.6</v>
      </c>
      <c r="K385" s="380"/>
    </row>
    <row r="386" spans="1:11" ht="11.1" customHeight="1" x14ac:dyDescent="0.3">
      <c r="A386" s="380"/>
      <c r="B386" s="380"/>
      <c r="C386" s="380"/>
      <c r="D386" s="380"/>
      <c r="E386" s="380"/>
      <c r="F386" s="380"/>
      <c r="G386" s="381"/>
      <c r="H386" s="388"/>
      <c r="I386" s="388"/>
      <c r="J386" s="389"/>
      <c r="K386" s="380"/>
    </row>
    <row r="387" spans="1:11" ht="11.1" customHeight="1" x14ac:dyDescent="0.3">
      <c r="A387" s="380">
        <v>7.2</v>
      </c>
      <c r="B387" s="380" t="s">
        <v>455</v>
      </c>
      <c r="C387" s="380"/>
      <c r="D387" s="380"/>
      <c r="E387" s="380"/>
      <c r="F387" s="380"/>
      <c r="G387" s="381" t="s">
        <v>1192</v>
      </c>
      <c r="H387" s="382">
        <v>955</v>
      </c>
      <c r="I387" s="382" t="s">
        <v>1193</v>
      </c>
      <c r="J387" s="383">
        <v>2</v>
      </c>
      <c r="K387" s="380"/>
    </row>
    <row r="388" spans="1:11" ht="11.1" customHeight="1" x14ac:dyDescent="0.3">
      <c r="A388" s="380"/>
      <c r="B388" s="380" t="s">
        <v>456</v>
      </c>
      <c r="C388" s="380" t="s">
        <v>457</v>
      </c>
      <c r="D388" s="380"/>
      <c r="E388" s="380"/>
      <c r="F388" s="380"/>
      <c r="G388" s="381" t="s">
        <v>1194</v>
      </c>
      <c r="H388" s="382">
        <v>76</v>
      </c>
      <c r="I388" s="382" t="s">
        <v>1132</v>
      </c>
      <c r="J388" s="383">
        <v>13.4</v>
      </c>
      <c r="K388" s="380"/>
    </row>
    <row r="389" spans="1:11" ht="11.1" customHeight="1" x14ac:dyDescent="0.3">
      <c r="A389" s="380"/>
      <c r="B389" s="380"/>
      <c r="C389" s="380" t="s">
        <v>458</v>
      </c>
      <c r="D389" s="380" t="s">
        <v>459</v>
      </c>
      <c r="E389" s="380"/>
      <c r="F389" s="380"/>
      <c r="G389" s="381" t="s">
        <v>1005</v>
      </c>
      <c r="H389" s="382">
        <v>4</v>
      </c>
      <c r="I389" s="382" t="s">
        <v>1093</v>
      </c>
      <c r="J389" s="383">
        <v>56</v>
      </c>
      <c r="K389" s="380"/>
    </row>
    <row r="390" spans="1:11" ht="11.1" customHeight="1" x14ac:dyDescent="0.3">
      <c r="A390" s="380"/>
      <c r="B390" s="380"/>
      <c r="C390" s="380" t="s">
        <v>460</v>
      </c>
      <c r="D390" s="380" t="s">
        <v>461</v>
      </c>
      <c r="E390" s="380"/>
      <c r="F390" s="380"/>
      <c r="G390" s="381" t="s">
        <v>1083</v>
      </c>
      <c r="H390" s="382">
        <v>61</v>
      </c>
      <c r="I390" s="382" t="s">
        <v>1195</v>
      </c>
      <c r="J390" s="383">
        <v>15.5</v>
      </c>
      <c r="K390" s="380"/>
    </row>
    <row r="391" spans="1:11" ht="11.1" customHeight="1" x14ac:dyDescent="0.3">
      <c r="A391" s="380"/>
      <c r="B391" s="380"/>
      <c r="C391" s="380" t="s">
        <v>462</v>
      </c>
      <c r="D391" s="380" t="s">
        <v>463</v>
      </c>
      <c r="E391" s="380"/>
      <c r="F391" s="380"/>
      <c r="G391" s="381" t="s">
        <v>230</v>
      </c>
      <c r="H391" s="382" t="s">
        <v>230</v>
      </c>
      <c r="I391" s="382" t="s">
        <v>230</v>
      </c>
      <c r="J391" s="383" t="s">
        <v>230</v>
      </c>
      <c r="K391" s="380"/>
    </row>
    <row r="392" spans="1:11" ht="11.1" customHeight="1" x14ac:dyDescent="0.3">
      <c r="A392" s="380"/>
      <c r="B392" s="380"/>
      <c r="C392" s="380" t="s">
        <v>464</v>
      </c>
      <c r="D392" s="380" t="s">
        <v>465</v>
      </c>
      <c r="E392" s="380"/>
      <c r="F392" s="380"/>
      <c r="G392" s="381" t="s">
        <v>1064</v>
      </c>
      <c r="H392" s="382">
        <v>10</v>
      </c>
      <c r="I392" s="382" t="s">
        <v>1114</v>
      </c>
      <c r="J392" s="383">
        <v>31.5</v>
      </c>
      <c r="K392" s="380"/>
    </row>
    <row r="393" spans="1:11" ht="11.1" customHeight="1" x14ac:dyDescent="0.3">
      <c r="A393" s="380"/>
      <c r="B393" s="380"/>
      <c r="C393" s="380"/>
      <c r="D393" s="380"/>
      <c r="E393" s="380"/>
      <c r="F393" s="380"/>
      <c r="G393" s="381"/>
      <c r="H393" s="388"/>
      <c r="I393" s="388"/>
      <c r="J393" s="389"/>
      <c r="K393" s="380"/>
    </row>
    <row r="394" spans="1:11" ht="11.1" customHeight="1" x14ac:dyDescent="0.3">
      <c r="A394" s="380"/>
      <c r="B394" s="380" t="s">
        <v>466</v>
      </c>
      <c r="C394" s="380" t="s">
        <v>467</v>
      </c>
      <c r="D394" s="380"/>
      <c r="E394" s="380"/>
      <c r="F394" s="380"/>
      <c r="G394" s="381" t="s">
        <v>1196</v>
      </c>
      <c r="H394" s="382">
        <v>565</v>
      </c>
      <c r="I394" s="382" t="s">
        <v>1197</v>
      </c>
      <c r="J394" s="383">
        <v>1.9</v>
      </c>
      <c r="K394" s="380"/>
    </row>
    <row r="395" spans="1:11" ht="11.1" customHeight="1" x14ac:dyDescent="0.3">
      <c r="A395" s="380"/>
      <c r="B395" s="380"/>
      <c r="C395" s="380" t="s">
        <v>468</v>
      </c>
      <c r="D395" s="380" t="s">
        <v>469</v>
      </c>
      <c r="E395" s="380"/>
      <c r="F395" s="380"/>
      <c r="G395" s="381" t="s">
        <v>1198</v>
      </c>
      <c r="H395" s="382">
        <v>345</v>
      </c>
      <c r="I395" s="382" t="s">
        <v>1199</v>
      </c>
      <c r="J395" s="383">
        <v>2.2999999999999998</v>
      </c>
      <c r="K395" s="380"/>
    </row>
    <row r="396" spans="1:11" ht="11.1" customHeight="1" x14ac:dyDescent="0.3">
      <c r="A396" s="380"/>
      <c r="B396" s="380"/>
      <c r="C396" s="380" t="s">
        <v>470</v>
      </c>
      <c r="D396" s="380" t="s">
        <v>471</v>
      </c>
      <c r="E396" s="380"/>
      <c r="F396" s="380"/>
      <c r="G396" s="381" t="s">
        <v>1200</v>
      </c>
      <c r="H396" s="382">
        <v>218</v>
      </c>
      <c r="I396" s="382" t="s">
        <v>1201</v>
      </c>
      <c r="J396" s="383">
        <v>3.5</v>
      </c>
      <c r="K396" s="380"/>
    </row>
    <row r="397" spans="1:11" ht="11.1" customHeight="1" x14ac:dyDescent="0.3">
      <c r="A397" s="380"/>
      <c r="B397" s="380"/>
      <c r="C397" s="380" t="s">
        <v>472</v>
      </c>
      <c r="D397" s="380" t="s">
        <v>473</v>
      </c>
      <c r="E397" s="380"/>
      <c r="F397" s="380"/>
      <c r="G397" s="381" t="s">
        <v>1005</v>
      </c>
      <c r="H397" s="382">
        <v>2</v>
      </c>
      <c r="I397" s="382" t="s">
        <v>1115</v>
      </c>
      <c r="J397" s="383">
        <v>22.9</v>
      </c>
      <c r="K397" s="380"/>
    </row>
    <row r="398" spans="1:11" ht="11.1" customHeight="1" x14ac:dyDescent="0.3">
      <c r="A398" s="380"/>
      <c r="B398" s="380"/>
      <c r="C398" s="380"/>
      <c r="D398" s="380"/>
      <c r="E398" s="380"/>
      <c r="F398" s="380"/>
      <c r="G398" s="381"/>
      <c r="H398" s="388"/>
      <c r="I398" s="388"/>
      <c r="J398" s="389"/>
      <c r="K398" s="380"/>
    </row>
    <row r="399" spans="1:11" ht="11.1" customHeight="1" x14ac:dyDescent="0.3">
      <c r="A399" s="380"/>
      <c r="B399" s="380" t="s">
        <v>474</v>
      </c>
      <c r="C399" s="380" t="s">
        <v>475</v>
      </c>
      <c r="D399" s="380"/>
      <c r="E399" s="380"/>
      <c r="F399" s="380"/>
      <c r="G399" s="381" t="s">
        <v>1202</v>
      </c>
      <c r="H399" s="382">
        <v>233</v>
      </c>
      <c r="I399" s="382" t="s">
        <v>1203</v>
      </c>
      <c r="J399" s="383">
        <v>3.5</v>
      </c>
      <c r="K399" s="380"/>
    </row>
    <row r="400" spans="1:11" ht="11.1" customHeight="1" x14ac:dyDescent="0.3">
      <c r="A400" s="380"/>
      <c r="B400" s="380"/>
      <c r="C400" s="380" t="s">
        <v>476</v>
      </c>
      <c r="D400" s="380" t="s">
        <v>477</v>
      </c>
      <c r="E400" s="380"/>
      <c r="F400" s="380"/>
      <c r="G400" s="381" t="s">
        <v>1204</v>
      </c>
      <c r="H400" s="382">
        <v>230</v>
      </c>
      <c r="I400" s="382" t="s">
        <v>1203</v>
      </c>
      <c r="J400" s="383">
        <v>3.6</v>
      </c>
      <c r="K400" s="380"/>
    </row>
    <row r="401" spans="1:11" ht="11.1" customHeight="1" x14ac:dyDescent="0.3">
      <c r="A401" s="380"/>
      <c r="B401" s="380"/>
      <c r="C401" s="380" t="s">
        <v>478</v>
      </c>
      <c r="D401" s="380" t="s">
        <v>479</v>
      </c>
      <c r="E401" s="380"/>
      <c r="F401" s="380"/>
      <c r="G401" s="381" t="s">
        <v>1005</v>
      </c>
      <c r="H401" s="382">
        <v>3</v>
      </c>
      <c r="I401" s="382" t="s">
        <v>1115</v>
      </c>
      <c r="J401" s="383">
        <v>8.8000000000000007</v>
      </c>
      <c r="K401" s="380"/>
    </row>
    <row r="402" spans="1:11" ht="11.1" customHeight="1" x14ac:dyDescent="0.3">
      <c r="A402" s="380"/>
      <c r="B402" s="380"/>
      <c r="C402" s="380"/>
      <c r="D402" s="380"/>
      <c r="E402" s="380"/>
      <c r="F402" s="380"/>
      <c r="G402" s="381"/>
      <c r="H402" s="388"/>
      <c r="I402" s="388"/>
      <c r="J402" s="389"/>
      <c r="K402" s="380"/>
    </row>
    <row r="403" spans="1:11" ht="11.1" customHeight="1" x14ac:dyDescent="0.3">
      <c r="A403" s="380"/>
      <c r="B403" s="380" t="s">
        <v>480</v>
      </c>
      <c r="C403" s="380" t="s">
        <v>481</v>
      </c>
      <c r="D403" s="380"/>
      <c r="E403" s="380"/>
      <c r="F403" s="380"/>
      <c r="G403" s="381" t="s">
        <v>981</v>
      </c>
      <c r="H403" s="382">
        <v>81</v>
      </c>
      <c r="I403" s="382" t="s">
        <v>1205</v>
      </c>
      <c r="J403" s="383">
        <v>4.9000000000000004</v>
      </c>
      <c r="K403" s="380"/>
    </row>
    <row r="404" spans="1:11" ht="11.1" customHeight="1" x14ac:dyDescent="0.3">
      <c r="A404" s="380"/>
      <c r="B404" s="380"/>
      <c r="C404" s="380" t="s">
        <v>482</v>
      </c>
      <c r="D404" s="380" t="s">
        <v>483</v>
      </c>
      <c r="E404" s="380"/>
      <c r="F404" s="380"/>
      <c r="G404" s="381" t="s">
        <v>985</v>
      </c>
      <c r="H404" s="382">
        <v>17</v>
      </c>
      <c r="I404" s="382" t="s">
        <v>1158</v>
      </c>
      <c r="J404" s="383">
        <v>5.4</v>
      </c>
      <c r="K404" s="380"/>
    </row>
    <row r="405" spans="1:11" ht="11.1" customHeight="1" x14ac:dyDescent="0.3">
      <c r="A405" s="380"/>
      <c r="B405" s="380"/>
      <c r="C405" s="380" t="s">
        <v>484</v>
      </c>
      <c r="D405" s="380" t="s">
        <v>485</v>
      </c>
      <c r="E405" s="380"/>
      <c r="F405" s="380"/>
      <c r="G405" s="381" t="s">
        <v>1105</v>
      </c>
      <c r="H405" s="382">
        <v>24</v>
      </c>
      <c r="I405" s="382" t="s">
        <v>1181</v>
      </c>
      <c r="J405" s="383">
        <v>11.6</v>
      </c>
      <c r="K405" s="380"/>
    </row>
    <row r="406" spans="1:11" ht="11.1" customHeight="1" x14ac:dyDescent="0.3">
      <c r="A406" s="380"/>
      <c r="B406" s="380"/>
      <c r="C406" s="380" t="s">
        <v>486</v>
      </c>
      <c r="D406" s="380" t="s">
        <v>487</v>
      </c>
      <c r="E406" s="380"/>
      <c r="F406" s="380"/>
      <c r="G406" s="381" t="s">
        <v>1003</v>
      </c>
      <c r="H406" s="382">
        <v>27</v>
      </c>
      <c r="I406" s="382" t="s">
        <v>1206</v>
      </c>
      <c r="J406" s="383">
        <v>4.8</v>
      </c>
      <c r="K406" s="380"/>
    </row>
    <row r="407" spans="1:11" ht="11.1" customHeight="1" x14ac:dyDescent="0.3">
      <c r="A407" s="380"/>
      <c r="B407" s="380"/>
      <c r="C407" s="380" t="s">
        <v>488</v>
      </c>
      <c r="D407" s="380" t="s">
        <v>489</v>
      </c>
      <c r="E407" s="380"/>
      <c r="F407" s="380"/>
      <c r="G407" s="381" t="s">
        <v>1064</v>
      </c>
      <c r="H407" s="382">
        <v>7</v>
      </c>
      <c r="I407" s="382" t="s">
        <v>1010</v>
      </c>
      <c r="J407" s="383">
        <v>18.3</v>
      </c>
      <c r="K407" s="380"/>
    </row>
    <row r="408" spans="1:11" ht="11.1" customHeight="1" x14ac:dyDescent="0.3">
      <c r="A408" s="380"/>
      <c r="B408" s="380"/>
      <c r="C408" s="380" t="s">
        <v>490</v>
      </c>
      <c r="D408" s="380" t="s">
        <v>491</v>
      </c>
      <c r="E408" s="380"/>
      <c r="F408" s="380"/>
      <c r="G408" s="381" t="s">
        <v>1022</v>
      </c>
      <c r="H408" s="382">
        <v>6</v>
      </c>
      <c r="I408" s="382" t="s">
        <v>1056</v>
      </c>
      <c r="J408" s="383">
        <v>7.5</v>
      </c>
      <c r="K408" s="380"/>
    </row>
    <row r="409" spans="1:11" ht="11.1" customHeight="1" x14ac:dyDescent="0.3">
      <c r="A409" s="380"/>
      <c r="B409" s="380"/>
      <c r="C409" s="380"/>
      <c r="D409" s="380"/>
      <c r="E409" s="380"/>
      <c r="F409" s="380"/>
      <c r="G409" s="381"/>
      <c r="H409" s="388"/>
      <c r="I409" s="388"/>
      <c r="J409" s="389"/>
      <c r="K409" s="380"/>
    </row>
    <row r="410" spans="1:11" ht="11.1" customHeight="1" x14ac:dyDescent="0.3">
      <c r="A410" s="380">
        <v>7.3</v>
      </c>
      <c r="B410" s="380" t="s">
        <v>492</v>
      </c>
      <c r="C410" s="380"/>
      <c r="D410" s="380"/>
      <c r="E410" s="380"/>
      <c r="F410" s="380"/>
      <c r="G410" s="381" t="s">
        <v>1207</v>
      </c>
      <c r="H410" s="382">
        <v>668</v>
      </c>
      <c r="I410" s="382" t="s">
        <v>1208</v>
      </c>
      <c r="J410" s="383">
        <v>2.2999999999999998</v>
      </c>
      <c r="K410" s="380"/>
    </row>
    <row r="411" spans="1:11" ht="11.1" customHeight="1" x14ac:dyDescent="0.3">
      <c r="A411" s="380"/>
      <c r="B411" s="380" t="s">
        <v>493</v>
      </c>
      <c r="C411" s="380" t="s">
        <v>494</v>
      </c>
      <c r="D411" s="380"/>
      <c r="E411" s="380"/>
      <c r="F411" s="380"/>
      <c r="G411" s="381" t="s">
        <v>1183</v>
      </c>
      <c r="H411" s="382">
        <v>104</v>
      </c>
      <c r="I411" s="382" t="s">
        <v>1037</v>
      </c>
      <c r="J411" s="383">
        <v>3.7</v>
      </c>
      <c r="K411" s="380"/>
    </row>
    <row r="412" spans="1:11" ht="11.1" customHeight="1" x14ac:dyDescent="0.3">
      <c r="A412" s="380"/>
      <c r="B412" s="380"/>
      <c r="C412" s="380" t="s">
        <v>495</v>
      </c>
      <c r="D412" s="380" t="s">
        <v>496</v>
      </c>
      <c r="E412" s="380"/>
      <c r="F412" s="380"/>
      <c r="G412" s="381" t="s">
        <v>1105</v>
      </c>
      <c r="H412" s="382">
        <v>22</v>
      </c>
      <c r="I412" s="382" t="s">
        <v>1117</v>
      </c>
      <c r="J412" s="383">
        <v>7</v>
      </c>
      <c r="K412" s="380"/>
    </row>
    <row r="413" spans="1:11" ht="11.1" customHeight="1" x14ac:dyDescent="0.3">
      <c r="A413" s="380"/>
      <c r="B413" s="380"/>
      <c r="C413" s="380" t="s">
        <v>497</v>
      </c>
      <c r="D413" s="380" t="s">
        <v>498</v>
      </c>
      <c r="E413" s="380"/>
      <c r="F413" s="380"/>
      <c r="G413" s="381" t="s">
        <v>981</v>
      </c>
      <c r="H413" s="382">
        <v>82</v>
      </c>
      <c r="I413" s="382" t="s">
        <v>1063</v>
      </c>
      <c r="J413" s="383">
        <v>4.2</v>
      </c>
      <c r="K413" s="380"/>
    </row>
    <row r="414" spans="1:11" ht="11.1" customHeight="1" x14ac:dyDescent="0.3">
      <c r="A414" s="380"/>
      <c r="B414" s="380"/>
      <c r="C414" s="380"/>
      <c r="D414" s="380"/>
      <c r="E414" s="380"/>
      <c r="F414" s="380"/>
      <c r="G414" s="381"/>
      <c r="H414" s="388"/>
      <c r="I414" s="388"/>
      <c r="J414" s="389"/>
      <c r="K414" s="380"/>
    </row>
    <row r="415" spans="1:11" ht="11.1" customHeight="1" x14ac:dyDescent="0.3">
      <c r="A415" s="380"/>
      <c r="B415" s="380" t="s">
        <v>499</v>
      </c>
      <c r="C415" s="380" t="s">
        <v>500</v>
      </c>
      <c r="D415" s="380"/>
      <c r="E415" s="380"/>
      <c r="F415" s="380"/>
      <c r="G415" s="381" t="s">
        <v>992</v>
      </c>
      <c r="H415" s="382">
        <v>31</v>
      </c>
      <c r="I415" s="382" t="s">
        <v>1168</v>
      </c>
      <c r="J415" s="383">
        <v>5</v>
      </c>
      <c r="K415" s="380"/>
    </row>
    <row r="416" spans="1:11" ht="11.1" customHeight="1" x14ac:dyDescent="0.3">
      <c r="A416" s="380"/>
      <c r="B416" s="380"/>
      <c r="C416" s="380" t="s">
        <v>501</v>
      </c>
      <c r="D416" s="380" t="s">
        <v>496</v>
      </c>
      <c r="E416" s="380"/>
      <c r="F416" s="380"/>
      <c r="G416" s="381" t="s">
        <v>1052</v>
      </c>
      <c r="H416" s="382">
        <v>13</v>
      </c>
      <c r="I416" s="382" t="s">
        <v>1111</v>
      </c>
      <c r="J416" s="383">
        <v>7.8</v>
      </c>
      <c r="K416" s="380"/>
    </row>
    <row r="417" spans="1:11" ht="11.1" customHeight="1" x14ac:dyDescent="0.3">
      <c r="A417" s="380"/>
      <c r="B417" s="380"/>
      <c r="C417" s="380" t="s">
        <v>502</v>
      </c>
      <c r="D417" s="380" t="s">
        <v>498</v>
      </c>
      <c r="E417" s="380"/>
      <c r="F417" s="380"/>
      <c r="G417" s="381" t="s">
        <v>985</v>
      </c>
      <c r="H417" s="382">
        <v>18</v>
      </c>
      <c r="I417" s="382" t="s">
        <v>1160</v>
      </c>
      <c r="J417" s="383">
        <v>5.9</v>
      </c>
      <c r="K417" s="380"/>
    </row>
    <row r="418" spans="1:11" ht="11.1" customHeight="1" x14ac:dyDescent="0.3">
      <c r="A418" s="380"/>
      <c r="B418" s="380"/>
      <c r="C418" s="380"/>
      <c r="D418" s="380"/>
      <c r="E418" s="380"/>
      <c r="F418" s="380"/>
      <c r="G418" s="381"/>
      <c r="H418" s="388"/>
      <c r="I418" s="388"/>
      <c r="J418" s="389"/>
      <c r="K418" s="380"/>
    </row>
    <row r="419" spans="1:11" ht="11.1" customHeight="1" x14ac:dyDescent="0.3">
      <c r="A419" s="380"/>
      <c r="B419" s="380" t="s">
        <v>503</v>
      </c>
      <c r="C419" s="380" t="s">
        <v>504</v>
      </c>
      <c r="D419" s="380"/>
      <c r="E419" s="380"/>
      <c r="F419" s="380"/>
      <c r="G419" s="381" t="s">
        <v>1022</v>
      </c>
      <c r="H419" s="382">
        <v>5</v>
      </c>
      <c r="I419" s="382" t="s">
        <v>1136</v>
      </c>
      <c r="J419" s="383">
        <v>12.9</v>
      </c>
      <c r="K419" s="380"/>
    </row>
    <row r="420" spans="1:11" ht="11.1" customHeight="1" x14ac:dyDescent="0.3">
      <c r="A420" s="380"/>
      <c r="B420" s="380"/>
      <c r="C420" s="380" t="s">
        <v>505</v>
      </c>
      <c r="D420" s="380" t="s">
        <v>506</v>
      </c>
      <c r="E420" s="380"/>
      <c r="F420" s="380"/>
      <c r="G420" s="381" t="s">
        <v>1005</v>
      </c>
      <c r="H420" s="382">
        <v>4</v>
      </c>
      <c r="I420" s="382" t="s">
        <v>1136</v>
      </c>
      <c r="J420" s="383">
        <v>9</v>
      </c>
      <c r="K420" s="380"/>
    </row>
    <row r="421" spans="1:11" ht="11.1" customHeight="1" x14ac:dyDescent="0.3">
      <c r="A421" s="380"/>
      <c r="B421" s="380"/>
      <c r="C421" s="380" t="s">
        <v>507</v>
      </c>
      <c r="D421" s="380" t="s">
        <v>508</v>
      </c>
      <c r="E421" s="380"/>
      <c r="F421" s="380"/>
      <c r="G421" s="381" t="s">
        <v>230</v>
      </c>
      <c r="H421" s="382" t="s">
        <v>230</v>
      </c>
      <c r="I421" s="382" t="s">
        <v>230</v>
      </c>
      <c r="J421" s="383" t="s">
        <v>230</v>
      </c>
      <c r="K421" s="380"/>
    </row>
    <row r="422" spans="1:11" ht="11.1" customHeight="1" x14ac:dyDescent="0.3">
      <c r="A422" s="380"/>
      <c r="B422" s="380"/>
      <c r="C422" s="380"/>
      <c r="D422" s="380"/>
      <c r="E422" s="380"/>
      <c r="F422" s="380"/>
      <c r="G422" s="381"/>
      <c r="H422" s="388"/>
      <c r="I422" s="388"/>
      <c r="J422" s="389"/>
      <c r="K422" s="380"/>
    </row>
    <row r="423" spans="1:11" ht="11.1" customHeight="1" x14ac:dyDescent="0.3">
      <c r="A423" s="380"/>
      <c r="B423" s="380" t="s">
        <v>509</v>
      </c>
      <c r="C423" s="380" t="s">
        <v>510</v>
      </c>
      <c r="D423" s="380"/>
      <c r="E423" s="380"/>
      <c r="F423" s="380"/>
      <c r="G423" s="381" t="s">
        <v>1209</v>
      </c>
      <c r="H423" s="382">
        <v>528</v>
      </c>
      <c r="I423" s="382" t="s">
        <v>1086</v>
      </c>
      <c r="J423" s="383">
        <v>2.8</v>
      </c>
      <c r="K423" s="380"/>
    </row>
    <row r="424" spans="1:11" ht="11.1" customHeight="1" x14ac:dyDescent="0.3">
      <c r="A424" s="380"/>
      <c r="B424" s="380"/>
      <c r="C424" s="380" t="s">
        <v>511</v>
      </c>
      <c r="D424" s="380" t="s">
        <v>512</v>
      </c>
      <c r="E424" s="380"/>
      <c r="F424" s="380"/>
      <c r="G424" s="381" t="s">
        <v>1064</v>
      </c>
      <c r="H424" s="382">
        <v>9</v>
      </c>
      <c r="I424" s="382" t="s">
        <v>1109</v>
      </c>
      <c r="J424" s="383">
        <v>32.200000000000003</v>
      </c>
      <c r="K424" s="380"/>
    </row>
    <row r="425" spans="1:11" ht="11.1" customHeight="1" x14ac:dyDescent="0.3">
      <c r="A425" s="380"/>
      <c r="B425" s="380"/>
      <c r="C425" s="380" t="s">
        <v>513</v>
      </c>
      <c r="D425" s="380" t="s">
        <v>514</v>
      </c>
      <c r="E425" s="380"/>
      <c r="F425" s="380"/>
      <c r="G425" s="381" t="s">
        <v>1210</v>
      </c>
      <c r="H425" s="382">
        <v>286</v>
      </c>
      <c r="I425" s="382" t="s">
        <v>1063</v>
      </c>
      <c r="J425" s="383">
        <v>3.2</v>
      </c>
      <c r="K425" s="380"/>
    </row>
    <row r="426" spans="1:11" ht="11.1" customHeight="1" x14ac:dyDescent="0.3">
      <c r="A426" s="380"/>
      <c r="B426" s="380"/>
      <c r="C426" s="380" t="s">
        <v>515</v>
      </c>
      <c r="D426" s="380" t="s">
        <v>516</v>
      </c>
      <c r="E426" s="380"/>
      <c r="F426" s="380"/>
      <c r="G426" s="381" t="s">
        <v>230</v>
      </c>
      <c r="H426" s="382" t="s">
        <v>230</v>
      </c>
      <c r="I426" s="382" t="s">
        <v>230</v>
      </c>
      <c r="J426" s="383" t="s">
        <v>230</v>
      </c>
      <c r="K426" s="380"/>
    </row>
    <row r="427" spans="1:11" ht="11.1" customHeight="1" x14ac:dyDescent="0.3">
      <c r="A427" s="380"/>
      <c r="B427" s="380"/>
      <c r="C427" s="380" t="s">
        <v>517</v>
      </c>
      <c r="D427" s="380" t="s">
        <v>518</v>
      </c>
      <c r="E427" s="380"/>
      <c r="F427" s="380"/>
      <c r="G427" s="381" t="s">
        <v>992</v>
      </c>
      <c r="H427" s="382">
        <v>32</v>
      </c>
      <c r="I427" s="382" t="s">
        <v>1076</v>
      </c>
      <c r="J427" s="383">
        <v>5.8</v>
      </c>
      <c r="K427" s="380"/>
    </row>
    <row r="428" spans="1:11" ht="11.1" customHeight="1" x14ac:dyDescent="0.3">
      <c r="A428" s="380"/>
      <c r="B428" s="380"/>
      <c r="C428" s="380" t="s">
        <v>519</v>
      </c>
      <c r="D428" s="380" t="s">
        <v>520</v>
      </c>
      <c r="E428" s="380"/>
      <c r="F428" s="380"/>
      <c r="G428" s="381" t="s">
        <v>1052</v>
      </c>
      <c r="H428" s="382">
        <v>12</v>
      </c>
      <c r="I428" s="382" t="s">
        <v>1211</v>
      </c>
      <c r="J428" s="383">
        <v>7</v>
      </c>
      <c r="K428" s="380"/>
    </row>
    <row r="429" spans="1:11" ht="11.1" customHeight="1" x14ac:dyDescent="0.3">
      <c r="A429" s="380"/>
      <c r="B429" s="380"/>
      <c r="C429" s="380" t="s">
        <v>521</v>
      </c>
      <c r="D429" s="380" t="s">
        <v>522</v>
      </c>
      <c r="E429" s="380"/>
      <c r="F429" s="380"/>
      <c r="G429" s="381" t="s">
        <v>1052</v>
      </c>
      <c r="H429" s="382">
        <v>12</v>
      </c>
      <c r="I429" s="382" t="s">
        <v>1136</v>
      </c>
      <c r="J429" s="383">
        <v>29</v>
      </c>
      <c r="K429" s="380"/>
    </row>
    <row r="430" spans="1:11" ht="11.1" customHeight="1" x14ac:dyDescent="0.3">
      <c r="A430" s="380"/>
      <c r="B430" s="380"/>
      <c r="C430" s="380" t="s">
        <v>523</v>
      </c>
      <c r="D430" s="380" t="s">
        <v>524</v>
      </c>
      <c r="E430" s="380"/>
      <c r="F430" s="380"/>
      <c r="G430" s="381" t="s">
        <v>1212</v>
      </c>
      <c r="H430" s="382">
        <v>172</v>
      </c>
      <c r="I430" s="382" t="s">
        <v>1036</v>
      </c>
      <c r="J430" s="383">
        <v>5.4</v>
      </c>
      <c r="K430" s="380"/>
    </row>
    <row r="431" spans="1:11" ht="11.1" customHeight="1" x14ac:dyDescent="0.3">
      <c r="A431" s="380"/>
      <c r="B431" s="380"/>
      <c r="C431" s="380" t="s">
        <v>525</v>
      </c>
      <c r="D431" s="380" t="s">
        <v>526</v>
      </c>
      <c r="E431" s="380"/>
      <c r="F431" s="380"/>
      <c r="G431" s="381" t="s">
        <v>1022</v>
      </c>
      <c r="H431" s="382">
        <v>5</v>
      </c>
      <c r="I431" s="382" t="s">
        <v>1136</v>
      </c>
      <c r="J431" s="383">
        <v>22.7</v>
      </c>
      <c r="K431" s="380"/>
    </row>
    <row r="432" spans="1:11" ht="11.1" customHeight="1" x14ac:dyDescent="0.3">
      <c r="A432" s="384"/>
      <c r="B432" s="384"/>
      <c r="C432" s="384"/>
      <c r="D432" s="384"/>
      <c r="E432" s="384"/>
      <c r="F432" s="384"/>
      <c r="G432" s="385"/>
      <c r="H432" s="386"/>
      <c r="I432" s="386"/>
      <c r="J432" s="387"/>
      <c r="K432" s="380"/>
    </row>
    <row r="433" spans="1:11" ht="11.1" customHeight="1" x14ac:dyDescent="0.3">
      <c r="A433" s="380"/>
      <c r="B433" s="380"/>
      <c r="C433" s="380"/>
      <c r="D433" s="380"/>
      <c r="E433" s="380"/>
      <c r="F433" s="380"/>
      <c r="G433" s="381"/>
      <c r="H433" s="388"/>
      <c r="I433" s="388"/>
      <c r="J433" s="389"/>
      <c r="K433" s="380"/>
    </row>
    <row r="434" spans="1:11" ht="11.1" customHeight="1" x14ac:dyDescent="0.3">
      <c r="A434" s="380" t="s">
        <v>111</v>
      </c>
      <c r="B434" s="380"/>
      <c r="C434" s="380"/>
      <c r="D434" s="380"/>
      <c r="E434" s="380"/>
      <c r="F434" s="380"/>
      <c r="G434" s="381"/>
      <c r="H434" s="388"/>
      <c r="I434" s="388"/>
      <c r="J434" s="389"/>
      <c r="K434" s="380"/>
    </row>
    <row r="435" spans="1:11" ht="11.1" customHeight="1" x14ac:dyDescent="0.3">
      <c r="A435" s="380" t="s">
        <v>182</v>
      </c>
      <c r="B435" s="380"/>
      <c r="C435" s="380"/>
      <c r="D435" s="380"/>
      <c r="E435" s="380"/>
      <c r="F435" s="380"/>
      <c r="G435" s="381"/>
      <c r="H435" s="388"/>
      <c r="I435" s="388"/>
      <c r="J435" s="389"/>
      <c r="K435" s="380"/>
    </row>
    <row r="436" spans="1:11" ht="11.1" customHeight="1" x14ac:dyDescent="0.3">
      <c r="A436" s="380" t="s">
        <v>112</v>
      </c>
      <c r="B436" s="380"/>
      <c r="C436" s="380"/>
      <c r="D436" s="380"/>
      <c r="E436" s="380"/>
      <c r="F436" s="380"/>
      <c r="G436" s="381"/>
      <c r="H436" s="388"/>
      <c r="I436" s="388"/>
      <c r="J436" s="389"/>
      <c r="K436" s="380"/>
    </row>
    <row r="437" spans="1:11" ht="11.1" customHeight="1" x14ac:dyDescent="0.3">
      <c r="A437" s="380"/>
      <c r="B437" s="380"/>
      <c r="C437" s="380"/>
      <c r="D437" s="380"/>
      <c r="E437" s="380"/>
      <c r="F437" s="380"/>
      <c r="G437" s="381"/>
      <c r="H437" s="388"/>
      <c r="I437" s="388"/>
      <c r="J437" s="389"/>
      <c r="K437" s="380"/>
    </row>
    <row r="438" spans="1:11" ht="11.1" customHeight="1" x14ac:dyDescent="0.3">
      <c r="A438" s="380"/>
      <c r="B438" s="380"/>
      <c r="C438" s="380"/>
      <c r="D438" s="380"/>
      <c r="E438" s="380"/>
      <c r="F438" s="380"/>
      <c r="G438" s="381"/>
      <c r="H438" s="388"/>
      <c r="I438" s="388"/>
      <c r="J438" s="389"/>
      <c r="K438" s="380"/>
    </row>
    <row r="439" spans="1:11" ht="11.1" customHeight="1" x14ac:dyDescent="0.3">
      <c r="A439" s="380"/>
      <c r="B439" s="380"/>
      <c r="C439" s="380"/>
      <c r="D439" s="380"/>
      <c r="E439" s="380"/>
      <c r="F439" s="380"/>
      <c r="G439" s="381"/>
      <c r="H439" s="388"/>
      <c r="I439" s="388"/>
      <c r="J439" s="389"/>
      <c r="K439" s="380"/>
    </row>
    <row r="441" spans="1:11" ht="12.6" customHeight="1" x14ac:dyDescent="0.3">
      <c r="A441" s="390" t="s">
        <v>114</v>
      </c>
      <c r="B441" s="425"/>
      <c r="C441" s="426"/>
      <c r="D441" s="427"/>
      <c r="E441" s="427"/>
      <c r="F441" s="428"/>
      <c r="G441" s="405"/>
      <c r="H441" s="406"/>
      <c r="I441" s="406"/>
      <c r="J441" s="393"/>
      <c r="K441" s="424"/>
    </row>
    <row r="442" spans="1:11" ht="21" customHeight="1" x14ac:dyDescent="0.3">
      <c r="A442" s="394" t="s">
        <v>183</v>
      </c>
      <c r="B442" s="395"/>
      <c r="C442" s="324"/>
      <c r="D442" s="325"/>
      <c r="E442" s="325"/>
      <c r="F442" s="326"/>
      <c r="G442" s="430"/>
      <c r="H442" s="431"/>
      <c r="I442" s="431"/>
      <c r="J442" s="400"/>
      <c r="K442" s="429"/>
    </row>
    <row r="443" spans="1:11" ht="15.6" customHeight="1" x14ac:dyDescent="0.3">
      <c r="A443" s="401" t="s">
        <v>971</v>
      </c>
      <c r="B443" s="402"/>
      <c r="C443" s="336"/>
      <c r="D443" s="337"/>
      <c r="E443" s="325"/>
      <c r="F443" s="326"/>
      <c r="G443" s="430"/>
      <c r="H443" s="431"/>
      <c r="I443" s="431"/>
      <c r="J443" s="400"/>
      <c r="K443" s="429"/>
    </row>
    <row r="444" spans="1:11" ht="11.1" customHeight="1" x14ac:dyDescent="0.3">
      <c r="A444" s="360"/>
      <c r="B444" s="360"/>
      <c r="C444" s="361"/>
      <c r="D444" s="362"/>
      <c r="E444" s="362"/>
      <c r="F444" s="362"/>
      <c r="G444" s="363"/>
      <c r="H444" s="364"/>
      <c r="I444" s="364"/>
      <c r="J444" s="365"/>
      <c r="K444" s="419"/>
    </row>
    <row r="445" spans="1:11" ht="11.1" customHeight="1" x14ac:dyDescent="0.3">
      <c r="A445" s="346"/>
      <c r="B445" s="346"/>
      <c r="C445" s="347"/>
      <c r="D445" s="348"/>
      <c r="E445" s="348"/>
      <c r="F445" s="348"/>
      <c r="G445" s="405"/>
      <c r="H445" s="406"/>
      <c r="I445" s="406"/>
      <c r="J445" s="407"/>
      <c r="K445" s="419"/>
    </row>
    <row r="446" spans="1:11" ht="11.1" customHeight="1" x14ac:dyDescent="0.3">
      <c r="A446" s="408"/>
      <c r="B446" s="408"/>
      <c r="C446" s="409"/>
      <c r="D446" s="410"/>
      <c r="E446" s="410"/>
      <c r="F446" s="353"/>
      <c r="G446" s="354" t="s">
        <v>116</v>
      </c>
      <c r="H446" s="355" t="s">
        <v>25</v>
      </c>
      <c r="I446" s="355" t="s">
        <v>26</v>
      </c>
      <c r="J446" s="356" t="s">
        <v>117</v>
      </c>
      <c r="K446" s="432"/>
    </row>
    <row r="447" spans="1:11" ht="11.1" customHeight="1" x14ac:dyDescent="0.3">
      <c r="A447" s="408"/>
      <c r="B447" s="408"/>
      <c r="C447" s="411"/>
      <c r="D447" s="410"/>
      <c r="E447" s="410"/>
      <c r="F447" s="353"/>
      <c r="G447" s="358" t="s">
        <v>29</v>
      </c>
      <c r="H447" s="355" t="s">
        <v>27</v>
      </c>
      <c r="I447" s="355" t="s">
        <v>28</v>
      </c>
      <c r="J447" s="356" t="s">
        <v>118</v>
      </c>
      <c r="K447" s="432"/>
    </row>
    <row r="448" spans="1:11" ht="11.1" customHeight="1" x14ac:dyDescent="0.3">
      <c r="A448" s="408"/>
      <c r="B448" s="408"/>
      <c r="C448" s="411"/>
      <c r="D448" s="410"/>
      <c r="E448" s="410"/>
      <c r="F448" s="353"/>
      <c r="G448" s="354" t="s">
        <v>31</v>
      </c>
      <c r="H448" s="355" t="s">
        <v>29</v>
      </c>
      <c r="I448" s="355" t="s">
        <v>30</v>
      </c>
      <c r="J448" s="356" t="s">
        <v>119</v>
      </c>
      <c r="K448" s="432"/>
    </row>
    <row r="449" spans="1:11" ht="11.1" customHeight="1" x14ac:dyDescent="0.3">
      <c r="A449" s="408"/>
      <c r="B449" s="408"/>
      <c r="C449" s="411"/>
      <c r="D449" s="410"/>
      <c r="E449" s="410"/>
      <c r="F449" s="353"/>
      <c r="G449" s="358" t="s">
        <v>32</v>
      </c>
      <c r="H449" s="355" t="s">
        <v>33</v>
      </c>
      <c r="I449" s="355" t="s">
        <v>120</v>
      </c>
      <c r="J449" s="356" t="s">
        <v>121</v>
      </c>
      <c r="K449" s="432"/>
    </row>
    <row r="450" spans="1:11" ht="11.1" customHeight="1" x14ac:dyDescent="0.3">
      <c r="A450" s="360"/>
      <c r="B450" s="360"/>
      <c r="C450" s="361"/>
      <c r="D450" s="362"/>
      <c r="E450" s="362"/>
      <c r="F450" s="362"/>
      <c r="G450" s="363"/>
      <c r="H450" s="364"/>
      <c r="I450" s="364"/>
      <c r="J450" s="365"/>
      <c r="K450" s="419"/>
    </row>
    <row r="451" spans="1:11" ht="11.1" customHeight="1" x14ac:dyDescent="0.3">
      <c r="A451" s="433"/>
      <c r="B451" s="346"/>
      <c r="C451" s="434"/>
      <c r="D451" s="405"/>
      <c r="E451" s="405"/>
      <c r="F451" s="348"/>
      <c r="G451" s="405"/>
      <c r="H451" s="406"/>
      <c r="I451" s="406"/>
      <c r="J451" s="407"/>
      <c r="K451" s="419"/>
    </row>
    <row r="452" spans="1:11" ht="11.1" customHeight="1" x14ac:dyDescent="0.3">
      <c r="A452" s="375" t="s">
        <v>123</v>
      </c>
      <c r="B452" s="412"/>
      <c r="C452" s="413"/>
      <c r="D452" s="414"/>
      <c r="E452" s="414"/>
      <c r="F452" s="415" t="s">
        <v>973</v>
      </c>
      <c r="G452" s="416"/>
      <c r="H452" s="417"/>
      <c r="I452" s="417"/>
      <c r="J452" s="418"/>
      <c r="K452" s="419"/>
    </row>
    <row r="453" spans="1:11" ht="11.1" customHeight="1" x14ac:dyDescent="0.3">
      <c r="A453" s="380"/>
      <c r="B453" s="380"/>
      <c r="C453" s="380"/>
      <c r="D453" s="380"/>
      <c r="E453" s="380"/>
      <c r="F453" s="380"/>
      <c r="G453" s="381"/>
      <c r="H453" s="388"/>
      <c r="I453" s="388"/>
      <c r="J453" s="389"/>
      <c r="K453" s="380"/>
    </row>
    <row r="454" spans="1:11" ht="11.1" customHeight="1" x14ac:dyDescent="0.3">
      <c r="A454" s="376">
        <v>8</v>
      </c>
      <c r="B454" s="376" t="s">
        <v>1213</v>
      </c>
      <c r="C454" s="376"/>
      <c r="D454" s="376"/>
      <c r="E454" s="376"/>
      <c r="F454" s="376"/>
      <c r="G454" s="377" t="s">
        <v>1214</v>
      </c>
      <c r="H454" s="378">
        <v>633</v>
      </c>
      <c r="I454" s="378" t="s">
        <v>1215</v>
      </c>
      <c r="J454" s="379">
        <v>1.2</v>
      </c>
      <c r="K454" s="376"/>
    </row>
    <row r="455" spans="1:11" ht="11.1" customHeight="1" x14ac:dyDescent="0.3">
      <c r="A455" s="380"/>
      <c r="B455" s="380"/>
      <c r="C455" s="380"/>
      <c r="D455" s="380"/>
      <c r="E455" s="380"/>
      <c r="F455" s="380"/>
      <c r="G455" s="381"/>
      <c r="H455" s="388"/>
      <c r="I455" s="388"/>
      <c r="J455" s="389"/>
      <c r="K455" s="380"/>
    </row>
    <row r="456" spans="1:11" ht="11.1" customHeight="1" x14ac:dyDescent="0.3">
      <c r="A456" s="380">
        <v>8.1</v>
      </c>
      <c r="B456" s="380" t="s">
        <v>528</v>
      </c>
      <c r="C456" s="380"/>
      <c r="D456" s="380"/>
      <c r="E456" s="380"/>
      <c r="F456" s="380"/>
      <c r="G456" s="381" t="s">
        <v>985</v>
      </c>
      <c r="H456" s="382">
        <v>18</v>
      </c>
      <c r="I456" s="382" t="s">
        <v>1104</v>
      </c>
      <c r="J456" s="383">
        <v>6.8</v>
      </c>
      <c r="K456" s="380"/>
    </row>
    <row r="457" spans="1:11" ht="11.1" customHeight="1" x14ac:dyDescent="0.3">
      <c r="A457" s="380"/>
      <c r="B457" s="380"/>
      <c r="C457" s="380"/>
      <c r="D457" s="380"/>
      <c r="E457" s="380"/>
      <c r="F457" s="380"/>
      <c r="G457" s="381"/>
      <c r="H457" s="388"/>
      <c r="I457" s="388"/>
      <c r="J457" s="389"/>
      <c r="K457" s="380"/>
    </row>
    <row r="458" spans="1:11" ht="11.1" customHeight="1" x14ac:dyDescent="0.3">
      <c r="A458" s="380">
        <v>8.1999999999999993</v>
      </c>
      <c r="B458" s="380" t="s">
        <v>529</v>
      </c>
      <c r="C458" s="380"/>
      <c r="D458" s="380"/>
      <c r="E458" s="380"/>
      <c r="F458" s="380"/>
      <c r="G458" s="381" t="s">
        <v>992</v>
      </c>
      <c r="H458" s="382">
        <v>32</v>
      </c>
      <c r="I458" s="382" t="s">
        <v>1107</v>
      </c>
      <c r="J458" s="383">
        <v>16</v>
      </c>
      <c r="K458" s="380"/>
    </row>
    <row r="459" spans="1:11" ht="11.1" customHeight="1" x14ac:dyDescent="0.3">
      <c r="A459" s="380"/>
      <c r="B459" s="380" t="s">
        <v>530</v>
      </c>
      <c r="C459" s="380" t="s">
        <v>531</v>
      </c>
      <c r="D459" s="380"/>
      <c r="E459" s="380"/>
      <c r="F459" s="380"/>
      <c r="G459" s="381" t="s">
        <v>230</v>
      </c>
      <c r="H459" s="382" t="s">
        <v>230</v>
      </c>
      <c r="I459" s="382" t="s">
        <v>230</v>
      </c>
      <c r="J459" s="383" t="s">
        <v>230</v>
      </c>
      <c r="K459" s="380"/>
    </row>
    <row r="460" spans="1:11" ht="11.1" customHeight="1" x14ac:dyDescent="0.3">
      <c r="A460" s="380"/>
      <c r="B460" s="380" t="s">
        <v>532</v>
      </c>
      <c r="C460" s="380" t="s">
        <v>533</v>
      </c>
      <c r="D460" s="380"/>
      <c r="E460" s="380"/>
      <c r="F460" s="380"/>
      <c r="G460" s="381" t="s">
        <v>992</v>
      </c>
      <c r="H460" s="382">
        <v>31</v>
      </c>
      <c r="I460" s="382" t="s">
        <v>1216</v>
      </c>
      <c r="J460" s="383">
        <v>16.2</v>
      </c>
      <c r="K460" s="380"/>
    </row>
    <row r="461" spans="1:11" ht="11.1" customHeight="1" x14ac:dyDescent="0.3">
      <c r="A461" s="380"/>
      <c r="B461" s="380" t="s">
        <v>534</v>
      </c>
      <c r="C461" s="380" t="s">
        <v>535</v>
      </c>
      <c r="D461" s="380"/>
      <c r="E461" s="380"/>
      <c r="F461" s="380"/>
      <c r="G461" s="381" t="s">
        <v>230</v>
      </c>
      <c r="H461" s="382" t="s">
        <v>230</v>
      </c>
      <c r="I461" s="382" t="s">
        <v>230</v>
      </c>
      <c r="J461" s="383" t="s">
        <v>230</v>
      </c>
      <c r="K461" s="380"/>
    </row>
    <row r="462" spans="1:11" ht="11.1" customHeight="1" x14ac:dyDescent="0.3">
      <c r="A462" s="380"/>
      <c r="B462" s="380"/>
      <c r="C462" s="380"/>
      <c r="D462" s="380"/>
      <c r="E462" s="380"/>
      <c r="F462" s="380"/>
      <c r="G462" s="381"/>
      <c r="H462" s="388"/>
      <c r="I462" s="388"/>
      <c r="J462" s="389"/>
      <c r="K462" s="380"/>
    </row>
    <row r="463" spans="1:11" ht="11.1" customHeight="1" x14ac:dyDescent="0.3">
      <c r="A463" s="380">
        <v>8.3000000000000007</v>
      </c>
      <c r="B463" s="380" t="s">
        <v>536</v>
      </c>
      <c r="C463" s="380"/>
      <c r="D463" s="380"/>
      <c r="E463" s="380"/>
      <c r="F463" s="380"/>
      <c r="G463" s="381" t="s">
        <v>1217</v>
      </c>
      <c r="H463" s="382">
        <v>263</v>
      </c>
      <c r="I463" s="382" t="s">
        <v>1218</v>
      </c>
      <c r="J463" s="383">
        <v>1.4</v>
      </c>
      <c r="K463" s="380"/>
    </row>
    <row r="464" spans="1:11" ht="11.1" customHeight="1" x14ac:dyDescent="0.3">
      <c r="A464" s="380"/>
      <c r="B464" s="380" t="s">
        <v>537</v>
      </c>
      <c r="C464" s="380" t="s">
        <v>1219</v>
      </c>
      <c r="D464" s="380"/>
      <c r="E464" s="380"/>
      <c r="F464" s="380"/>
      <c r="G464" s="381" t="s">
        <v>1064</v>
      </c>
      <c r="H464" s="382">
        <v>9</v>
      </c>
      <c r="I464" s="382" t="s">
        <v>1102</v>
      </c>
      <c r="J464" s="383">
        <v>8.3000000000000007</v>
      </c>
      <c r="K464" s="380"/>
    </row>
    <row r="465" spans="1:11" ht="11.1" customHeight="1" x14ac:dyDescent="0.3">
      <c r="A465" s="380"/>
      <c r="B465" s="380" t="s">
        <v>539</v>
      </c>
      <c r="C465" s="380" t="s">
        <v>540</v>
      </c>
      <c r="D465" s="380"/>
      <c r="E465" s="380"/>
      <c r="F465" s="380"/>
      <c r="G465" s="381" t="s">
        <v>230</v>
      </c>
      <c r="H465" s="382" t="s">
        <v>230</v>
      </c>
      <c r="I465" s="382" t="s">
        <v>230</v>
      </c>
      <c r="J465" s="383" t="s">
        <v>230</v>
      </c>
      <c r="K465" s="380"/>
    </row>
    <row r="466" spans="1:11" ht="11.1" customHeight="1" x14ac:dyDescent="0.3">
      <c r="A466" s="380"/>
      <c r="B466" s="380" t="s">
        <v>541</v>
      </c>
      <c r="C466" s="380" t="s">
        <v>1220</v>
      </c>
      <c r="D466" s="380"/>
      <c r="E466" s="380"/>
      <c r="F466" s="380"/>
      <c r="G466" s="381" t="s">
        <v>1221</v>
      </c>
      <c r="H466" s="382">
        <v>250</v>
      </c>
      <c r="I466" s="382" t="s">
        <v>1222</v>
      </c>
      <c r="J466" s="383">
        <v>1.4</v>
      </c>
      <c r="K466" s="380"/>
    </row>
    <row r="467" spans="1:11" ht="11.1" customHeight="1" x14ac:dyDescent="0.3">
      <c r="A467" s="380"/>
      <c r="B467" s="380" t="s">
        <v>543</v>
      </c>
      <c r="C467" s="380" t="s">
        <v>544</v>
      </c>
      <c r="D467" s="380"/>
      <c r="E467" s="380"/>
      <c r="F467" s="380"/>
      <c r="G467" s="381" t="s">
        <v>1005</v>
      </c>
      <c r="H467" s="382">
        <v>4</v>
      </c>
      <c r="I467" s="382" t="s">
        <v>1093</v>
      </c>
      <c r="J467" s="383">
        <v>13.9</v>
      </c>
      <c r="K467" s="380"/>
    </row>
    <row r="468" spans="1:11" ht="11.1" customHeight="1" x14ac:dyDescent="0.3">
      <c r="A468" s="380"/>
      <c r="B468" s="380"/>
      <c r="C468" s="380"/>
      <c r="D468" s="380"/>
      <c r="E468" s="380"/>
      <c r="F468" s="380"/>
      <c r="G468" s="381"/>
      <c r="H468" s="388"/>
      <c r="I468" s="388"/>
      <c r="J468" s="389"/>
      <c r="K468" s="380"/>
    </row>
    <row r="469" spans="1:11" ht="11.1" customHeight="1" x14ac:dyDescent="0.3">
      <c r="A469" s="380">
        <v>8.4</v>
      </c>
      <c r="B469" s="380" t="s">
        <v>1223</v>
      </c>
      <c r="C469" s="380"/>
      <c r="D469" s="380"/>
      <c r="E469" s="380"/>
      <c r="F469" s="380"/>
      <c r="G469" s="381" t="s">
        <v>990</v>
      </c>
      <c r="H469" s="382">
        <v>55</v>
      </c>
      <c r="I469" s="382" t="s">
        <v>1091</v>
      </c>
      <c r="J469" s="383">
        <v>2</v>
      </c>
      <c r="K469" s="380"/>
    </row>
    <row r="470" spans="1:11" ht="11.1" customHeight="1" x14ac:dyDescent="0.3">
      <c r="A470" s="380"/>
      <c r="B470" s="380"/>
      <c r="C470" s="380"/>
      <c r="D470" s="380"/>
      <c r="E470" s="380"/>
      <c r="F470" s="380"/>
      <c r="G470" s="381"/>
      <c r="H470" s="388"/>
      <c r="I470" s="388"/>
      <c r="J470" s="389"/>
      <c r="K470" s="380"/>
    </row>
    <row r="471" spans="1:11" ht="11.1" customHeight="1" x14ac:dyDescent="0.3">
      <c r="A471" s="380">
        <v>8.5</v>
      </c>
      <c r="B471" s="380" t="s">
        <v>1224</v>
      </c>
      <c r="C471" s="380"/>
      <c r="D471" s="380"/>
      <c r="E471" s="380"/>
      <c r="F471" s="380"/>
      <c r="G471" s="381" t="s">
        <v>1225</v>
      </c>
      <c r="H471" s="382">
        <v>265</v>
      </c>
      <c r="I471" s="382" t="s">
        <v>1226</v>
      </c>
      <c r="J471" s="383">
        <v>1.2</v>
      </c>
      <c r="K471" s="380"/>
    </row>
    <row r="472" spans="1:11" ht="11.1" customHeight="1" x14ac:dyDescent="0.3">
      <c r="A472" s="380"/>
      <c r="B472" s="380"/>
      <c r="C472" s="380"/>
      <c r="D472" s="380"/>
      <c r="E472" s="380"/>
      <c r="F472" s="380"/>
      <c r="G472" s="381"/>
      <c r="H472" s="388"/>
      <c r="I472" s="388"/>
      <c r="J472" s="389"/>
      <c r="K472" s="380"/>
    </row>
    <row r="473" spans="1:11" ht="11.1" customHeight="1" x14ac:dyDescent="0.3">
      <c r="A473" s="338"/>
      <c r="B473" s="338"/>
      <c r="C473" s="338"/>
      <c r="D473" s="340"/>
      <c r="E473" s="340"/>
      <c r="F473" s="341"/>
      <c r="G473" s="363"/>
      <c r="H473" s="364"/>
      <c r="I473" s="364"/>
      <c r="J473" s="365"/>
      <c r="K473" s="437"/>
    </row>
    <row r="474" spans="1:11" ht="11.1" customHeight="1" x14ac:dyDescent="0.3">
      <c r="A474" s="376">
        <v>9</v>
      </c>
      <c r="B474" s="376" t="s">
        <v>15</v>
      </c>
      <c r="C474" s="376"/>
      <c r="D474" s="376"/>
      <c r="E474" s="376"/>
      <c r="F474" s="376"/>
      <c r="G474" s="377" t="s">
        <v>1227</v>
      </c>
      <c r="H474" s="378">
        <v>2074</v>
      </c>
      <c r="I474" s="378" t="s">
        <v>1228</v>
      </c>
      <c r="J474" s="379">
        <v>2.4</v>
      </c>
      <c r="K474" s="376"/>
    </row>
    <row r="475" spans="1:11" ht="11.1" customHeight="1" x14ac:dyDescent="0.3">
      <c r="A475" s="380"/>
      <c r="B475" s="380"/>
      <c r="C475" s="380"/>
      <c r="D475" s="380"/>
      <c r="E475" s="380"/>
      <c r="F475" s="380"/>
      <c r="G475" s="381"/>
      <c r="H475" s="388"/>
      <c r="I475" s="388"/>
      <c r="J475" s="389"/>
      <c r="K475" s="380"/>
    </row>
    <row r="476" spans="1:11" ht="11.1" customHeight="1" x14ac:dyDescent="0.3">
      <c r="A476" s="380">
        <v>9.1</v>
      </c>
      <c r="B476" s="380" t="s">
        <v>548</v>
      </c>
      <c r="C476" s="380"/>
      <c r="D476" s="380"/>
      <c r="E476" s="380"/>
      <c r="F476" s="380"/>
      <c r="G476" s="381" t="s">
        <v>1183</v>
      </c>
      <c r="H476" s="382">
        <v>106</v>
      </c>
      <c r="I476" s="382" t="s">
        <v>1094</v>
      </c>
      <c r="J476" s="383">
        <v>16</v>
      </c>
      <c r="K476" s="380"/>
    </row>
    <row r="477" spans="1:11" ht="11.1" customHeight="1" x14ac:dyDescent="0.3">
      <c r="A477" s="380"/>
      <c r="B477" s="380" t="s">
        <v>549</v>
      </c>
      <c r="C477" s="380" t="s">
        <v>550</v>
      </c>
      <c r="D477" s="380"/>
      <c r="E477" s="380"/>
      <c r="F477" s="380"/>
      <c r="G477" s="381" t="s">
        <v>1033</v>
      </c>
      <c r="H477" s="382">
        <v>19</v>
      </c>
      <c r="I477" s="382" t="s">
        <v>1110</v>
      </c>
      <c r="J477" s="383">
        <v>14.9</v>
      </c>
      <c r="K477" s="380"/>
    </row>
    <row r="478" spans="1:11" ht="11.1" customHeight="1" x14ac:dyDescent="0.3">
      <c r="A478" s="380"/>
      <c r="B478" s="380"/>
      <c r="C478" s="380" t="s">
        <v>551</v>
      </c>
      <c r="D478" s="380" t="s">
        <v>552</v>
      </c>
      <c r="E478" s="380"/>
      <c r="F478" s="380"/>
      <c r="G478" s="381" t="s">
        <v>1064</v>
      </c>
      <c r="H478" s="382">
        <v>10</v>
      </c>
      <c r="I478" s="382" t="s">
        <v>1136</v>
      </c>
      <c r="J478" s="383">
        <v>18.399999999999999</v>
      </c>
      <c r="K478" s="380"/>
    </row>
    <row r="479" spans="1:11" ht="11.1" customHeight="1" x14ac:dyDescent="0.3">
      <c r="A479" s="380"/>
      <c r="B479" s="380"/>
      <c r="C479" s="380" t="s">
        <v>553</v>
      </c>
      <c r="D479" s="380" t="s">
        <v>554</v>
      </c>
      <c r="E479" s="380"/>
      <c r="F479" s="380"/>
      <c r="G479" s="381" t="s">
        <v>1064</v>
      </c>
      <c r="H479" s="382">
        <v>9</v>
      </c>
      <c r="I479" s="382" t="s">
        <v>1216</v>
      </c>
      <c r="J479" s="383">
        <v>21.8</v>
      </c>
      <c r="K479" s="380"/>
    </row>
    <row r="480" spans="1:11" ht="11.1" customHeight="1" x14ac:dyDescent="0.3">
      <c r="A480" s="380"/>
      <c r="B480" s="380"/>
      <c r="C480" s="380"/>
      <c r="D480" s="380"/>
      <c r="E480" s="380"/>
      <c r="F480" s="380"/>
      <c r="G480" s="381"/>
      <c r="H480" s="388"/>
      <c r="I480" s="388"/>
      <c r="J480" s="389"/>
      <c r="K480" s="380"/>
    </row>
    <row r="481" spans="1:11" ht="11.1" customHeight="1" x14ac:dyDescent="0.3">
      <c r="A481" s="380"/>
      <c r="B481" s="380" t="s">
        <v>555</v>
      </c>
      <c r="C481" s="380" t="s">
        <v>556</v>
      </c>
      <c r="D481" s="380"/>
      <c r="E481" s="380"/>
      <c r="F481" s="380"/>
      <c r="G481" s="381" t="s">
        <v>983</v>
      </c>
      <c r="H481" s="382">
        <v>79</v>
      </c>
      <c r="I481" s="382" t="s">
        <v>1229</v>
      </c>
      <c r="J481" s="383">
        <v>21.1</v>
      </c>
      <c r="K481" s="380"/>
    </row>
    <row r="482" spans="1:11" ht="11.1" customHeight="1" x14ac:dyDescent="0.3">
      <c r="A482" s="380"/>
      <c r="B482" s="380"/>
      <c r="C482" s="380" t="s">
        <v>557</v>
      </c>
      <c r="D482" s="380" t="s">
        <v>558</v>
      </c>
      <c r="E482" s="380"/>
      <c r="F482" s="380"/>
      <c r="G482" s="381" t="s">
        <v>1105</v>
      </c>
      <c r="H482" s="382">
        <v>21</v>
      </c>
      <c r="I482" s="382" t="s">
        <v>1115</v>
      </c>
      <c r="J482" s="383">
        <v>26.7</v>
      </c>
      <c r="K482" s="380"/>
    </row>
    <row r="483" spans="1:11" ht="11.1" customHeight="1" x14ac:dyDescent="0.3">
      <c r="A483" s="380"/>
      <c r="B483" s="380"/>
      <c r="C483" s="380" t="s">
        <v>559</v>
      </c>
      <c r="D483" s="380" t="s">
        <v>560</v>
      </c>
      <c r="E483" s="380"/>
      <c r="F483" s="380"/>
      <c r="G483" s="381" t="s">
        <v>230</v>
      </c>
      <c r="H483" s="382" t="s">
        <v>230</v>
      </c>
      <c r="I483" s="382" t="s">
        <v>230</v>
      </c>
      <c r="J483" s="383" t="s">
        <v>230</v>
      </c>
      <c r="K483" s="380"/>
    </row>
    <row r="484" spans="1:11" ht="11.1" customHeight="1" x14ac:dyDescent="0.3">
      <c r="A484" s="380"/>
      <c r="B484" s="380"/>
      <c r="C484" s="380" t="s">
        <v>561</v>
      </c>
      <c r="D484" s="380" t="s">
        <v>562</v>
      </c>
      <c r="E484" s="380"/>
      <c r="F484" s="380"/>
      <c r="G484" s="381" t="s">
        <v>367</v>
      </c>
      <c r="H484" s="382" t="s">
        <v>367</v>
      </c>
      <c r="I484" s="382" t="s">
        <v>367</v>
      </c>
      <c r="J484" s="383" t="s">
        <v>367</v>
      </c>
      <c r="K484" s="380"/>
    </row>
    <row r="485" spans="1:11" ht="11.1" customHeight="1" x14ac:dyDescent="0.3">
      <c r="A485" s="380"/>
      <c r="B485" s="380"/>
      <c r="C485" s="380" t="s">
        <v>563</v>
      </c>
      <c r="D485" s="380" t="s">
        <v>564</v>
      </c>
      <c r="E485" s="380"/>
      <c r="F485" s="380"/>
      <c r="G485" s="381" t="s">
        <v>367</v>
      </c>
      <c r="H485" s="382" t="s">
        <v>367</v>
      </c>
      <c r="I485" s="382" t="s">
        <v>367</v>
      </c>
      <c r="J485" s="383" t="s">
        <v>367</v>
      </c>
      <c r="K485" s="380"/>
    </row>
    <row r="486" spans="1:11" ht="11.1" customHeight="1" x14ac:dyDescent="0.3">
      <c r="A486" s="380"/>
      <c r="B486" s="380"/>
      <c r="C486" s="380" t="s">
        <v>565</v>
      </c>
      <c r="D486" s="380" t="s">
        <v>566</v>
      </c>
      <c r="E486" s="380"/>
      <c r="F486" s="380"/>
      <c r="G486" s="381" t="s">
        <v>230</v>
      </c>
      <c r="H486" s="382" t="s">
        <v>230</v>
      </c>
      <c r="I486" s="382" t="s">
        <v>230</v>
      </c>
      <c r="J486" s="383" t="s">
        <v>230</v>
      </c>
      <c r="K486" s="380"/>
    </row>
    <row r="487" spans="1:11" ht="11.1" customHeight="1" x14ac:dyDescent="0.3">
      <c r="A487" s="380"/>
      <c r="B487" s="380"/>
      <c r="C487" s="380" t="s">
        <v>567</v>
      </c>
      <c r="D487" s="380" t="s">
        <v>568</v>
      </c>
      <c r="E487" s="380"/>
      <c r="F487" s="380"/>
      <c r="G487" s="381" t="s">
        <v>1005</v>
      </c>
      <c r="H487" s="382">
        <v>2</v>
      </c>
      <c r="I487" s="382" t="s">
        <v>1114</v>
      </c>
      <c r="J487" s="383">
        <v>23</v>
      </c>
      <c r="K487" s="380"/>
    </row>
    <row r="488" spans="1:11" ht="11.1" customHeight="1" x14ac:dyDescent="0.3">
      <c r="A488" s="380"/>
      <c r="B488" s="380"/>
      <c r="C488" s="380" t="s">
        <v>569</v>
      </c>
      <c r="D488" s="380" t="s">
        <v>570</v>
      </c>
      <c r="E488" s="380"/>
      <c r="F488" s="380"/>
      <c r="G488" s="381" t="s">
        <v>1044</v>
      </c>
      <c r="H488" s="382">
        <v>48</v>
      </c>
      <c r="I488" s="382" t="s">
        <v>1108</v>
      </c>
      <c r="J488" s="383">
        <v>32.9</v>
      </c>
      <c r="K488" s="380"/>
    </row>
    <row r="489" spans="1:11" ht="11.1" customHeight="1" x14ac:dyDescent="0.3">
      <c r="A489" s="380"/>
      <c r="B489" s="380"/>
      <c r="C489" s="380" t="s">
        <v>571</v>
      </c>
      <c r="D489" s="380" t="s">
        <v>572</v>
      </c>
      <c r="E489" s="380"/>
      <c r="F489" s="380"/>
      <c r="G489" s="381" t="s">
        <v>1190</v>
      </c>
      <c r="H489" s="382" t="s">
        <v>1230</v>
      </c>
      <c r="I489" s="382" t="s">
        <v>1010</v>
      </c>
      <c r="J489" s="383">
        <v>14.7</v>
      </c>
      <c r="K489" s="380"/>
    </row>
    <row r="490" spans="1:11" ht="11.1" customHeight="1" x14ac:dyDescent="0.3">
      <c r="A490" s="380"/>
      <c r="B490" s="380"/>
      <c r="C490" s="380" t="s">
        <v>573</v>
      </c>
      <c r="D490" s="380" t="s">
        <v>574</v>
      </c>
      <c r="E490" s="380"/>
      <c r="F490" s="380"/>
      <c r="G490" s="382" t="s">
        <v>230</v>
      </c>
      <c r="H490" s="382" t="s">
        <v>230</v>
      </c>
      <c r="I490" s="382" t="s">
        <v>230</v>
      </c>
      <c r="J490" s="383" t="s">
        <v>230</v>
      </c>
      <c r="K490" s="380"/>
    </row>
    <row r="491" spans="1:11" ht="11.1" customHeight="1" x14ac:dyDescent="0.3">
      <c r="A491" s="380"/>
      <c r="B491" s="380"/>
      <c r="C491" s="380"/>
      <c r="D491" s="380"/>
      <c r="E491" s="380"/>
      <c r="F491" s="380"/>
      <c r="G491" s="381"/>
      <c r="H491" s="388"/>
      <c r="I491" s="388"/>
      <c r="J491" s="389"/>
      <c r="K491" s="380"/>
    </row>
    <row r="492" spans="1:11" ht="11.1" customHeight="1" x14ac:dyDescent="0.3">
      <c r="A492" s="380"/>
      <c r="B492" s="380" t="s">
        <v>575</v>
      </c>
      <c r="C492" s="380" t="s">
        <v>576</v>
      </c>
      <c r="D492" s="380"/>
      <c r="E492" s="380"/>
      <c r="F492" s="380"/>
      <c r="G492" s="381" t="s">
        <v>1064</v>
      </c>
      <c r="H492" s="382">
        <v>7</v>
      </c>
      <c r="I492" s="382" t="s">
        <v>1136</v>
      </c>
      <c r="J492" s="383">
        <v>11.3</v>
      </c>
      <c r="K492" s="380"/>
    </row>
    <row r="493" spans="1:11" ht="11.1" customHeight="1" x14ac:dyDescent="0.3">
      <c r="A493" s="380"/>
      <c r="B493" s="380"/>
      <c r="C493" s="380" t="s">
        <v>577</v>
      </c>
      <c r="D493" s="380" t="s">
        <v>578</v>
      </c>
      <c r="E493" s="380"/>
      <c r="F493" s="380"/>
      <c r="G493" s="381" t="s">
        <v>1022</v>
      </c>
      <c r="H493" s="382">
        <v>6</v>
      </c>
      <c r="I493" s="382" t="s">
        <v>1136</v>
      </c>
      <c r="J493" s="383">
        <v>11.9</v>
      </c>
      <c r="K493" s="380"/>
    </row>
    <row r="494" spans="1:11" ht="11.1" customHeight="1" x14ac:dyDescent="0.3">
      <c r="A494" s="380"/>
      <c r="B494" s="380"/>
      <c r="C494" s="380" t="s">
        <v>579</v>
      </c>
      <c r="D494" s="380" t="s">
        <v>580</v>
      </c>
      <c r="E494" s="380"/>
      <c r="F494" s="380"/>
      <c r="G494" s="381" t="s">
        <v>230</v>
      </c>
      <c r="H494" s="382" t="s">
        <v>230</v>
      </c>
      <c r="I494" s="382" t="s">
        <v>230</v>
      </c>
      <c r="J494" s="383" t="s">
        <v>230</v>
      </c>
      <c r="K494" s="380"/>
    </row>
    <row r="495" spans="1:11" ht="11.1" customHeight="1" x14ac:dyDescent="0.3">
      <c r="A495" s="380"/>
      <c r="B495" s="380"/>
      <c r="C495" s="380" t="s">
        <v>581</v>
      </c>
      <c r="D495" s="380" t="s">
        <v>582</v>
      </c>
      <c r="E495" s="380"/>
      <c r="F495" s="380"/>
      <c r="G495" s="381" t="s">
        <v>230</v>
      </c>
      <c r="H495" s="382" t="s">
        <v>230</v>
      </c>
      <c r="I495" s="382" t="s">
        <v>230</v>
      </c>
      <c r="J495" s="383" t="s">
        <v>230</v>
      </c>
      <c r="K495" s="380"/>
    </row>
    <row r="496" spans="1:11" ht="11.1" customHeight="1" x14ac:dyDescent="0.3">
      <c r="A496" s="380"/>
      <c r="B496" s="380"/>
      <c r="C496" s="380"/>
      <c r="D496" s="380"/>
      <c r="E496" s="380"/>
      <c r="F496" s="380"/>
      <c r="G496" s="381"/>
      <c r="H496" s="388"/>
      <c r="I496" s="388"/>
      <c r="J496" s="389"/>
      <c r="K496" s="380"/>
    </row>
    <row r="497" spans="1:11" ht="11.1" customHeight="1" x14ac:dyDescent="0.3">
      <c r="A497" s="380">
        <v>9.1999999999999993</v>
      </c>
      <c r="B497" s="380" t="s">
        <v>583</v>
      </c>
      <c r="C497" s="380"/>
      <c r="D497" s="380"/>
      <c r="E497" s="380"/>
      <c r="F497" s="380"/>
      <c r="G497" s="381" t="s">
        <v>1011</v>
      </c>
      <c r="H497" s="382">
        <v>85</v>
      </c>
      <c r="I497" s="382" t="s">
        <v>1111</v>
      </c>
      <c r="J497" s="383">
        <v>31.7</v>
      </c>
      <c r="K497" s="380"/>
    </row>
    <row r="498" spans="1:11" ht="11.1" customHeight="1" x14ac:dyDescent="0.3">
      <c r="A498" s="380"/>
      <c r="B498" s="380" t="s">
        <v>584</v>
      </c>
      <c r="C498" s="380" t="s">
        <v>585</v>
      </c>
      <c r="D498" s="380"/>
      <c r="E498" s="380"/>
      <c r="F498" s="380"/>
      <c r="G498" s="381" t="s">
        <v>230</v>
      </c>
      <c r="H498" s="382" t="s">
        <v>230</v>
      </c>
      <c r="I498" s="382" t="s">
        <v>230</v>
      </c>
      <c r="J498" s="383" t="s">
        <v>230</v>
      </c>
      <c r="K498" s="380"/>
    </row>
    <row r="499" spans="1:11" ht="11.1" customHeight="1" x14ac:dyDescent="0.3">
      <c r="A499" s="380"/>
      <c r="B499" s="380" t="s">
        <v>586</v>
      </c>
      <c r="C499" s="380" t="s">
        <v>587</v>
      </c>
      <c r="D499" s="380"/>
      <c r="E499" s="380"/>
      <c r="F499" s="380"/>
      <c r="G499" s="382" t="s">
        <v>230</v>
      </c>
      <c r="H499" s="382" t="s">
        <v>230</v>
      </c>
      <c r="I499" s="382" t="s">
        <v>230</v>
      </c>
      <c r="J499" s="383" t="s">
        <v>230</v>
      </c>
      <c r="K499" s="380"/>
    </row>
    <row r="500" spans="1:11" ht="11.1" customHeight="1" x14ac:dyDescent="0.3">
      <c r="A500" s="380"/>
      <c r="B500" s="380" t="s">
        <v>588</v>
      </c>
      <c r="C500" s="380" t="s">
        <v>589</v>
      </c>
      <c r="D500" s="380"/>
      <c r="E500" s="380"/>
      <c r="F500" s="380"/>
      <c r="G500" s="381" t="s">
        <v>230</v>
      </c>
      <c r="H500" s="382" t="s">
        <v>230</v>
      </c>
      <c r="I500" s="382" t="s">
        <v>230</v>
      </c>
      <c r="J500" s="383" t="s">
        <v>230</v>
      </c>
      <c r="K500" s="380"/>
    </row>
    <row r="501" spans="1:11" ht="11.1" customHeight="1" x14ac:dyDescent="0.3">
      <c r="A501" s="380"/>
      <c r="B501" s="380" t="s">
        <v>590</v>
      </c>
      <c r="C501" s="380" t="s">
        <v>591</v>
      </c>
      <c r="D501" s="380"/>
      <c r="E501" s="380"/>
      <c r="F501" s="380"/>
      <c r="G501" s="381" t="s">
        <v>1022</v>
      </c>
      <c r="H501" s="382">
        <v>7</v>
      </c>
      <c r="I501" s="382" t="s">
        <v>1010</v>
      </c>
      <c r="J501" s="383">
        <v>24.6</v>
      </c>
      <c r="K501" s="380"/>
    </row>
    <row r="502" spans="1:11" ht="11.1" customHeight="1" x14ac:dyDescent="0.3">
      <c r="A502" s="380"/>
      <c r="B502" s="380" t="s">
        <v>592</v>
      </c>
      <c r="C502" s="380" t="s">
        <v>593</v>
      </c>
      <c r="D502" s="380"/>
      <c r="E502" s="380"/>
      <c r="F502" s="380"/>
      <c r="G502" s="381" t="s">
        <v>230</v>
      </c>
      <c r="H502" s="382" t="s">
        <v>230</v>
      </c>
      <c r="I502" s="382" t="s">
        <v>230</v>
      </c>
      <c r="J502" s="383" t="s">
        <v>230</v>
      </c>
      <c r="K502" s="380"/>
    </row>
    <row r="503" spans="1:11" ht="11.1" customHeight="1" x14ac:dyDescent="0.3">
      <c r="A503" s="380"/>
      <c r="B503" s="380" t="s">
        <v>594</v>
      </c>
      <c r="C503" s="380" t="s">
        <v>595</v>
      </c>
      <c r="D503" s="380"/>
      <c r="E503" s="380"/>
      <c r="F503" s="380"/>
      <c r="G503" s="381" t="s">
        <v>1033</v>
      </c>
      <c r="H503" s="382">
        <v>20</v>
      </c>
      <c r="I503" s="382" t="s">
        <v>1010</v>
      </c>
      <c r="J503" s="383">
        <v>13.8</v>
      </c>
      <c r="K503" s="380"/>
    </row>
    <row r="504" spans="1:11" ht="11.1" customHeight="1" x14ac:dyDescent="0.3">
      <c r="A504" s="380"/>
      <c r="B504" s="380" t="s">
        <v>596</v>
      </c>
      <c r="C504" s="380" t="s">
        <v>597</v>
      </c>
      <c r="D504" s="380"/>
      <c r="E504" s="380"/>
      <c r="F504" s="380"/>
      <c r="G504" s="381" t="s">
        <v>1231</v>
      </c>
      <c r="H504" s="382" t="s">
        <v>1232</v>
      </c>
      <c r="I504" s="382" t="s">
        <v>1189</v>
      </c>
      <c r="J504" s="383">
        <v>21.4</v>
      </c>
      <c r="K504" s="380"/>
    </row>
    <row r="505" spans="1:11" ht="11.1" customHeight="1" x14ac:dyDescent="0.3">
      <c r="A505" s="380"/>
      <c r="B505" s="380" t="s">
        <v>598</v>
      </c>
      <c r="C505" s="380" t="s">
        <v>599</v>
      </c>
      <c r="D505" s="380"/>
      <c r="E505" s="380"/>
      <c r="F505" s="380"/>
      <c r="G505" s="381" t="s">
        <v>230</v>
      </c>
      <c r="H505" s="382" t="s">
        <v>230</v>
      </c>
      <c r="I505" s="382" t="s">
        <v>230</v>
      </c>
      <c r="J505" s="383" t="s">
        <v>230</v>
      </c>
      <c r="K505" s="380"/>
    </row>
    <row r="506" spans="1:11" ht="11.1" customHeight="1" x14ac:dyDescent="0.3">
      <c r="A506" s="380"/>
      <c r="B506" s="380"/>
      <c r="C506" s="380"/>
      <c r="D506" s="380"/>
      <c r="E506" s="380"/>
      <c r="F506" s="380"/>
      <c r="G506" s="381"/>
      <c r="H506" s="388"/>
      <c r="I506" s="388"/>
      <c r="J506" s="389"/>
      <c r="K506" s="380"/>
    </row>
    <row r="507" spans="1:11" ht="11.1" customHeight="1" x14ac:dyDescent="0.3">
      <c r="A507" s="380">
        <v>9.3000000000000007</v>
      </c>
      <c r="B507" s="380" t="s">
        <v>600</v>
      </c>
      <c r="C507" s="380"/>
      <c r="D507" s="380"/>
      <c r="E507" s="380"/>
      <c r="F507" s="380"/>
      <c r="G507" s="381" t="s">
        <v>1233</v>
      </c>
      <c r="H507" s="382">
        <v>426</v>
      </c>
      <c r="I507" s="382" t="s">
        <v>1234</v>
      </c>
      <c r="J507" s="383">
        <v>5.7</v>
      </c>
      <c r="K507" s="380"/>
    </row>
    <row r="508" spans="1:11" ht="11.1" customHeight="1" x14ac:dyDescent="0.3">
      <c r="A508" s="380"/>
      <c r="B508" s="380" t="s">
        <v>601</v>
      </c>
      <c r="C508" s="380" t="s">
        <v>602</v>
      </c>
      <c r="D508" s="380"/>
      <c r="E508" s="380"/>
      <c r="F508" s="380"/>
      <c r="G508" s="381" t="s">
        <v>1194</v>
      </c>
      <c r="H508" s="382">
        <v>77</v>
      </c>
      <c r="I508" s="382" t="s">
        <v>1235</v>
      </c>
      <c r="J508" s="383">
        <v>5.8</v>
      </c>
      <c r="K508" s="380"/>
    </row>
    <row r="509" spans="1:11" ht="11.1" customHeight="1" x14ac:dyDescent="0.3">
      <c r="A509" s="380"/>
      <c r="B509" s="380"/>
      <c r="C509" s="380"/>
      <c r="D509" s="380"/>
      <c r="E509" s="380"/>
      <c r="F509" s="380"/>
      <c r="G509" s="381"/>
      <c r="H509" s="388"/>
      <c r="I509" s="388"/>
      <c r="J509" s="389"/>
      <c r="K509" s="380"/>
    </row>
    <row r="510" spans="1:11" ht="11.1" customHeight="1" x14ac:dyDescent="0.3">
      <c r="A510" s="380"/>
      <c r="B510" s="380" t="s">
        <v>603</v>
      </c>
      <c r="C510" s="380" t="s">
        <v>604</v>
      </c>
      <c r="D510" s="380"/>
      <c r="E510" s="380"/>
      <c r="F510" s="380"/>
      <c r="G510" s="381" t="s">
        <v>1033</v>
      </c>
      <c r="H510" s="382">
        <v>21</v>
      </c>
      <c r="I510" s="382" t="s">
        <v>1108</v>
      </c>
      <c r="J510" s="383">
        <v>16.5</v>
      </c>
      <c r="K510" s="380"/>
    </row>
    <row r="511" spans="1:11" ht="11.1" customHeight="1" x14ac:dyDescent="0.3">
      <c r="A511" s="380"/>
      <c r="B511" s="380"/>
      <c r="C511" s="380" t="s">
        <v>605</v>
      </c>
      <c r="D511" s="380" t="s">
        <v>606</v>
      </c>
      <c r="E511" s="380"/>
      <c r="F511" s="380"/>
      <c r="G511" s="381" t="s">
        <v>979</v>
      </c>
      <c r="H511" s="382">
        <v>15</v>
      </c>
      <c r="I511" s="382" t="s">
        <v>1023</v>
      </c>
      <c r="J511" s="383">
        <v>11.4</v>
      </c>
      <c r="K511" s="380"/>
    </row>
    <row r="512" spans="1:11" ht="11.1" customHeight="1" x14ac:dyDescent="0.3">
      <c r="A512" s="380"/>
      <c r="B512" s="380"/>
      <c r="C512" s="380" t="s">
        <v>607</v>
      </c>
      <c r="D512" s="380" t="s">
        <v>608</v>
      </c>
      <c r="E512" s="380"/>
      <c r="F512" s="380"/>
      <c r="G512" s="381" t="s">
        <v>1022</v>
      </c>
      <c r="H512" s="382">
        <v>5</v>
      </c>
      <c r="I512" s="382" t="s">
        <v>1136</v>
      </c>
      <c r="J512" s="383">
        <v>54.7</v>
      </c>
      <c r="K512" s="380"/>
    </row>
    <row r="513" spans="1:11" ht="11.1" customHeight="1" x14ac:dyDescent="0.3">
      <c r="A513" s="380"/>
      <c r="B513" s="380"/>
      <c r="C513" s="380"/>
      <c r="D513" s="380"/>
      <c r="E513" s="380"/>
      <c r="F513" s="380"/>
      <c r="G513" s="381"/>
      <c r="H513" s="388"/>
      <c r="I513" s="388"/>
      <c r="J513" s="389"/>
      <c r="K513" s="380"/>
    </row>
    <row r="514" spans="1:11" ht="11.1" customHeight="1" x14ac:dyDescent="0.3">
      <c r="A514" s="380"/>
      <c r="B514" s="380" t="s">
        <v>609</v>
      </c>
      <c r="C514" s="380" t="s">
        <v>610</v>
      </c>
      <c r="D514" s="380"/>
      <c r="E514" s="380"/>
      <c r="F514" s="380"/>
      <c r="G514" s="381" t="s">
        <v>1030</v>
      </c>
      <c r="H514" s="382">
        <v>38</v>
      </c>
      <c r="I514" s="382" t="s">
        <v>1089</v>
      </c>
      <c r="J514" s="383">
        <v>43</v>
      </c>
      <c r="K514" s="380"/>
    </row>
    <row r="515" spans="1:11" ht="11.1" customHeight="1" x14ac:dyDescent="0.3">
      <c r="A515" s="380"/>
      <c r="B515" s="380"/>
      <c r="C515" s="380"/>
      <c r="D515" s="380"/>
      <c r="E515" s="380"/>
      <c r="F515" s="380"/>
      <c r="G515" s="381"/>
      <c r="H515" s="388"/>
      <c r="I515" s="388"/>
      <c r="J515" s="389"/>
      <c r="K515" s="380"/>
    </row>
    <row r="516" spans="1:11" ht="11.1" customHeight="1" x14ac:dyDescent="0.3">
      <c r="A516" s="380"/>
      <c r="B516" s="380" t="s">
        <v>611</v>
      </c>
      <c r="C516" s="380" t="s">
        <v>612</v>
      </c>
      <c r="D516" s="380"/>
      <c r="E516" s="380"/>
      <c r="F516" s="380"/>
      <c r="G516" s="381" t="s">
        <v>981</v>
      </c>
      <c r="H516" s="382">
        <v>83</v>
      </c>
      <c r="I516" s="382" t="s">
        <v>1236</v>
      </c>
      <c r="J516" s="383">
        <v>8.4</v>
      </c>
      <c r="K516" s="380"/>
    </row>
    <row r="517" spans="1:11" ht="11.1" customHeight="1" x14ac:dyDescent="0.3">
      <c r="A517" s="380"/>
      <c r="B517" s="380"/>
      <c r="C517" s="380" t="s">
        <v>613</v>
      </c>
      <c r="D517" s="380" t="s">
        <v>614</v>
      </c>
      <c r="E517" s="380"/>
      <c r="F517" s="380"/>
      <c r="G517" s="381" t="s">
        <v>1112</v>
      </c>
      <c r="H517" s="382" t="s">
        <v>1237</v>
      </c>
      <c r="I517" s="382" t="s">
        <v>1010</v>
      </c>
      <c r="J517" s="383">
        <v>449.8</v>
      </c>
      <c r="K517" s="380"/>
    </row>
    <row r="518" spans="1:11" ht="11.1" customHeight="1" x14ac:dyDescent="0.3">
      <c r="A518" s="380"/>
      <c r="B518" s="380"/>
      <c r="C518" s="380" t="s">
        <v>615</v>
      </c>
      <c r="D518" s="380" t="s">
        <v>616</v>
      </c>
      <c r="E518" s="380"/>
      <c r="F518" s="380"/>
      <c r="G518" s="381" t="s">
        <v>1194</v>
      </c>
      <c r="H518" s="382">
        <v>76</v>
      </c>
      <c r="I518" s="382" t="s">
        <v>1238</v>
      </c>
      <c r="J518" s="383">
        <v>8.1999999999999993</v>
      </c>
      <c r="K518" s="380"/>
    </row>
    <row r="519" spans="1:11" ht="11.1" customHeight="1" x14ac:dyDescent="0.3">
      <c r="A519" s="380"/>
      <c r="B519" s="380"/>
      <c r="C519" s="380" t="s">
        <v>617</v>
      </c>
      <c r="D519" s="380" t="s">
        <v>618</v>
      </c>
      <c r="E519" s="380"/>
      <c r="F519" s="380"/>
      <c r="G519" s="381" t="s">
        <v>1005</v>
      </c>
      <c r="H519" s="382">
        <v>4</v>
      </c>
      <c r="I519" s="382" t="s">
        <v>1088</v>
      </c>
      <c r="J519" s="383">
        <v>39.200000000000003</v>
      </c>
      <c r="K519" s="380"/>
    </row>
    <row r="520" spans="1:11" ht="11.1" customHeight="1" x14ac:dyDescent="0.3">
      <c r="A520" s="380"/>
      <c r="B520" s="380"/>
      <c r="C520" s="380" t="s">
        <v>619</v>
      </c>
      <c r="D520" s="380" t="s">
        <v>620</v>
      </c>
      <c r="E520" s="380"/>
      <c r="F520" s="380"/>
      <c r="G520" s="381" t="s">
        <v>1005</v>
      </c>
      <c r="H520" s="382">
        <v>2</v>
      </c>
      <c r="I520" s="382" t="s">
        <v>1114</v>
      </c>
      <c r="J520" s="383">
        <v>10.199999999999999</v>
      </c>
      <c r="K520" s="380"/>
    </row>
    <row r="521" spans="1:11" ht="11.1" customHeight="1" x14ac:dyDescent="0.3">
      <c r="A521" s="380"/>
      <c r="B521" s="380"/>
      <c r="C521" s="380"/>
      <c r="D521" s="380"/>
      <c r="E521" s="380"/>
      <c r="F521" s="380"/>
      <c r="G521" s="381"/>
      <c r="H521" s="388"/>
      <c r="I521" s="388"/>
      <c r="J521" s="389"/>
      <c r="K521" s="380"/>
    </row>
    <row r="522" spans="1:11" ht="11.1" customHeight="1" x14ac:dyDescent="0.3">
      <c r="A522" s="380"/>
      <c r="B522" s="380" t="s">
        <v>621</v>
      </c>
      <c r="C522" s="380" t="s">
        <v>622</v>
      </c>
      <c r="D522" s="380"/>
      <c r="E522" s="380"/>
      <c r="F522" s="380"/>
      <c r="G522" s="381" t="s">
        <v>1180</v>
      </c>
      <c r="H522" s="382">
        <v>208</v>
      </c>
      <c r="I522" s="382" t="s">
        <v>993</v>
      </c>
      <c r="J522" s="383">
        <v>5.2</v>
      </c>
      <c r="K522" s="380"/>
    </row>
    <row r="523" spans="1:11" ht="11.1" customHeight="1" x14ac:dyDescent="0.3">
      <c r="A523" s="380"/>
      <c r="B523" s="380"/>
      <c r="C523" s="380" t="s">
        <v>623</v>
      </c>
      <c r="D523" s="380" t="s">
        <v>624</v>
      </c>
      <c r="E523" s="380"/>
      <c r="F523" s="380"/>
      <c r="G523" s="381" t="s">
        <v>1069</v>
      </c>
      <c r="H523" s="382">
        <v>97</v>
      </c>
      <c r="I523" s="382" t="s">
        <v>1145</v>
      </c>
      <c r="J523" s="383">
        <v>2.9</v>
      </c>
      <c r="K523" s="380"/>
    </row>
    <row r="524" spans="1:11" ht="11.1" customHeight="1" x14ac:dyDescent="0.3">
      <c r="A524" s="380"/>
      <c r="B524" s="380"/>
      <c r="C524" s="380" t="s">
        <v>625</v>
      </c>
      <c r="D524" s="380" t="s">
        <v>626</v>
      </c>
      <c r="E524" s="380"/>
      <c r="F524" s="380"/>
      <c r="G524" s="381" t="s">
        <v>992</v>
      </c>
      <c r="H524" s="382">
        <v>30</v>
      </c>
      <c r="I524" s="382" t="s">
        <v>1104</v>
      </c>
      <c r="J524" s="383">
        <v>18.7</v>
      </c>
      <c r="K524" s="380"/>
    </row>
    <row r="525" spans="1:11" ht="11.1" customHeight="1" x14ac:dyDescent="0.3">
      <c r="A525" s="380"/>
      <c r="B525" s="380"/>
      <c r="C525" s="380" t="s">
        <v>627</v>
      </c>
      <c r="D525" s="380" t="s">
        <v>628</v>
      </c>
      <c r="E525" s="380"/>
      <c r="F525" s="380"/>
      <c r="G525" s="381" t="s">
        <v>983</v>
      </c>
      <c r="H525" s="382">
        <v>81</v>
      </c>
      <c r="I525" s="382" t="s">
        <v>1089</v>
      </c>
      <c r="J525" s="383">
        <v>10.5</v>
      </c>
      <c r="K525" s="380"/>
    </row>
    <row r="526" spans="1:11" ht="11.1" customHeight="1" x14ac:dyDescent="0.3">
      <c r="A526" s="384"/>
      <c r="B526" s="384"/>
      <c r="C526" s="384"/>
      <c r="D526" s="384"/>
      <c r="E526" s="384"/>
      <c r="F526" s="384"/>
      <c r="G526" s="385"/>
      <c r="H526" s="386"/>
      <c r="I526" s="386"/>
      <c r="J526" s="387"/>
      <c r="K526" s="380"/>
    </row>
    <row r="527" spans="1:11" ht="11.1" customHeight="1" x14ac:dyDescent="0.3">
      <c r="A527" s="380"/>
      <c r="B527" s="380"/>
      <c r="C527" s="380"/>
      <c r="D527" s="380"/>
      <c r="E527" s="380"/>
      <c r="F527" s="380"/>
      <c r="G527" s="381"/>
      <c r="H527" s="388"/>
      <c r="I527" s="388"/>
      <c r="J527" s="389"/>
      <c r="K527" s="380"/>
    </row>
    <row r="528" spans="1:11" ht="11.1" customHeight="1" x14ac:dyDescent="0.3">
      <c r="A528" s="157" t="s">
        <v>111</v>
      </c>
      <c r="B528" s="380"/>
      <c r="C528" s="380"/>
      <c r="D528" s="380"/>
      <c r="E528" s="380"/>
      <c r="F528" s="380"/>
      <c r="G528" s="381"/>
      <c r="H528" s="388"/>
      <c r="I528" s="388"/>
      <c r="J528" s="389"/>
      <c r="K528" s="380"/>
    </row>
    <row r="529" spans="1:11" ht="11.1" customHeight="1" x14ac:dyDescent="0.3">
      <c r="A529" s="157" t="s">
        <v>182</v>
      </c>
      <c r="B529" s="380"/>
      <c r="C529" s="380"/>
      <c r="D529" s="380"/>
      <c r="E529" s="380"/>
      <c r="F529" s="380"/>
      <c r="G529" s="381"/>
      <c r="H529" s="388"/>
      <c r="I529" s="388"/>
      <c r="J529" s="389"/>
      <c r="K529" s="380"/>
    </row>
    <row r="530" spans="1:11" ht="11.1" customHeight="1" x14ac:dyDescent="0.3">
      <c r="A530" s="157" t="s">
        <v>112</v>
      </c>
      <c r="B530" s="380"/>
      <c r="C530" s="380"/>
      <c r="D530" s="380"/>
      <c r="E530" s="380"/>
      <c r="F530" s="380"/>
      <c r="G530" s="381"/>
      <c r="H530" s="388"/>
      <c r="I530" s="388"/>
      <c r="J530" s="389"/>
      <c r="K530" s="380"/>
    </row>
    <row r="531" spans="1:11" ht="11.1" customHeight="1" x14ac:dyDescent="0.3">
      <c r="A531" s="157" t="s">
        <v>629</v>
      </c>
      <c r="B531" s="380"/>
      <c r="C531" s="380"/>
      <c r="D531" s="380"/>
      <c r="E531" s="380"/>
      <c r="F531" s="380"/>
      <c r="G531" s="381"/>
      <c r="H531" s="388"/>
      <c r="I531" s="388"/>
      <c r="J531" s="389"/>
      <c r="K531" s="380"/>
    </row>
    <row r="532" spans="1:11" ht="11.1" customHeight="1" x14ac:dyDescent="0.3">
      <c r="A532" s="157" t="s">
        <v>630</v>
      </c>
      <c r="B532" s="380"/>
      <c r="C532" s="380"/>
      <c r="D532" s="380"/>
      <c r="E532" s="380"/>
      <c r="F532" s="380"/>
      <c r="G532" s="381"/>
      <c r="H532" s="388"/>
      <c r="I532" s="388"/>
      <c r="J532" s="389"/>
      <c r="K532" s="380"/>
    </row>
    <row r="533" spans="1:11" ht="11.1" customHeight="1" x14ac:dyDescent="0.3">
      <c r="A533" s="157" t="s">
        <v>631</v>
      </c>
      <c r="B533" s="380"/>
      <c r="C533" s="380"/>
      <c r="D533" s="380"/>
      <c r="E533" s="380"/>
      <c r="F533" s="380"/>
      <c r="G533" s="381"/>
      <c r="H533" s="388"/>
      <c r="I533" s="388"/>
      <c r="J533" s="389"/>
      <c r="K533" s="380"/>
    </row>
    <row r="534" spans="1:11" ht="11.1" customHeight="1" x14ac:dyDescent="0.3">
      <c r="A534" s="157" t="s">
        <v>632</v>
      </c>
      <c r="B534" s="380"/>
      <c r="C534" s="380"/>
      <c r="D534" s="380"/>
      <c r="E534" s="380"/>
      <c r="F534" s="380"/>
      <c r="G534" s="381"/>
      <c r="H534" s="388"/>
      <c r="I534" s="388"/>
      <c r="J534" s="389"/>
      <c r="K534" s="380"/>
    </row>
    <row r="535" spans="1:11" ht="11.1" customHeight="1" x14ac:dyDescent="0.3">
      <c r="A535" s="157" t="s">
        <v>633</v>
      </c>
      <c r="B535" s="380"/>
      <c r="C535" s="380"/>
      <c r="D535" s="380"/>
      <c r="E535" s="380"/>
      <c r="F535" s="380"/>
      <c r="G535" s="381"/>
      <c r="H535" s="388"/>
      <c r="I535" s="388"/>
      <c r="J535" s="389"/>
      <c r="K535" s="380"/>
    </row>
    <row r="536" spans="1:11" ht="11.1" customHeight="1" x14ac:dyDescent="0.3">
      <c r="A536" s="157" t="s">
        <v>1239</v>
      </c>
      <c r="B536" s="380"/>
      <c r="C536" s="380"/>
      <c r="D536" s="380"/>
      <c r="E536" s="380"/>
      <c r="F536" s="380"/>
      <c r="G536" s="381"/>
      <c r="H536" s="388"/>
      <c r="I536" s="388"/>
      <c r="J536" s="389"/>
      <c r="K536" s="380"/>
    </row>
    <row r="537" spans="1:11" ht="11.1" customHeight="1" x14ac:dyDescent="0.3">
      <c r="A537" s="157" t="s">
        <v>635</v>
      </c>
      <c r="B537" s="380"/>
      <c r="C537" s="380"/>
      <c r="D537" s="380"/>
      <c r="E537" s="380"/>
      <c r="F537" s="380"/>
      <c r="G537" s="381"/>
      <c r="H537" s="388"/>
      <c r="I537" s="388"/>
      <c r="J537" s="389"/>
      <c r="K537" s="380"/>
    </row>
    <row r="538" spans="1:11" ht="11.1" customHeight="1" x14ac:dyDescent="0.3">
      <c r="A538" s="380"/>
      <c r="B538" s="380"/>
      <c r="C538" s="380"/>
      <c r="D538" s="380"/>
      <c r="E538" s="380"/>
      <c r="F538" s="380"/>
      <c r="G538" s="381"/>
      <c r="H538" s="388"/>
      <c r="I538" s="388"/>
      <c r="J538" s="389"/>
      <c r="K538" s="380"/>
    </row>
    <row r="542" spans="1:11" ht="11.1" customHeight="1" x14ac:dyDescent="0.3">
      <c r="A542" s="390" t="s">
        <v>114</v>
      </c>
      <c r="B542" s="425"/>
      <c r="C542" s="426"/>
      <c r="D542" s="427"/>
      <c r="E542" s="427"/>
      <c r="F542" s="428"/>
      <c r="G542" s="405"/>
      <c r="H542" s="406"/>
      <c r="I542" s="406"/>
      <c r="J542" s="393"/>
      <c r="K542" s="424"/>
    </row>
    <row r="543" spans="1:11" ht="18" customHeight="1" x14ac:dyDescent="0.3">
      <c r="A543" s="394" t="s">
        <v>183</v>
      </c>
      <c r="B543" s="395"/>
      <c r="C543" s="324"/>
      <c r="D543" s="325"/>
      <c r="E543" s="325"/>
      <c r="F543" s="326"/>
      <c r="G543" s="430"/>
      <c r="H543" s="431"/>
      <c r="I543" s="431"/>
      <c r="J543" s="400"/>
      <c r="K543" s="429"/>
    </row>
    <row r="544" spans="1:11" ht="14.4" customHeight="1" x14ac:dyDescent="0.3">
      <c r="A544" s="401" t="s">
        <v>971</v>
      </c>
      <c r="B544" s="402"/>
      <c r="C544" s="336"/>
      <c r="D544" s="337"/>
      <c r="E544" s="325"/>
      <c r="F544" s="326"/>
      <c r="G544" s="430"/>
      <c r="H544" s="431"/>
      <c r="I544" s="431"/>
      <c r="J544" s="400"/>
      <c r="K544" s="429"/>
    </row>
    <row r="545" spans="1:11" ht="11.1" customHeight="1" x14ac:dyDescent="0.3">
      <c r="A545" s="360"/>
      <c r="B545" s="360"/>
      <c r="C545" s="361"/>
      <c r="D545" s="362"/>
      <c r="E545" s="362"/>
      <c r="F545" s="362"/>
      <c r="G545" s="363"/>
      <c r="H545" s="364"/>
      <c r="I545" s="364"/>
      <c r="J545" s="365"/>
      <c r="K545" s="419"/>
    </row>
    <row r="546" spans="1:11" ht="11.1" customHeight="1" x14ac:dyDescent="0.3">
      <c r="A546" s="346"/>
      <c r="B546" s="346"/>
      <c r="C546" s="347"/>
      <c r="D546" s="348"/>
      <c r="E546" s="348"/>
      <c r="F546" s="348"/>
      <c r="G546" s="405"/>
      <c r="H546" s="406"/>
      <c r="I546" s="406"/>
      <c r="J546" s="407"/>
      <c r="K546" s="419"/>
    </row>
    <row r="547" spans="1:11" ht="11.1" customHeight="1" x14ac:dyDescent="0.3">
      <c r="A547" s="408"/>
      <c r="B547" s="408"/>
      <c r="C547" s="409"/>
      <c r="D547" s="410"/>
      <c r="E547" s="410"/>
      <c r="F547" s="353"/>
      <c r="G547" s="354" t="s">
        <v>116</v>
      </c>
      <c r="H547" s="355" t="s">
        <v>25</v>
      </c>
      <c r="I547" s="355" t="s">
        <v>26</v>
      </c>
      <c r="J547" s="356" t="s">
        <v>117</v>
      </c>
      <c r="K547" s="432"/>
    </row>
    <row r="548" spans="1:11" ht="11.1" customHeight="1" x14ac:dyDescent="0.3">
      <c r="A548" s="408"/>
      <c r="B548" s="408"/>
      <c r="C548" s="411"/>
      <c r="D548" s="410"/>
      <c r="E548" s="410"/>
      <c r="F548" s="353"/>
      <c r="G548" s="358" t="s">
        <v>29</v>
      </c>
      <c r="H548" s="355" t="s">
        <v>27</v>
      </c>
      <c r="I548" s="355" t="s">
        <v>28</v>
      </c>
      <c r="J548" s="356" t="s">
        <v>118</v>
      </c>
      <c r="K548" s="432"/>
    </row>
    <row r="549" spans="1:11" ht="11.1" customHeight="1" x14ac:dyDescent="0.3">
      <c r="A549" s="408"/>
      <c r="B549" s="408"/>
      <c r="C549" s="411"/>
      <c r="D549" s="410"/>
      <c r="E549" s="410"/>
      <c r="F549" s="353"/>
      <c r="G549" s="354" t="s">
        <v>31</v>
      </c>
      <c r="H549" s="355" t="s">
        <v>29</v>
      </c>
      <c r="I549" s="355" t="s">
        <v>30</v>
      </c>
      <c r="J549" s="356" t="s">
        <v>119</v>
      </c>
      <c r="K549" s="432"/>
    </row>
    <row r="550" spans="1:11" ht="11.1" customHeight="1" x14ac:dyDescent="0.3">
      <c r="A550" s="408"/>
      <c r="B550" s="408"/>
      <c r="C550" s="411"/>
      <c r="D550" s="410"/>
      <c r="E550" s="410"/>
      <c r="F550" s="353"/>
      <c r="G550" s="358" t="s">
        <v>32</v>
      </c>
      <c r="H550" s="355" t="s">
        <v>33</v>
      </c>
      <c r="I550" s="355" t="s">
        <v>120</v>
      </c>
      <c r="J550" s="356" t="s">
        <v>121</v>
      </c>
      <c r="K550" s="432"/>
    </row>
    <row r="551" spans="1:11" ht="11.1" customHeight="1" x14ac:dyDescent="0.3">
      <c r="A551" s="360"/>
      <c r="B551" s="360"/>
      <c r="C551" s="361"/>
      <c r="D551" s="362"/>
      <c r="E551" s="362"/>
      <c r="F551" s="362"/>
      <c r="G551" s="363"/>
      <c r="H551" s="364"/>
      <c r="I551" s="364"/>
      <c r="J551" s="365"/>
      <c r="K551" s="419"/>
    </row>
    <row r="552" spans="1:11" ht="11.1" customHeight="1" x14ac:dyDescent="0.3">
      <c r="A552" s="433"/>
      <c r="B552" s="346"/>
      <c r="C552" s="434"/>
      <c r="D552" s="405"/>
      <c r="E552" s="405"/>
      <c r="F552" s="348"/>
      <c r="G552" s="405"/>
      <c r="H552" s="406"/>
      <c r="I552" s="406"/>
      <c r="J552" s="407"/>
      <c r="K552" s="419"/>
    </row>
    <row r="553" spans="1:11" ht="11.1" customHeight="1" x14ac:dyDescent="0.3">
      <c r="A553" s="375" t="s">
        <v>123</v>
      </c>
      <c r="B553" s="412"/>
      <c r="C553" s="413"/>
      <c r="D553" s="414"/>
      <c r="E553" s="414"/>
      <c r="F553" s="415" t="s">
        <v>973</v>
      </c>
      <c r="G553" s="405"/>
      <c r="H553" s="406"/>
      <c r="I553" s="406"/>
      <c r="J553" s="407"/>
      <c r="K553" s="419"/>
    </row>
    <row r="555" spans="1:11" ht="11.1" customHeight="1" x14ac:dyDescent="0.3">
      <c r="A555" s="376">
        <v>9</v>
      </c>
      <c r="B555" s="376" t="s">
        <v>636</v>
      </c>
      <c r="C555" s="376"/>
      <c r="D555" s="376"/>
      <c r="E555" s="376"/>
      <c r="F555" s="376"/>
      <c r="G555" s="377"/>
      <c r="H555" s="420"/>
      <c r="I555" s="420"/>
      <c r="J555" s="421"/>
      <c r="K555" s="376"/>
    </row>
    <row r="556" spans="1:11" ht="11.1" customHeight="1" x14ac:dyDescent="0.3">
      <c r="A556" s="380"/>
      <c r="B556" s="380"/>
      <c r="C556" s="380"/>
      <c r="D556" s="380"/>
      <c r="E556" s="380"/>
      <c r="F556" s="380"/>
      <c r="G556" s="381"/>
      <c r="H556" s="388"/>
      <c r="I556" s="388"/>
      <c r="J556" s="389"/>
      <c r="K556" s="380"/>
    </row>
    <row r="557" spans="1:11" ht="11.1" customHeight="1" x14ac:dyDescent="0.3">
      <c r="A557" s="380">
        <v>9.4</v>
      </c>
      <c r="B557" s="380" t="s">
        <v>637</v>
      </c>
      <c r="C557" s="380"/>
      <c r="D557" s="380"/>
      <c r="E557" s="380"/>
      <c r="F557" s="380"/>
      <c r="G557" s="381" t="s">
        <v>1240</v>
      </c>
      <c r="H557" s="382">
        <v>510</v>
      </c>
      <c r="I557" s="382" t="s">
        <v>1241</v>
      </c>
      <c r="J557" s="383">
        <v>2.4</v>
      </c>
      <c r="K557" s="380"/>
    </row>
    <row r="558" spans="1:11" ht="11.1" customHeight="1" x14ac:dyDescent="0.3">
      <c r="A558" s="380"/>
      <c r="B558" s="380" t="s">
        <v>638</v>
      </c>
      <c r="C558" s="380" t="s">
        <v>639</v>
      </c>
      <c r="D558" s="380"/>
      <c r="E558" s="380"/>
      <c r="F558" s="380"/>
      <c r="G558" s="381" t="s">
        <v>1007</v>
      </c>
      <c r="H558" s="382">
        <v>184</v>
      </c>
      <c r="I558" s="382" t="s">
        <v>1242</v>
      </c>
      <c r="J558" s="383">
        <v>4.8</v>
      </c>
      <c r="K558" s="380"/>
    </row>
    <row r="559" spans="1:11" ht="11.1" customHeight="1" x14ac:dyDescent="0.3">
      <c r="A559" s="380"/>
      <c r="B559" s="380"/>
      <c r="C559" s="380" t="s">
        <v>640</v>
      </c>
      <c r="D559" s="380" t="s">
        <v>641</v>
      </c>
      <c r="E559" s="380"/>
      <c r="F559" s="380"/>
      <c r="G559" s="381" t="s">
        <v>979</v>
      </c>
      <c r="H559" s="382">
        <v>14</v>
      </c>
      <c r="I559" s="382" t="s">
        <v>1243</v>
      </c>
      <c r="J559" s="383">
        <v>13.4</v>
      </c>
      <c r="K559" s="380"/>
    </row>
    <row r="560" spans="1:11" ht="11.1" customHeight="1" x14ac:dyDescent="0.3">
      <c r="A560" s="380"/>
      <c r="B560" s="380"/>
      <c r="C560" s="380" t="s">
        <v>642</v>
      </c>
      <c r="D560" s="380" t="s">
        <v>643</v>
      </c>
      <c r="E560" s="380"/>
      <c r="F560" s="380"/>
      <c r="G560" s="381" t="s">
        <v>1020</v>
      </c>
      <c r="H560" s="382">
        <v>42</v>
      </c>
      <c r="I560" s="382" t="s">
        <v>1168</v>
      </c>
      <c r="J560" s="383">
        <v>6.4</v>
      </c>
      <c r="K560" s="380"/>
    </row>
    <row r="561" spans="1:11" ht="11.1" customHeight="1" x14ac:dyDescent="0.3">
      <c r="A561" s="380"/>
      <c r="B561" s="380"/>
      <c r="C561" s="380" t="s">
        <v>644</v>
      </c>
      <c r="D561" s="380" t="s">
        <v>645</v>
      </c>
      <c r="E561" s="380"/>
      <c r="F561" s="380"/>
      <c r="G561" s="381" t="s">
        <v>1134</v>
      </c>
      <c r="H561" s="382">
        <v>69</v>
      </c>
      <c r="I561" s="382" t="s">
        <v>1244</v>
      </c>
      <c r="J561" s="383">
        <v>5.8</v>
      </c>
      <c r="K561" s="380"/>
    </row>
    <row r="562" spans="1:11" ht="11.1" customHeight="1" x14ac:dyDescent="0.3">
      <c r="A562" s="380"/>
      <c r="B562" s="380"/>
      <c r="C562" s="380" t="s">
        <v>646</v>
      </c>
      <c r="D562" s="380" t="s">
        <v>647</v>
      </c>
      <c r="E562" s="380"/>
      <c r="F562" s="380"/>
      <c r="G562" s="381" t="s">
        <v>994</v>
      </c>
      <c r="H562" s="382">
        <v>57</v>
      </c>
      <c r="I562" s="382" t="s">
        <v>1211</v>
      </c>
      <c r="J562" s="383">
        <v>11.2</v>
      </c>
      <c r="K562" s="380"/>
    </row>
    <row r="563" spans="1:11" ht="11.1" customHeight="1" x14ac:dyDescent="0.3">
      <c r="A563" s="380"/>
      <c r="B563" s="380"/>
      <c r="C563" s="380" t="s">
        <v>648</v>
      </c>
      <c r="D563" s="380" t="s">
        <v>649</v>
      </c>
      <c r="E563" s="380"/>
      <c r="F563" s="380"/>
      <c r="G563" s="381" t="s">
        <v>1005</v>
      </c>
      <c r="H563" s="382">
        <v>2</v>
      </c>
      <c r="I563" s="382" t="s">
        <v>1010</v>
      </c>
      <c r="J563" s="383">
        <v>22.4</v>
      </c>
      <c r="K563" s="380"/>
    </row>
    <row r="564" spans="1:11" ht="11.1" customHeight="1" x14ac:dyDescent="0.3">
      <c r="A564" s="380"/>
      <c r="B564" s="380"/>
      <c r="C564" s="380"/>
      <c r="D564" s="380"/>
      <c r="E564" s="380"/>
      <c r="F564" s="380"/>
      <c r="G564" s="381"/>
      <c r="H564" s="388"/>
      <c r="I564" s="388"/>
      <c r="J564" s="389"/>
      <c r="K564" s="380"/>
    </row>
    <row r="565" spans="1:11" ht="11.1" customHeight="1" x14ac:dyDescent="0.3">
      <c r="A565" s="380"/>
      <c r="B565" s="380" t="s">
        <v>650</v>
      </c>
      <c r="C565" s="380" t="s">
        <v>651</v>
      </c>
      <c r="D565" s="380"/>
      <c r="E565" s="380"/>
      <c r="F565" s="380"/>
      <c r="G565" s="381" t="s">
        <v>1134</v>
      </c>
      <c r="H565" s="382">
        <v>68</v>
      </c>
      <c r="I565" s="382" t="s">
        <v>1245</v>
      </c>
      <c r="J565" s="383">
        <v>8</v>
      </c>
      <c r="K565" s="380"/>
    </row>
    <row r="566" spans="1:11" ht="11.1" customHeight="1" x14ac:dyDescent="0.3">
      <c r="A566" s="380"/>
      <c r="B566" s="380"/>
      <c r="C566" s="380" t="s">
        <v>652</v>
      </c>
      <c r="D566" s="380" t="s">
        <v>653</v>
      </c>
      <c r="E566" s="380"/>
      <c r="F566" s="380"/>
      <c r="G566" s="381" t="s">
        <v>1052</v>
      </c>
      <c r="H566" s="382">
        <v>10</v>
      </c>
      <c r="I566" s="382" t="s">
        <v>1110</v>
      </c>
      <c r="J566" s="383">
        <v>6.7</v>
      </c>
      <c r="K566" s="380"/>
    </row>
    <row r="567" spans="1:11" ht="11.1" customHeight="1" x14ac:dyDescent="0.3">
      <c r="A567" s="380"/>
      <c r="B567" s="380"/>
      <c r="C567" s="380" t="s">
        <v>654</v>
      </c>
      <c r="D567" s="380" t="s">
        <v>655</v>
      </c>
      <c r="E567" s="380"/>
      <c r="F567" s="380"/>
      <c r="G567" s="381" t="s">
        <v>1020</v>
      </c>
      <c r="H567" s="382">
        <v>43</v>
      </c>
      <c r="I567" s="382" t="s">
        <v>1246</v>
      </c>
      <c r="J567" s="383">
        <v>6.8</v>
      </c>
      <c r="K567" s="380"/>
    </row>
    <row r="568" spans="1:11" ht="11.1" customHeight="1" x14ac:dyDescent="0.3">
      <c r="A568" s="380"/>
      <c r="B568" s="380"/>
      <c r="C568" s="380" t="s">
        <v>656</v>
      </c>
      <c r="D568" s="380" t="s">
        <v>657</v>
      </c>
      <c r="E568" s="380"/>
      <c r="F568" s="380"/>
      <c r="G568" s="381" t="s">
        <v>979</v>
      </c>
      <c r="H568" s="382">
        <v>15</v>
      </c>
      <c r="I568" s="382" t="s">
        <v>1216</v>
      </c>
      <c r="J568" s="383">
        <v>30.2</v>
      </c>
      <c r="K568" s="380"/>
    </row>
    <row r="569" spans="1:11" ht="11.1" customHeight="1" x14ac:dyDescent="0.3">
      <c r="A569" s="380"/>
      <c r="B569" s="380"/>
      <c r="C569" s="380"/>
      <c r="D569" s="380"/>
      <c r="E569" s="380"/>
      <c r="F569" s="380"/>
      <c r="G569" s="381"/>
      <c r="H569" s="388"/>
      <c r="I569" s="388"/>
      <c r="J569" s="389"/>
      <c r="K569" s="380"/>
    </row>
    <row r="570" spans="1:11" ht="11.1" customHeight="1" x14ac:dyDescent="0.3">
      <c r="A570" s="380"/>
      <c r="B570" s="380" t="s">
        <v>658</v>
      </c>
      <c r="C570" s="380" t="s">
        <v>659</v>
      </c>
      <c r="D570" s="380"/>
      <c r="E570" s="380"/>
      <c r="F570" s="380"/>
      <c r="G570" s="381" t="s">
        <v>977</v>
      </c>
      <c r="H570" s="382">
        <v>176</v>
      </c>
      <c r="I570" s="382" t="s">
        <v>1247</v>
      </c>
      <c r="J570" s="383">
        <v>1.2</v>
      </c>
      <c r="K570" s="380"/>
    </row>
    <row r="571" spans="1:11" ht="11.1" customHeight="1" x14ac:dyDescent="0.3">
      <c r="A571" s="380"/>
      <c r="B571" s="380"/>
      <c r="C571" s="380" t="s">
        <v>660</v>
      </c>
      <c r="D571" s="380" t="s">
        <v>661</v>
      </c>
      <c r="E571" s="380"/>
      <c r="F571" s="380"/>
      <c r="G571" s="381" t="s">
        <v>1024</v>
      </c>
      <c r="H571" s="382">
        <v>74</v>
      </c>
      <c r="I571" s="382" t="s">
        <v>1248</v>
      </c>
      <c r="J571" s="383">
        <v>0.6</v>
      </c>
      <c r="K571" s="380"/>
    </row>
    <row r="572" spans="1:11" ht="11.1" customHeight="1" x14ac:dyDescent="0.3">
      <c r="A572" s="380"/>
      <c r="B572" s="380"/>
      <c r="C572" s="380" t="s">
        <v>662</v>
      </c>
      <c r="D572" s="380" t="s">
        <v>1249</v>
      </c>
      <c r="E572" s="380"/>
      <c r="F572" s="380"/>
      <c r="G572" s="381" t="s">
        <v>1015</v>
      </c>
      <c r="H572" s="382">
        <v>41</v>
      </c>
      <c r="I572" s="382" t="s">
        <v>1250</v>
      </c>
      <c r="J572" s="383">
        <v>4</v>
      </c>
      <c r="K572" s="380"/>
    </row>
    <row r="573" spans="1:11" ht="11.1" customHeight="1" x14ac:dyDescent="0.3">
      <c r="A573" s="380"/>
      <c r="B573" s="380"/>
      <c r="C573" s="380" t="s">
        <v>664</v>
      </c>
      <c r="D573" s="380" t="s">
        <v>1251</v>
      </c>
      <c r="E573" s="380"/>
      <c r="F573" s="380"/>
      <c r="G573" s="381" t="s">
        <v>230</v>
      </c>
      <c r="H573" s="382" t="s">
        <v>230</v>
      </c>
      <c r="I573" s="382" t="s">
        <v>230</v>
      </c>
      <c r="J573" s="383" t="s">
        <v>230</v>
      </c>
      <c r="K573" s="380"/>
    </row>
    <row r="574" spans="1:11" ht="11.1" customHeight="1" x14ac:dyDescent="0.3">
      <c r="A574" s="380"/>
      <c r="B574" s="380"/>
      <c r="C574" s="380" t="s">
        <v>666</v>
      </c>
      <c r="D574" s="380" t="s">
        <v>1252</v>
      </c>
      <c r="E574" s="380"/>
      <c r="F574" s="380"/>
      <c r="G574" s="381" t="s">
        <v>1022</v>
      </c>
      <c r="H574" s="382">
        <v>6</v>
      </c>
      <c r="I574" s="382" t="s">
        <v>1107</v>
      </c>
      <c r="J574" s="383">
        <v>8.1</v>
      </c>
      <c r="K574" s="380"/>
    </row>
    <row r="575" spans="1:11" ht="11.1" customHeight="1" x14ac:dyDescent="0.3">
      <c r="A575" s="380"/>
      <c r="B575" s="380"/>
      <c r="C575" s="380" t="s">
        <v>668</v>
      </c>
      <c r="D575" s="380" t="s">
        <v>669</v>
      </c>
      <c r="E575" s="380"/>
      <c r="F575" s="380"/>
      <c r="G575" s="381" t="s">
        <v>230</v>
      </c>
      <c r="H575" s="382" t="s">
        <v>230</v>
      </c>
      <c r="I575" s="382" t="s">
        <v>230</v>
      </c>
      <c r="J575" s="383" t="s">
        <v>230</v>
      </c>
      <c r="K575" s="380"/>
    </row>
    <row r="576" spans="1:11" ht="11.1" customHeight="1" x14ac:dyDescent="0.3">
      <c r="A576" s="380"/>
      <c r="B576" s="380"/>
      <c r="C576" s="380" t="s">
        <v>670</v>
      </c>
      <c r="D576" s="380" t="s">
        <v>671</v>
      </c>
      <c r="E576" s="380"/>
      <c r="F576" s="380"/>
      <c r="G576" s="381" t="s">
        <v>990</v>
      </c>
      <c r="H576" s="382">
        <v>54</v>
      </c>
      <c r="I576" s="382" t="s">
        <v>1253</v>
      </c>
      <c r="J576" s="383">
        <v>2.2000000000000002</v>
      </c>
      <c r="K576" s="380"/>
    </row>
    <row r="577" spans="1:11" ht="11.1" customHeight="1" x14ac:dyDescent="0.3">
      <c r="A577" s="380"/>
      <c r="B577" s="380"/>
      <c r="C577" s="380"/>
      <c r="D577" s="380"/>
      <c r="E577" s="380"/>
      <c r="F577" s="380"/>
      <c r="G577" s="381"/>
      <c r="H577" s="388"/>
      <c r="I577" s="388"/>
      <c r="J577" s="389"/>
      <c r="K577" s="380"/>
    </row>
    <row r="578" spans="1:11" ht="11.1" customHeight="1" x14ac:dyDescent="0.3">
      <c r="A578" s="380"/>
      <c r="B578" s="380" t="s">
        <v>672</v>
      </c>
      <c r="C578" s="380" t="s">
        <v>673</v>
      </c>
      <c r="D578" s="380"/>
      <c r="E578" s="380"/>
      <c r="F578" s="380"/>
      <c r="G578" s="381" t="s">
        <v>1020</v>
      </c>
      <c r="H578" s="382">
        <v>42</v>
      </c>
      <c r="I578" s="382" t="s">
        <v>1084</v>
      </c>
      <c r="J578" s="383">
        <v>6.8</v>
      </c>
      <c r="K578" s="380"/>
    </row>
    <row r="579" spans="1:11" ht="11.1" customHeight="1" x14ac:dyDescent="0.3">
      <c r="A579" s="380"/>
      <c r="B579" s="380"/>
      <c r="C579" s="380" t="s">
        <v>674</v>
      </c>
      <c r="D579" s="380" t="s">
        <v>675</v>
      </c>
      <c r="E579" s="380"/>
      <c r="F579" s="380"/>
      <c r="G579" s="381" t="s">
        <v>985</v>
      </c>
      <c r="H579" s="382">
        <v>17</v>
      </c>
      <c r="I579" s="382" t="s">
        <v>1056</v>
      </c>
      <c r="J579" s="383">
        <v>8.1999999999999993</v>
      </c>
      <c r="K579" s="380"/>
    </row>
    <row r="580" spans="1:11" ht="11.1" customHeight="1" x14ac:dyDescent="0.3">
      <c r="A580" s="380"/>
      <c r="B580" s="380"/>
      <c r="C580" s="380" t="s">
        <v>676</v>
      </c>
      <c r="D580" s="380" t="s">
        <v>677</v>
      </c>
      <c r="E580" s="380"/>
      <c r="F580" s="380"/>
      <c r="G580" s="381" t="s">
        <v>1064</v>
      </c>
      <c r="H580" s="382">
        <v>10</v>
      </c>
      <c r="I580" s="382" t="s">
        <v>1111</v>
      </c>
      <c r="J580" s="383">
        <v>13.5</v>
      </c>
      <c r="K580" s="380"/>
    </row>
    <row r="581" spans="1:11" ht="11.1" customHeight="1" x14ac:dyDescent="0.3">
      <c r="A581" s="380"/>
      <c r="B581" s="380"/>
      <c r="C581" s="380" t="s">
        <v>678</v>
      </c>
      <c r="D581" s="380" t="s">
        <v>679</v>
      </c>
      <c r="E581" s="380"/>
      <c r="F581" s="380"/>
      <c r="G581" s="381" t="s">
        <v>979</v>
      </c>
      <c r="H581" s="382">
        <v>16</v>
      </c>
      <c r="I581" s="382" t="s">
        <v>1168</v>
      </c>
      <c r="J581" s="383">
        <v>14.7</v>
      </c>
      <c r="K581" s="380"/>
    </row>
    <row r="582" spans="1:11" ht="11.1" customHeight="1" x14ac:dyDescent="0.3">
      <c r="A582" s="380"/>
      <c r="B582" s="380"/>
      <c r="C582" s="380"/>
      <c r="D582" s="380"/>
      <c r="E582" s="380"/>
      <c r="F582" s="380"/>
      <c r="G582" s="381"/>
      <c r="H582" s="388"/>
      <c r="I582" s="388"/>
      <c r="J582" s="389"/>
      <c r="K582" s="380"/>
    </row>
    <row r="583" spans="1:11" ht="11.1" customHeight="1" x14ac:dyDescent="0.3">
      <c r="A583" s="380"/>
      <c r="B583" s="380" t="s">
        <v>680</v>
      </c>
      <c r="C583" s="380" t="s">
        <v>681</v>
      </c>
      <c r="D583" s="380"/>
      <c r="E583" s="380"/>
      <c r="F583" s="380"/>
      <c r="G583" s="381"/>
      <c r="H583" s="388"/>
      <c r="I583" s="388"/>
      <c r="J583" s="389"/>
      <c r="K583" s="380"/>
    </row>
    <row r="584" spans="1:11" ht="11.1" customHeight="1" x14ac:dyDescent="0.3">
      <c r="A584" s="380"/>
      <c r="B584" s="380"/>
      <c r="C584" s="380" t="s">
        <v>682</v>
      </c>
      <c r="D584" s="380"/>
      <c r="E584" s="380"/>
      <c r="F584" s="380"/>
      <c r="G584" s="381" t="s">
        <v>1022</v>
      </c>
      <c r="H584" s="382">
        <v>5</v>
      </c>
      <c r="I584" s="382" t="s">
        <v>1088</v>
      </c>
      <c r="J584" s="383">
        <v>56.2</v>
      </c>
      <c r="K584" s="380"/>
    </row>
    <row r="585" spans="1:11" ht="11.1" customHeight="1" x14ac:dyDescent="0.3">
      <c r="A585" s="380"/>
      <c r="B585" s="380"/>
      <c r="C585" s="380"/>
      <c r="D585" s="380"/>
      <c r="E585" s="380"/>
      <c r="F585" s="380"/>
      <c r="G585" s="381"/>
      <c r="H585" s="388"/>
      <c r="I585" s="388"/>
      <c r="J585" s="389"/>
      <c r="K585" s="380"/>
    </row>
    <row r="586" spans="1:11" ht="11.1" customHeight="1" x14ac:dyDescent="0.3">
      <c r="A586" s="380"/>
      <c r="B586" s="380" t="s">
        <v>683</v>
      </c>
      <c r="C586" s="380" t="s">
        <v>684</v>
      </c>
      <c r="D586" s="380"/>
      <c r="E586" s="380"/>
      <c r="F586" s="380"/>
      <c r="G586" s="381" t="s">
        <v>1074</v>
      </c>
      <c r="H586" s="382">
        <v>35</v>
      </c>
      <c r="I586" s="382" t="s">
        <v>1014</v>
      </c>
      <c r="J586" s="383">
        <v>4.7</v>
      </c>
      <c r="K586" s="380"/>
    </row>
    <row r="587" spans="1:11" ht="11.1" customHeight="1" x14ac:dyDescent="0.3">
      <c r="A587" s="380"/>
      <c r="B587" s="380"/>
      <c r="C587" s="380" t="s">
        <v>685</v>
      </c>
      <c r="D587" s="380" t="s">
        <v>686</v>
      </c>
      <c r="E587" s="380"/>
      <c r="F587" s="380"/>
      <c r="G587" s="381" t="s">
        <v>230</v>
      </c>
      <c r="H587" s="382" t="s">
        <v>230</v>
      </c>
      <c r="I587" s="382" t="s">
        <v>230</v>
      </c>
      <c r="J587" s="383" t="s">
        <v>230</v>
      </c>
      <c r="K587" s="380"/>
    </row>
    <row r="588" spans="1:11" ht="11.1" customHeight="1" x14ac:dyDescent="0.3">
      <c r="A588" s="380"/>
      <c r="B588" s="380"/>
      <c r="C588" s="380" t="s">
        <v>687</v>
      </c>
      <c r="D588" s="380" t="s">
        <v>688</v>
      </c>
      <c r="E588" s="380"/>
      <c r="F588" s="380"/>
      <c r="G588" s="381" t="s">
        <v>1190</v>
      </c>
      <c r="H588" s="382" t="s">
        <v>1230</v>
      </c>
      <c r="I588" s="382" t="s">
        <v>1010</v>
      </c>
      <c r="J588" s="383">
        <v>26.8</v>
      </c>
      <c r="K588" s="380"/>
    </row>
    <row r="589" spans="1:11" ht="11.1" customHeight="1" x14ac:dyDescent="0.3">
      <c r="A589" s="380"/>
      <c r="B589" s="380"/>
      <c r="C589" s="380" t="s">
        <v>689</v>
      </c>
      <c r="D589" s="380" t="s">
        <v>690</v>
      </c>
      <c r="E589" s="380"/>
      <c r="F589" s="380"/>
      <c r="G589" s="381" t="s">
        <v>999</v>
      </c>
      <c r="H589" s="382">
        <v>26</v>
      </c>
      <c r="I589" s="382" t="s">
        <v>1254</v>
      </c>
      <c r="J589" s="383">
        <v>5.0999999999999996</v>
      </c>
      <c r="K589" s="380"/>
    </row>
    <row r="590" spans="1:11" ht="11.1" customHeight="1" x14ac:dyDescent="0.3">
      <c r="A590" s="380"/>
      <c r="B590" s="380"/>
      <c r="C590" s="380" t="s">
        <v>691</v>
      </c>
      <c r="D590" s="380" t="s">
        <v>692</v>
      </c>
      <c r="E590" s="380"/>
      <c r="F590" s="380"/>
      <c r="G590" s="381" t="s">
        <v>1022</v>
      </c>
      <c r="H590" s="382">
        <v>6</v>
      </c>
      <c r="I590" s="382" t="s">
        <v>1255</v>
      </c>
      <c r="J590" s="383">
        <v>12.1</v>
      </c>
      <c r="K590" s="380"/>
    </row>
    <row r="591" spans="1:11" ht="11.1" customHeight="1" x14ac:dyDescent="0.3">
      <c r="A591" s="380"/>
      <c r="B591" s="380"/>
      <c r="C591" s="380"/>
      <c r="D591" s="380"/>
      <c r="E591" s="380"/>
      <c r="F591" s="380"/>
      <c r="G591" s="381"/>
      <c r="H591" s="388"/>
      <c r="I591" s="388"/>
      <c r="J591" s="389"/>
      <c r="K591" s="380"/>
    </row>
    <row r="592" spans="1:11" ht="11.1" customHeight="1" x14ac:dyDescent="0.3">
      <c r="A592" s="380">
        <v>9.5</v>
      </c>
      <c r="B592" s="380" t="s">
        <v>693</v>
      </c>
      <c r="C592" s="380"/>
      <c r="D592" s="380"/>
      <c r="E592" s="380"/>
      <c r="F592" s="380"/>
      <c r="G592" s="381" t="s">
        <v>1256</v>
      </c>
      <c r="H592" s="382">
        <v>111</v>
      </c>
      <c r="I592" s="382" t="s">
        <v>1257</v>
      </c>
      <c r="J592" s="383">
        <v>3</v>
      </c>
      <c r="K592" s="380"/>
    </row>
    <row r="593" spans="1:11" ht="11.1" customHeight="1" x14ac:dyDescent="0.3">
      <c r="A593" s="380"/>
      <c r="B593" s="380" t="s">
        <v>694</v>
      </c>
      <c r="C593" s="380" t="s">
        <v>695</v>
      </c>
      <c r="D593" s="380"/>
      <c r="E593" s="380"/>
      <c r="F593" s="380"/>
      <c r="G593" s="381" t="s">
        <v>1003</v>
      </c>
      <c r="H593" s="382">
        <v>27</v>
      </c>
      <c r="I593" s="382" t="s">
        <v>1042</v>
      </c>
      <c r="J593" s="383">
        <v>6.3</v>
      </c>
      <c r="K593" s="380"/>
    </row>
    <row r="594" spans="1:11" ht="11.1" customHeight="1" x14ac:dyDescent="0.3">
      <c r="A594" s="380"/>
      <c r="B594" s="380" t="s">
        <v>696</v>
      </c>
      <c r="C594" s="380" t="s">
        <v>697</v>
      </c>
      <c r="D594" s="380"/>
      <c r="E594" s="380"/>
      <c r="F594" s="380"/>
      <c r="G594" s="381" t="s">
        <v>1105</v>
      </c>
      <c r="H594" s="382">
        <v>22</v>
      </c>
      <c r="I594" s="382" t="s">
        <v>1258</v>
      </c>
      <c r="J594" s="383">
        <v>6.6</v>
      </c>
      <c r="K594" s="380"/>
    </row>
    <row r="595" spans="1:11" ht="11.1" customHeight="1" x14ac:dyDescent="0.3">
      <c r="A595" s="380"/>
      <c r="B595" s="380" t="s">
        <v>698</v>
      </c>
      <c r="C595" s="380" t="s">
        <v>699</v>
      </c>
      <c r="D595" s="380"/>
      <c r="E595" s="380"/>
      <c r="F595" s="380"/>
      <c r="G595" s="381" t="s">
        <v>999</v>
      </c>
      <c r="H595" s="382">
        <v>27</v>
      </c>
      <c r="I595" s="382" t="s">
        <v>1259</v>
      </c>
      <c r="J595" s="383">
        <v>4.5</v>
      </c>
      <c r="K595" s="380"/>
    </row>
    <row r="596" spans="1:11" ht="11.1" customHeight="1" x14ac:dyDescent="0.3">
      <c r="A596" s="380"/>
      <c r="B596" s="380" t="s">
        <v>700</v>
      </c>
      <c r="C596" s="380" t="s">
        <v>701</v>
      </c>
      <c r="D596" s="380"/>
      <c r="E596" s="380"/>
      <c r="F596" s="380"/>
      <c r="G596" s="381" t="s">
        <v>1105</v>
      </c>
      <c r="H596" s="382">
        <v>23</v>
      </c>
      <c r="I596" s="382" t="s">
        <v>1014</v>
      </c>
      <c r="J596" s="383">
        <v>4.5</v>
      </c>
      <c r="K596" s="380"/>
    </row>
    <row r="597" spans="1:11" ht="11.1" customHeight="1" x14ac:dyDescent="0.3">
      <c r="A597" s="380"/>
      <c r="B597" s="380" t="s">
        <v>702</v>
      </c>
      <c r="C597" s="380" t="s">
        <v>703</v>
      </c>
      <c r="D597" s="380"/>
      <c r="E597" s="380"/>
      <c r="F597" s="380"/>
      <c r="G597" s="381" t="s">
        <v>1052</v>
      </c>
      <c r="H597" s="382">
        <v>12</v>
      </c>
      <c r="I597" s="382" t="s">
        <v>1260</v>
      </c>
      <c r="J597" s="383">
        <v>7.1</v>
      </c>
      <c r="K597" s="380"/>
    </row>
    <row r="598" spans="1:11" ht="11.1" customHeight="1" x14ac:dyDescent="0.3">
      <c r="A598" s="380"/>
      <c r="B598" s="380"/>
      <c r="C598" s="380"/>
      <c r="D598" s="380"/>
      <c r="E598" s="380"/>
      <c r="F598" s="380"/>
      <c r="G598" s="381"/>
      <c r="H598" s="388"/>
      <c r="I598" s="388"/>
      <c r="J598" s="389"/>
      <c r="K598" s="380"/>
    </row>
    <row r="599" spans="1:11" ht="11.1" customHeight="1" x14ac:dyDescent="0.3">
      <c r="A599" s="380">
        <v>9.6</v>
      </c>
      <c r="B599" s="380" t="s">
        <v>1261</v>
      </c>
      <c r="C599" s="380"/>
      <c r="D599" s="380"/>
      <c r="E599" s="380"/>
      <c r="F599" s="380"/>
      <c r="G599" s="381" t="s">
        <v>1262</v>
      </c>
      <c r="H599" s="382">
        <v>836</v>
      </c>
      <c r="I599" s="382" t="s">
        <v>1035</v>
      </c>
      <c r="J599" s="383">
        <v>2.6</v>
      </c>
      <c r="K599" s="380"/>
    </row>
    <row r="600" spans="1:11" ht="11.1" customHeight="1" x14ac:dyDescent="0.3">
      <c r="A600" s="380"/>
      <c r="B600" s="380" t="s">
        <v>705</v>
      </c>
      <c r="C600" s="380" t="s">
        <v>706</v>
      </c>
      <c r="D600" s="380"/>
      <c r="E600" s="380"/>
      <c r="F600" s="380"/>
      <c r="G600" s="381" t="s">
        <v>990</v>
      </c>
      <c r="H600" s="382">
        <v>54</v>
      </c>
      <c r="I600" s="382" t="s">
        <v>1107</v>
      </c>
      <c r="J600" s="383">
        <v>9.1999999999999993</v>
      </c>
      <c r="K600" s="380"/>
    </row>
    <row r="601" spans="1:11" ht="11.1" customHeight="1" x14ac:dyDescent="0.3">
      <c r="A601" s="380"/>
      <c r="B601" s="380" t="s">
        <v>707</v>
      </c>
      <c r="C601" s="380" t="s">
        <v>708</v>
      </c>
      <c r="D601" s="380"/>
      <c r="E601" s="380"/>
      <c r="F601" s="380"/>
      <c r="G601" s="381" t="s">
        <v>1263</v>
      </c>
      <c r="H601" s="382">
        <v>782</v>
      </c>
      <c r="I601" s="382" t="s">
        <v>1131</v>
      </c>
      <c r="J601" s="383">
        <v>2.6</v>
      </c>
      <c r="K601" s="380"/>
    </row>
    <row r="602" spans="1:11" ht="11.1" customHeight="1" x14ac:dyDescent="0.3">
      <c r="A602" s="380"/>
      <c r="B602" s="380"/>
      <c r="C602" s="380"/>
      <c r="D602" s="380"/>
      <c r="E602" s="380"/>
      <c r="F602" s="380"/>
      <c r="G602" s="381"/>
      <c r="H602" s="388"/>
      <c r="I602" s="388"/>
      <c r="J602" s="389"/>
      <c r="K602" s="380"/>
    </row>
    <row r="603" spans="1:11" ht="11.1" customHeight="1" x14ac:dyDescent="0.3">
      <c r="A603" s="338"/>
      <c r="B603" s="338"/>
      <c r="C603" s="338"/>
      <c r="D603" s="340"/>
      <c r="E603" s="340"/>
      <c r="F603" s="341"/>
      <c r="G603" s="363"/>
      <c r="H603" s="364"/>
      <c r="I603" s="364"/>
      <c r="J603" s="365"/>
      <c r="K603" s="437"/>
    </row>
    <row r="604" spans="1:11" ht="11.1" customHeight="1" x14ac:dyDescent="0.3">
      <c r="A604" s="376">
        <v>10</v>
      </c>
      <c r="B604" s="376" t="s">
        <v>16</v>
      </c>
      <c r="C604" s="376"/>
      <c r="D604" s="376"/>
      <c r="E604" s="376"/>
      <c r="F604" s="376"/>
      <c r="G604" s="377" t="s">
        <v>1264</v>
      </c>
      <c r="H604" s="378">
        <v>144</v>
      </c>
      <c r="I604" s="378" t="s">
        <v>1023</v>
      </c>
      <c r="J604" s="379">
        <v>24.8</v>
      </c>
      <c r="K604" s="376"/>
    </row>
    <row r="605" spans="1:11" ht="11.1" customHeight="1" x14ac:dyDescent="0.3">
      <c r="A605" s="380"/>
      <c r="B605" s="380"/>
      <c r="C605" s="380"/>
      <c r="D605" s="380"/>
      <c r="E605" s="380"/>
      <c r="F605" s="380"/>
      <c r="G605" s="381"/>
      <c r="H605" s="388"/>
      <c r="I605" s="388"/>
      <c r="J605" s="389"/>
      <c r="K605" s="380"/>
    </row>
    <row r="606" spans="1:11" ht="11.1" customHeight="1" x14ac:dyDescent="0.3">
      <c r="A606" s="380">
        <v>10.1</v>
      </c>
      <c r="B606" s="380" t="s">
        <v>709</v>
      </c>
      <c r="C606" s="380"/>
      <c r="D606" s="380"/>
      <c r="E606" s="380"/>
      <c r="F606" s="380"/>
      <c r="G606" s="381" t="s">
        <v>1265</v>
      </c>
      <c r="H606" s="382">
        <v>136</v>
      </c>
      <c r="I606" s="382" t="s">
        <v>1110</v>
      </c>
      <c r="J606" s="383">
        <v>25.8</v>
      </c>
      <c r="K606" s="380"/>
    </row>
    <row r="607" spans="1:11" ht="11.1" customHeight="1" x14ac:dyDescent="0.3">
      <c r="A607" s="380"/>
      <c r="B607" s="380" t="s">
        <v>710</v>
      </c>
      <c r="C607" s="380" t="s">
        <v>711</v>
      </c>
      <c r="D607" s="380"/>
      <c r="E607" s="380"/>
      <c r="F607" s="380"/>
      <c r="G607" s="381" t="s">
        <v>230</v>
      </c>
      <c r="H607" s="382" t="s">
        <v>230</v>
      </c>
      <c r="I607" s="382" t="s">
        <v>230</v>
      </c>
      <c r="J607" s="383" t="s">
        <v>230</v>
      </c>
      <c r="K607" s="380"/>
    </row>
    <row r="608" spans="1:11" ht="11.1" customHeight="1" x14ac:dyDescent="0.3">
      <c r="A608" s="380"/>
      <c r="B608" s="380" t="s">
        <v>712</v>
      </c>
      <c r="C608" s="380" t="s">
        <v>713</v>
      </c>
      <c r="D608" s="380"/>
      <c r="E608" s="380"/>
      <c r="F608" s="380"/>
      <c r="G608" s="381" t="s">
        <v>230</v>
      </c>
      <c r="H608" s="382" t="s">
        <v>230</v>
      </c>
      <c r="I608" s="382" t="s">
        <v>230</v>
      </c>
      <c r="J608" s="383" t="s">
        <v>230</v>
      </c>
      <c r="K608" s="380"/>
    </row>
    <row r="609" spans="1:11" ht="11.1" customHeight="1" x14ac:dyDescent="0.3">
      <c r="A609" s="380"/>
      <c r="B609" s="380" t="s">
        <v>714</v>
      </c>
      <c r="C609" s="380" t="s">
        <v>715</v>
      </c>
      <c r="D609" s="380"/>
      <c r="E609" s="380"/>
      <c r="F609" s="380"/>
      <c r="G609" s="381" t="s">
        <v>230</v>
      </c>
      <c r="H609" s="382" t="s">
        <v>230</v>
      </c>
      <c r="I609" s="382" t="s">
        <v>230</v>
      </c>
      <c r="J609" s="383" t="s">
        <v>230</v>
      </c>
      <c r="K609" s="380"/>
    </row>
    <row r="610" spans="1:11" ht="11.1" customHeight="1" x14ac:dyDescent="0.3">
      <c r="A610" s="380"/>
      <c r="B610" s="380" t="s">
        <v>716</v>
      </c>
      <c r="C610" s="380" t="s">
        <v>717</v>
      </c>
      <c r="D610" s="380"/>
      <c r="E610" s="380"/>
      <c r="F610" s="380"/>
      <c r="G610" s="381" t="s">
        <v>230</v>
      </c>
      <c r="H610" s="382" t="s">
        <v>230</v>
      </c>
      <c r="I610" s="382" t="s">
        <v>230</v>
      </c>
      <c r="J610" s="383" t="s">
        <v>230</v>
      </c>
      <c r="K610" s="380"/>
    </row>
    <row r="611" spans="1:11" ht="11.1" customHeight="1" x14ac:dyDescent="0.3">
      <c r="A611" s="380"/>
      <c r="B611" s="380" t="s">
        <v>718</v>
      </c>
      <c r="C611" s="380" t="s">
        <v>719</v>
      </c>
      <c r="D611" s="380"/>
      <c r="E611" s="380"/>
      <c r="F611" s="380"/>
      <c r="G611" s="381" t="s">
        <v>230</v>
      </c>
      <c r="H611" s="382" t="s">
        <v>230</v>
      </c>
      <c r="I611" s="382" t="s">
        <v>230</v>
      </c>
      <c r="J611" s="383" t="s">
        <v>230</v>
      </c>
      <c r="K611" s="380"/>
    </row>
    <row r="612" spans="1:11" ht="11.1" customHeight="1" x14ac:dyDescent="0.3">
      <c r="A612" s="380"/>
      <c r="B612" s="380"/>
      <c r="C612" s="380"/>
      <c r="D612" s="380"/>
      <c r="E612" s="380"/>
      <c r="F612" s="380"/>
      <c r="G612" s="381"/>
      <c r="H612" s="388"/>
      <c r="I612" s="388"/>
      <c r="J612" s="389"/>
      <c r="K612" s="380"/>
    </row>
    <row r="613" spans="1:11" ht="11.1" customHeight="1" x14ac:dyDescent="0.3">
      <c r="A613" s="380">
        <v>10.199999999999999</v>
      </c>
      <c r="B613" s="380" t="s">
        <v>720</v>
      </c>
      <c r="C613" s="380"/>
      <c r="D613" s="380"/>
      <c r="E613" s="380"/>
      <c r="F613" s="380"/>
      <c r="G613" s="381" t="s">
        <v>1064</v>
      </c>
      <c r="H613" s="382">
        <v>8</v>
      </c>
      <c r="I613" s="382" t="s">
        <v>1114</v>
      </c>
      <c r="J613" s="383">
        <v>34.200000000000003</v>
      </c>
      <c r="K613" s="380"/>
    </row>
    <row r="614" spans="1:11" ht="11.1" customHeight="1" x14ac:dyDescent="0.3">
      <c r="A614" s="380"/>
      <c r="B614" s="380" t="s">
        <v>721</v>
      </c>
      <c r="C614" s="380" t="s">
        <v>711</v>
      </c>
      <c r="D614" s="380"/>
      <c r="E614" s="380"/>
      <c r="F614" s="380"/>
      <c r="G614" s="381" t="s">
        <v>230</v>
      </c>
      <c r="H614" s="382" t="s">
        <v>230</v>
      </c>
      <c r="I614" s="382" t="s">
        <v>230</v>
      </c>
      <c r="J614" s="383" t="s">
        <v>230</v>
      </c>
      <c r="K614" s="380"/>
    </row>
    <row r="615" spans="1:11" ht="11.1" customHeight="1" x14ac:dyDescent="0.3">
      <c r="A615" s="380"/>
      <c r="B615" s="380" t="s">
        <v>722</v>
      </c>
      <c r="C615" s="380" t="s">
        <v>713</v>
      </c>
      <c r="D615" s="380"/>
      <c r="E615" s="380"/>
      <c r="F615" s="380"/>
      <c r="G615" s="381" t="s">
        <v>230</v>
      </c>
      <c r="H615" s="382" t="s">
        <v>230</v>
      </c>
      <c r="I615" s="382" t="s">
        <v>230</v>
      </c>
      <c r="J615" s="383" t="s">
        <v>230</v>
      </c>
      <c r="K615" s="380"/>
    </row>
    <row r="616" spans="1:11" ht="11.1" customHeight="1" x14ac:dyDescent="0.3">
      <c r="A616" s="380"/>
      <c r="B616" s="380" t="s">
        <v>723</v>
      </c>
      <c r="C616" s="380" t="s">
        <v>715</v>
      </c>
      <c r="D616" s="380"/>
      <c r="E616" s="380"/>
      <c r="F616" s="380"/>
      <c r="G616" s="381" t="s">
        <v>230</v>
      </c>
      <c r="H616" s="382" t="s">
        <v>230</v>
      </c>
      <c r="I616" s="382" t="s">
        <v>230</v>
      </c>
      <c r="J616" s="383" t="s">
        <v>230</v>
      </c>
      <c r="K616" s="380"/>
    </row>
    <row r="617" spans="1:11" ht="11.1" customHeight="1" x14ac:dyDescent="0.3">
      <c r="A617" s="380"/>
      <c r="B617" s="380" t="s">
        <v>724</v>
      </c>
      <c r="C617" s="380" t="s">
        <v>717</v>
      </c>
      <c r="D617" s="380"/>
      <c r="E617" s="380"/>
      <c r="F617" s="380"/>
      <c r="G617" s="381" t="s">
        <v>230</v>
      </c>
      <c r="H617" s="382" t="s">
        <v>230</v>
      </c>
      <c r="I617" s="382" t="s">
        <v>230</v>
      </c>
      <c r="J617" s="383" t="s">
        <v>230</v>
      </c>
      <c r="K617" s="380"/>
    </row>
    <row r="618" spans="1:11" ht="11.1" customHeight="1" x14ac:dyDescent="0.3">
      <c r="A618" s="380"/>
      <c r="B618" s="380" t="s">
        <v>725</v>
      </c>
      <c r="C618" s="380" t="s">
        <v>719</v>
      </c>
      <c r="D618" s="380"/>
      <c r="E618" s="380"/>
      <c r="F618" s="380"/>
      <c r="G618" s="381" t="s">
        <v>230</v>
      </c>
      <c r="H618" s="382" t="s">
        <v>230</v>
      </c>
      <c r="I618" s="382" t="s">
        <v>230</v>
      </c>
      <c r="J618" s="383" t="s">
        <v>230</v>
      </c>
      <c r="K618" s="380"/>
    </row>
    <row r="619" spans="1:11" ht="11.1" customHeight="1" x14ac:dyDescent="0.3">
      <c r="A619" s="338"/>
      <c r="B619" s="338"/>
      <c r="C619" s="338"/>
      <c r="D619" s="340"/>
      <c r="E619" s="340"/>
      <c r="F619" s="341"/>
      <c r="G619" s="363"/>
      <c r="H619" s="364"/>
      <c r="I619" s="364"/>
      <c r="J619" s="365"/>
      <c r="K619" s="437"/>
    </row>
    <row r="620" spans="1:11" ht="11.1" customHeight="1" x14ac:dyDescent="0.3">
      <c r="A620" s="380"/>
      <c r="B620" s="380"/>
      <c r="C620" s="380"/>
      <c r="D620" s="380"/>
      <c r="E620" s="380"/>
      <c r="F620" s="380"/>
      <c r="G620" s="381"/>
      <c r="H620" s="388"/>
      <c r="I620" s="388"/>
      <c r="J620" s="389"/>
      <c r="K620" s="380"/>
    </row>
    <row r="621" spans="1:11" ht="11.1" customHeight="1" x14ac:dyDescent="0.3">
      <c r="A621" s="157" t="s">
        <v>111</v>
      </c>
      <c r="B621" s="380"/>
      <c r="C621" s="380"/>
      <c r="D621" s="380"/>
      <c r="E621" s="380"/>
      <c r="F621" s="380"/>
      <c r="G621" s="381"/>
      <c r="H621" s="388"/>
      <c r="I621" s="388"/>
      <c r="J621" s="389"/>
      <c r="K621" s="380"/>
    </row>
    <row r="622" spans="1:11" ht="11.1" customHeight="1" x14ac:dyDescent="0.3">
      <c r="A622" s="157" t="s">
        <v>182</v>
      </c>
      <c r="B622" s="380"/>
      <c r="C622" s="380"/>
      <c r="D622" s="380"/>
      <c r="E622" s="380"/>
      <c r="F622" s="380"/>
      <c r="G622" s="381"/>
      <c r="H622" s="388"/>
      <c r="I622" s="388"/>
      <c r="J622" s="389"/>
      <c r="K622" s="380"/>
    </row>
    <row r="623" spans="1:11" ht="11.1" customHeight="1" x14ac:dyDescent="0.3">
      <c r="A623" s="157" t="s">
        <v>112</v>
      </c>
      <c r="B623" s="380"/>
      <c r="C623" s="380"/>
      <c r="D623" s="380"/>
      <c r="E623" s="380"/>
      <c r="F623" s="380"/>
      <c r="G623" s="381"/>
      <c r="H623" s="388"/>
      <c r="I623" s="388"/>
      <c r="J623" s="389"/>
      <c r="K623" s="380"/>
    </row>
    <row r="624" spans="1:11" ht="11.1" customHeight="1" x14ac:dyDescent="0.3">
      <c r="A624" s="245" t="s">
        <v>726</v>
      </c>
      <c r="B624" s="380"/>
      <c r="C624" s="380"/>
      <c r="D624" s="380"/>
      <c r="E624" s="380"/>
      <c r="F624" s="380"/>
      <c r="G624" s="381"/>
      <c r="H624" s="388"/>
      <c r="I624" s="388"/>
      <c r="J624" s="389"/>
      <c r="K624" s="380"/>
    </row>
    <row r="625" spans="1:11" ht="11.1" customHeight="1" x14ac:dyDescent="0.3">
      <c r="A625" s="245" t="s">
        <v>727</v>
      </c>
      <c r="B625" s="380"/>
      <c r="C625" s="380"/>
      <c r="D625" s="380"/>
      <c r="E625" s="380"/>
      <c r="F625" s="380"/>
      <c r="G625" s="381"/>
      <c r="H625" s="388"/>
      <c r="I625" s="388"/>
      <c r="J625" s="389"/>
      <c r="K625" s="380"/>
    </row>
    <row r="626" spans="1:11" ht="11.1" customHeight="1" x14ac:dyDescent="0.3">
      <c r="A626" s="245" t="s">
        <v>728</v>
      </c>
      <c r="B626" s="380"/>
      <c r="C626" s="380"/>
      <c r="D626" s="380"/>
      <c r="E626" s="380"/>
      <c r="F626" s="380"/>
      <c r="G626" s="381"/>
      <c r="H626" s="388"/>
      <c r="I626" s="388"/>
      <c r="J626" s="389"/>
      <c r="K626" s="380"/>
    </row>
    <row r="627" spans="1:11" ht="11.1" customHeight="1" x14ac:dyDescent="0.3">
      <c r="A627" s="157" t="s">
        <v>729</v>
      </c>
      <c r="B627" s="380"/>
      <c r="C627" s="380"/>
      <c r="D627" s="380"/>
      <c r="E627" s="380"/>
      <c r="F627" s="380"/>
      <c r="G627" s="381"/>
      <c r="H627" s="388"/>
      <c r="I627" s="388"/>
      <c r="J627" s="389"/>
      <c r="K627" s="380"/>
    </row>
    <row r="628" spans="1:11" ht="11.1" customHeight="1" x14ac:dyDescent="0.3">
      <c r="A628" s="380"/>
      <c r="B628" s="380"/>
      <c r="C628" s="380"/>
      <c r="D628" s="380"/>
      <c r="E628" s="380"/>
      <c r="F628" s="380"/>
      <c r="G628" s="381"/>
      <c r="H628" s="388"/>
      <c r="I628" s="388"/>
      <c r="J628" s="389"/>
      <c r="K628" s="380"/>
    </row>
    <row r="632" spans="1:11" ht="15.6" customHeight="1" x14ac:dyDescent="0.3">
      <c r="A632" s="390" t="s">
        <v>114</v>
      </c>
      <c r="B632" s="425"/>
      <c r="C632" s="426"/>
      <c r="D632" s="427"/>
      <c r="E632" s="427"/>
      <c r="F632" s="428"/>
      <c r="G632" s="405"/>
      <c r="H632" s="406"/>
      <c r="I632" s="406"/>
      <c r="J632" s="393"/>
      <c r="K632" s="424"/>
    </row>
    <row r="633" spans="1:11" ht="16.2" customHeight="1" x14ac:dyDescent="0.3">
      <c r="A633" s="394" t="s">
        <v>183</v>
      </c>
      <c r="B633" s="395"/>
      <c r="C633" s="324"/>
      <c r="D633" s="325"/>
      <c r="E633" s="325"/>
      <c r="F633" s="326"/>
      <c r="G633" s="430"/>
      <c r="H633" s="431"/>
      <c r="I633" s="431"/>
      <c r="J633" s="400"/>
      <c r="K633" s="429"/>
    </row>
    <row r="634" spans="1:11" ht="13.8" customHeight="1" x14ac:dyDescent="0.3">
      <c r="A634" s="401" t="s">
        <v>971</v>
      </c>
      <c r="B634" s="402"/>
      <c r="C634" s="336"/>
      <c r="D634" s="337"/>
      <c r="E634" s="325"/>
      <c r="F634" s="326"/>
      <c r="G634" s="430"/>
      <c r="H634" s="431"/>
      <c r="I634" s="431"/>
      <c r="J634" s="400"/>
      <c r="K634" s="429"/>
    </row>
    <row r="635" spans="1:11" ht="11.1" customHeight="1" x14ac:dyDescent="0.3">
      <c r="A635" s="360"/>
      <c r="B635" s="360"/>
      <c r="C635" s="361"/>
      <c r="D635" s="362"/>
      <c r="E635" s="362"/>
      <c r="F635" s="362"/>
      <c r="G635" s="363"/>
      <c r="H635" s="364"/>
      <c r="I635" s="364"/>
      <c r="J635" s="365"/>
      <c r="K635" s="419"/>
    </row>
    <row r="636" spans="1:11" ht="11.1" customHeight="1" x14ac:dyDescent="0.3">
      <c r="A636" s="346"/>
      <c r="B636" s="346"/>
      <c r="C636" s="347"/>
      <c r="D636" s="348"/>
      <c r="E636" s="348"/>
      <c r="F636" s="348"/>
      <c r="G636" s="405"/>
      <c r="H636" s="406"/>
      <c r="I636" s="406"/>
      <c r="J636" s="407"/>
      <c r="K636" s="419"/>
    </row>
    <row r="637" spans="1:11" ht="11.1" customHeight="1" x14ac:dyDescent="0.3">
      <c r="A637" s="408"/>
      <c r="B637" s="408"/>
      <c r="C637" s="409"/>
      <c r="D637" s="410"/>
      <c r="E637" s="410"/>
      <c r="F637" s="353"/>
      <c r="G637" s="354" t="s">
        <v>116</v>
      </c>
      <c r="H637" s="355" t="s">
        <v>25</v>
      </c>
      <c r="I637" s="355" t="s">
        <v>26</v>
      </c>
      <c r="J637" s="356" t="s">
        <v>117</v>
      </c>
      <c r="K637" s="432"/>
    </row>
    <row r="638" spans="1:11" ht="11.1" customHeight="1" x14ac:dyDescent="0.3">
      <c r="A638" s="408"/>
      <c r="B638" s="408"/>
      <c r="C638" s="411"/>
      <c r="D638" s="410"/>
      <c r="E638" s="410"/>
      <c r="F638" s="353"/>
      <c r="G638" s="358" t="s">
        <v>29</v>
      </c>
      <c r="H638" s="355" t="s">
        <v>27</v>
      </c>
      <c r="I638" s="355" t="s">
        <v>28</v>
      </c>
      <c r="J638" s="356" t="s">
        <v>118</v>
      </c>
      <c r="K638" s="432"/>
    </row>
    <row r="639" spans="1:11" ht="11.1" customHeight="1" x14ac:dyDescent="0.3">
      <c r="A639" s="408"/>
      <c r="B639" s="408"/>
      <c r="C639" s="411"/>
      <c r="D639" s="410"/>
      <c r="E639" s="410"/>
      <c r="F639" s="353"/>
      <c r="G639" s="354" t="s">
        <v>31</v>
      </c>
      <c r="H639" s="355" t="s">
        <v>29</v>
      </c>
      <c r="I639" s="355" t="s">
        <v>30</v>
      </c>
      <c r="J639" s="356" t="s">
        <v>119</v>
      </c>
      <c r="K639" s="432"/>
    </row>
    <row r="640" spans="1:11" ht="11.1" customHeight="1" x14ac:dyDescent="0.3">
      <c r="A640" s="408"/>
      <c r="B640" s="408"/>
      <c r="C640" s="411"/>
      <c r="D640" s="410"/>
      <c r="E640" s="410"/>
      <c r="F640" s="353"/>
      <c r="G640" s="358" t="s">
        <v>32</v>
      </c>
      <c r="H640" s="355" t="s">
        <v>33</v>
      </c>
      <c r="I640" s="355" t="s">
        <v>120</v>
      </c>
      <c r="J640" s="356" t="s">
        <v>121</v>
      </c>
      <c r="K640" s="432"/>
    </row>
    <row r="641" spans="1:11" ht="11.1" customHeight="1" x14ac:dyDescent="0.3">
      <c r="A641" s="360"/>
      <c r="B641" s="360"/>
      <c r="C641" s="361"/>
      <c r="D641" s="362"/>
      <c r="E641" s="362"/>
      <c r="F641" s="362"/>
      <c r="G641" s="363"/>
      <c r="H641" s="364"/>
      <c r="I641" s="364"/>
      <c r="J641" s="365"/>
      <c r="K641" s="419"/>
    </row>
    <row r="642" spans="1:11" ht="11.1" customHeight="1" x14ac:dyDescent="0.3">
      <c r="A642" s="433"/>
      <c r="B642" s="346"/>
      <c r="C642" s="434"/>
      <c r="D642" s="405"/>
      <c r="E642" s="405"/>
      <c r="F642" s="348"/>
      <c r="G642" s="405"/>
      <c r="H642" s="406"/>
      <c r="I642" s="406"/>
      <c r="J642" s="407"/>
      <c r="K642" s="419"/>
    </row>
    <row r="643" spans="1:11" ht="11.1" customHeight="1" x14ac:dyDescent="0.3">
      <c r="A643" s="375" t="s">
        <v>123</v>
      </c>
      <c r="B643" s="412"/>
      <c r="C643" s="413"/>
      <c r="D643" s="414"/>
      <c r="E643" s="414"/>
      <c r="F643" s="330" t="s">
        <v>973</v>
      </c>
    </row>
    <row r="644" spans="1:11" ht="11.1" customHeight="1" x14ac:dyDescent="0.3">
      <c r="A644" s="380"/>
      <c r="B644" s="380"/>
      <c r="C644" s="380"/>
      <c r="D644" s="380"/>
      <c r="E644" s="380"/>
      <c r="F644" s="380"/>
      <c r="G644" s="381"/>
      <c r="H644" s="388"/>
      <c r="I644" s="388"/>
      <c r="J644" s="389"/>
      <c r="K644" s="380"/>
    </row>
    <row r="645" spans="1:11" ht="11.1" customHeight="1" x14ac:dyDescent="0.3">
      <c r="A645" s="376">
        <v>11</v>
      </c>
      <c r="B645" s="376" t="s">
        <v>17</v>
      </c>
      <c r="C645" s="376"/>
      <c r="D645" s="376"/>
      <c r="E645" s="376"/>
      <c r="F645" s="376"/>
      <c r="G645" s="377" t="s">
        <v>1266</v>
      </c>
      <c r="H645" s="378">
        <v>1265</v>
      </c>
      <c r="I645" s="378" t="s">
        <v>1028</v>
      </c>
      <c r="J645" s="379">
        <v>1.8</v>
      </c>
      <c r="K645" s="376"/>
    </row>
    <row r="646" spans="1:11" ht="11.1" customHeight="1" x14ac:dyDescent="0.3">
      <c r="A646" s="380"/>
      <c r="B646" s="380"/>
      <c r="C646" s="380"/>
      <c r="D646" s="380"/>
      <c r="E646" s="380"/>
      <c r="F646" s="380"/>
      <c r="G646" s="381"/>
      <c r="H646" s="388"/>
      <c r="I646" s="388"/>
      <c r="J646" s="389"/>
      <c r="K646" s="380"/>
    </row>
    <row r="647" spans="1:11" ht="11.1" customHeight="1" x14ac:dyDescent="0.3">
      <c r="A647" s="380">
        <v>11.1</v>
      </c>
      <c r="B647" s="380" t="s">
        <v>730</v>
      </c>
      <c r="C647" s="380"/>
      <c r="D647" s="380"/>
      <c r="E647" s="380"/>
      <c r="F647" s="380"/>
      <c r="G647" s="381" t="s">
        <v>1178</v>
      </c>
      <c r="H647" s="382">
        <v>888</v>
      </c>
      <c r="I647" s="382" t="s">
        <v>1267</v>
      </c>
      <c r="J647" s="383">
        <v>2</v>
      </c>
      <c r="K647" s="380"/>
    </row>
    <row r="648" spans="1:11" ht="11.1" customHeight="1" x14ac:dyDescent="0.3">
      <c r="A648" s="380"/>
      <c r="B648" s="380" t="s">
        <v>731</v>
      </c>
      <c r="C648" s="380" t="s">
        <v>732</v>
      </c>
      <c r="D648" s="380"/>
      <c r="E648" s="380"/>
      <c r="F648" s="380"/>
      <c r="G648" s="381" t="s">
        <v>1148</v>
      </c>
      <c r="H648" s="382">
        <v>446</v>
      </c>
      <c r="I648" s="382" t="s">
        <v>1045</v>
      </c>
      <c r="J648" s="383">
        <v>2.2999999999999998</v>
      </c>
      <c r="K648" s="380"/>
    </row>
    <row r="649" spans="1:11" ht="11.1" customHeight="1" x14ac:dyDescent="0.3">
      <c r="A649" s="380"/>
      <c r="B649" s="380" t="s">
        <v>733</v>
      </c>
      <c r="C649" s="380" t="s">
        <v>734</v>
      </c>
      <c r="D649" s="380"/>
      <c r="E649" s="380"/>
      <c r="F649" s="380"/>
      <c r="G649" s="381" t="s">
        <v>1268</v>
      </c>
      <c r="H649" s="382">
        <v>167</v>
      </c>
      <c r="I649" s="382" t="s">
        <v>1269</v>
      </c>
      <c r="J649" s="383">
        <v>3.6</v>
      </c>
      <c r="K649" s="380"/>
    </row>
    <row r="650" spans="1:11" ht="11.1" customHeight="1" x14ac:dyDescent="0.3">
      <c r="A650" s="380"/>
      <c r="B650" s="380" t="s">
        <v>735</v>
      </c>
      <c r="C650" s="380" t="s">
        <v>736</v>
      </c>
      <c r="D650" s="380"/>
      <c r="E650" s="380"/>
      <c r="F650" s="380"/>
      <c r="G650" s="381" t="s">
        <v>1270</v>
      </c>
      <c r="H650" s="382">
        <v>129</v>
      </c>
      <c r="I650" s="382" t="s">
        <v>1271</v>
      </c>
      <c r="J650" s="383">
        <v>3</v>
      </c>
      <c r="K650" s="380"/>
    </row>
    <row r="651" spans="1:11" ht="11.1" customHeight="1" x14ac:dyDescent="0.3">
      <c r="A651" s="380"/>
      <c r="B651" s="380"/>
      <c r="C651" s="380"/>
      <c r="D651" s="380"/>
      <c r="E651" s="380"/>
      <c r="F651" s="380"/>
      <c r="G651" s="381"/>
      <c r="H651" s="388"/>
      <c r="I651" s="388"/>
      <c r="J651" s="389"/>
      <c r="K651" s="380"/>
    </row>
    <row r="652" spans="1:11" ht="11.1" customHeight="1" x14ac:dyDescent="0.3">
      <c r="A652" s="380"/>
      <c r="B652" s="380" t="s">
        <v>737</v>
      </c>
      <c r="C652" s="380" t="s">
        <v>738</v>
      </c>
      <c r="D652" s="380"/>
      <c r="E652" s="380"/>
      <c r="F652" s="380"/>
      <c r="G652" s="381" t="s">
        <v>1272</v>
      </c>
      <c r="H652" s="382">
        <v>110</v>
      </c>
      <c r="I652" s="382" t="s">
        <v>1273</v>
      </c>
      <c r="J652" s="383">
        <v>2.5</v>
      </c>
      <c r="K652" s="380"/>
    </row>
    <row r="653" spans="1:11" ht="11.1" customHeight="1" x14ac:dyDescent="0.3">
      <c r="A653" s="380"/>
      <c r="B653" s="380"/>
      <c r="C653" s="380" t="s">
        <v>739</v>
      </c>
      <c r="D653" s="380" t="s">
        <v>740</v>
      </c>
      <c r="E653" s="380"/>
      <c r="F653" s="380"/>
      <c r="G653" s="381" t="s">
        <v>1011</v>
      </c>
      <c r="H653" s="382">
        <v>87</v>
      </c>
      <c r="I653" s="382" t="s">
        <v>1274</v>
      </c>
      <c r="J653" s="383">
        <v>2.7</v>
      </c>
      <c r="K653" s="380"/>
    </row>
    <row r="654" spans="1:11" ht="11.1" customHeight="1" x14ac:dyDescent="0.3">
      <c r="A654" s="380"/>
      <c r="B654" s="380"/>
      <c r="C654" s="380" t="s">
        <v>741</v>
      </c>
      <c r="D654" s="380" t="s">
        <v>742</v>
      </c>
      <c r="E654" s="380"/>
      <c r="F654" s="380"/>
      <c r="G654" s="381" t="s">
        <v>1005</v>
      </c>
      <c r="H654" s="382">
        <v>4</v>
      </c>
      <c r="I654" s="382" t="s">
        <v>1169</v>
      </c>
      <c r="J654" s="383">
        <v>5.2</v>
      </c>
      <c r="K654" s="380"/>
    </row>
    <row r="655" spans="1:11" ht="11.1" customHeight="1" x14ac:dyDescent="0.3">
      <c r="A655" s="380"/>
      <c r="B655" s="380"/>
      <c r="C655" s="380" t="s">
        <v>743</v>
      </c>
      <c r="D655" s="380" t="s">
        <v>744</v>
      </c>
      <c r="E655" s="380"/>
      <c r="F655" s="380"/>
      <c r="G655" s="381" t="s">
        <v>1022</v>
      </c>
      <c r="H655" s="382">
        <v>5</v>
      </c>
      <c r="I655" s="382" t="s">
        <v>1102</v>
      </c>
      <c r="J655" s="383">
        <v>7.7</v>
      </c>
      <c r="K655" s="380"/>
    </row>
    <row r="656" spans="1:11" ht="11.1" customHeight="1" x14ac:dyDescent="0.3">
      <c r="A656" s="380"/>
      <c r="B656" s="380"/>
      <c r="C656" s="380" t="s">
        <v>745</v>
      </c>
      <c r="D656" s="380" t="s">
        <v>110</v>
      </c>
      <c r="E656" s="380"/>
      <c r="F656" s="380"/>
      <c r="G656" s="381" t="s">
        <v>979</v>
      </c>
      <c r="H656" s="382">
        <v>14</v>
      </c>
      <c r="I656" s="382" t="s">
        <v>1275</v>
      </c>
      <c r="J656" s="383">
        <v>3.2</v>
      </c>
      <c r="K656" s="380"/>
    </row>
    <row r="657" spans="1:11" ht="11.1" customHeight="1" x14ac:dyDescent="0.3">
      <c r="A657" s="380"/>
      <c r="B657" s="380"/>
      <c r="C657" s="380"/>
      <c r="D657" s="380"/>
      <c r="E657" s="380"/>
      <c r="F657" s="380"/>
      <c r="G657" s="381"/>
      <c r="H657" s="388"/>
      <c r="I657" s="388"/>
      <c r="J657" s="389"/>
      <c r="K657" s="380"/>
    </row>
    <row r="658" spans="1:11" ht="11.1" customHeight="1" x14ac:dyDescent="0.3">
      <c r="A658" s="380"/>
      <c r="B658" s="380" t="s">
        <v>746</v>
      </c>
      <c r="C658" s="380" t="s">
        <v>747</v>
      </c>
      <c r="D658" s="380"/>
      <c r="E658" s="380"/>
      <c r="F658" s="380"/>
      <c r="G658" s="381" t="s">
        <v>1187</v>
      </c>
      <c r="H658" s="382" t="s">
        <v>1276</v>
      </c>
      <c r="I658" s="382" t="s">
        <v>1010</v>
      </c>
      <c r="J658" s="383">
        <v>16.2</v>
      </c>
      <c r="K658" s="380"/>
    </row>
    <row r="659" spans="1:11" ht="11.1" customHeight="1" x14ac:dyDescent="0.3">
      <c r="A659" s="380"/>
      <c r="B659" s="380"/>
      <c r="C659" s="380"/>
      <c r="D659" s="380"/>
      <c r="E659" s="380"/>
      <c r="F659" s="380"/>
      <c r="G659" s="381"/>
      <c r="H659" s="388"/>
      <c r="I659" s="388"/>
      <c r="J659" s="389"/>
      <c r="K659" s="380"/>
    </row>
    <row r="660" spans="1:11" ht="11.1" customHeight="1" x14ac:dyDescent="0.3">
      <c r="A660" s="380"/>
      <c r="B660" s="380" t="s">
        <v>748</v>
      </c>
      <c r="C660" s="380" t="s">
        <v>749</v>
      </c>
      <c r="D660" s="380"/>
      <c r="E660" s="380"/>
      <c r="F660" s="380"/>
      <c r="G660" s="381" t="s">
        <v>999</v>
      </c>
      <c r="H660" s="382">
        <v>25</v>
      </c>
      <c r="I660" s="382" t="s">
        <v>1169</v>
      </c>
      <c r="J660" s="383">
        <v>6.8</v>
      </c>
      <c r="K660" s="380"/>
    </row>
    <row r="661" spans="1:11" ht="11.1" customHeight="1" x14ac:dyDescent="0.3">
      <c r="A661" s="380"/>
      <c r="B661" s="380"/>
      <c r="C661" s="380" t="s">
        <v>750</v>
      </c>
      <c r="D661" s="380" t="s">
        <v>751</v>
      </c>
      <c r="E661" s="380"/>
      <c r="F661" s="380"/>
      <c r="G661" s="381" t="s">
        <v>979</v>
      </c>
      <c r="H661" s="382">
        <v>15</v>
      </c>
      <c r="I661" s="382" t="s">
        <v>1181</v>
      </c>
      <c r="J661" s="383">
        <v>10.7</v>
      </c>
      <c r="K661" s="380"/>
    </row>
    <row r="662" spans="1:11" ht="11.1" customHeight="1" x14ac:dyDescent="0.3">
      <c r="A662" s="380"/>
      <c r="B662" s="380"/>
      <c r="C662" s="380" t="s">
        <v>752</v>
      </c>
      <c r="D662" s="380" t="s">
        <v>753</v>
      </c>
      <c r="E662" s="380"/>
      <c r="F662" s="380"/>
      <c r="G662" s="381" t="s">
        <v>1064</v>
      </c>
      <c r="H662" s="382">
        <v>10</v>
      </c>
      <c r="I662" s="382" t="s">
        <v>1106</v>
      </c>
      <c r="J662" s="383">
        <v>5.3</v>
      </c>
      <c r="K662" s="380"/>
    </row>
    <row r="663" spans="1:11" ht="11.1" customHeight="1" x14ac:dyDescent="0.3">
      <c r="A663" s="380"/>
      <c r="B663" s="380"/>
      <c r="C663" s="380"/>
      <c r="D663" s="380"/>
      <c r="E663" s="380"/>
      <c r="F663" s="380"/>
      <c r="G663" s="381"/>
      <c r="H663" s="388"/>
      <c r="I663" s="388"/>
      <c r="J663" s="389"/>
      <c r="K663" s="380"/>
    </row>
    <row r="664" spans="1:11" ht="11.1" customHeight="1" x14ac:dyDescent="0.3">
      <c r="A664" s="380">
        <v>11.2</v>
      </c>
      <c r="B664" s="380" t="s">
        <v>754</v>
      </c>
      <c r="C664" s="380"/>
      <c r="D664" s="380"/>
      <c r="E664" s="380"/>
      <c r="F664" s="380"/>
      <c r="G664" s="381" t="s">
        <v>1277</v>
      </c>
      <c r="H664" s="382">
        <v>377</v>
      </c>
      <c r="I664" s="382" t="s">
        <v>1032</v>
      </c>
      <c r="J664" s="383">
        <v>3</v>
      </c>
      <c r="K664" s="380"/>
    </row>
    <row r="665" spans="1:11" ht="11.1" customHeight="1" x14ac:dyDescent="0.3">
      <c r="A665" s="380"/>
      <c r="B665" s="380" t="s">
        <v>755</v>
      </c>
      <c r="C665" s="380" t="s">
        <v>756</v>
      </c>
      <c r="D665" s="380"/>
      <c r="E665" s="380"/>
      <c r="F665" s="380"/>
      <c r="G665" s="381" t="s">
        <v>1278</v>
      </c>
      <c r="H665" s="382">
        <v>201</v>
      </c>
      <c r="I665" s="382" t="s">
        <v>1235</v>
      </c>
      <c r="J665" s="383">
        <v>4.7</v>
      </c>
      <c r="K665" s="380"/>
    </row>
    <row r="666" spans="1:11" ht="11.1" customHeight="1" x14ac:dyDescent="0.3">
      <c r="A666" s="380"/>
      <c r="B666" s="380" t="s">
        <v>757</v>
      </c>
      <c r="C666" s="380" t="s">
        <v>758</v>
      </c>
      <c r="D666" s="380"/>
      <c r="E666" s="380"/>
      <c r="F666" s="380"/>
      <c r="G666" s="381" t="s">
        <v>1279</v>
      </c>
      <c r="H666" s="382">
        <v>170</v>
      </c>
      <c r="I666" s="382" t="s">
        <v>1229</v>
      </c>
      <c r="J666" s="383">
        <v>3.4</v>
      </c>
      <c r="K666" s="380"/>
    </row>
    <row r="667" spans="1:11" ht="11.1" customHeight="1" x14ac:dyDescent="0.3">
      <c r="A667" s="380"/>
      <c r="B667" s="380" t="s">
        <v>759</v>
      </c>
      <c r="C667" s="380" t="s">
        <v>760</v>
      </c>
      <c r="D667" s="380"/>
      <c r="E667" s="380"/>
      <c r="F667" s="380"/>
      <c r="G667" s="381" t="s">
        <v>1155</v>
      </c>
      <c r="H667" s="382" t="s">
        <v>1280</v>
      </c>
      <c r="I667" s="382" t="s">
        <v>1189</v>
      </c>
      <c r="J667" s="383">
        <v>6.4</v>
      </c>
      <c r="K667" s="380"/>
    </row>
    <row r="668" spans="1:11" ht="11.1" customHeight="1" x14ac:dyDescent="0.3">
      <c r="A668" s="380"/>
      <c r="B668" s="380"/>
      <c r="C668" s="380"/>
      <c r="D668" s="380"/>
      <c r="E668" s="380"/>
      <c r="F668" s="380"/>
      <c r="G668" s="381"/>
      <c r="H668" s="388"/>
      <c r="I668" s="388"/>
      <c r="J668" s="389"/>
      <c r="K668" s="380"/>
    </row>
    <row r="669" spans="1:11" ht="11.1" customHeight="1" x14ac:dyDescent="0.3">
      <c r="A669" s="360"/>
      <c r="B669" s="360"/>
      <c r="C669" s="361"/>
      <c r="D669" s="362"/>
      <c r="E669" s="362"/>
      <c r="F669" s="362"/>
      <c r="G669" s="363"/>
      <c r="H669" s="364"/>
      <c r="I669" s="364"/>
      <c r="J669" s="365"/>
      <c r="K669" s="438"/>
    </row>
    <row r="670" spans="1:11" ht="11.1" customHeight="1" x14ac:dyDescent="0.3">
      <c r="A670" s="376">
        <v>12</v>
      </c>
      <c r="B670" s="376" t="s">
        <v>18</v>
      </c>
      <c r="C670" s="376"/>
      <c r="D670" s="376"/>
      <c r="E670" s="376"/>
      <c r="F670" s="376"/>
      <c r="G670" s="377" t="s">
        <v>1281</v>
      </c>
      <c r="H670" s="378">
        <v>1300</v>
      </c>
      <c r="I670" s="378" t="s">
        <v>1282</v>
      </c>
      <c r="J670" s="379">
        <v>1.8</v>
      </c>
      <c r="K670" s="376"/>
    </row>
    <row r="671" spans="1:11" ht="11.1" customHeight="1" x14ac:dyDescent="0.3">
      <c r="A671" s="380"/>
      <c r="B671" s="380"/>
      <c r="C671" s="380"/>
      <c r="D671" s="380"/>
      <c r="E671" s="380"/>
      <c r="F671" s="380"/>
      <c r="G671" s="381"/>
      <c r="H671" s="388"/>
      <c r="I671" s="388"/>
      <c r="J671" s="389"/>
      <c r="K671" s="380"/>
    </row>
    <row r="672" spans="1:11" ht="11.1" customHeight="1" x14ac:dyDescent="0.3">
      <c r="A672" s="380">
        <v>12.1</v>
      </c>
      <c r="B672" s="380" t="s">
        <v>761</v>
      </c>
      <c r="C672" s="380"/>
      <c r="D672" s="380"/>
      <c r="E672" s="380"/>
      <c r="F672" s="380"/>
      <c r="G672" s="381" t="s">
        <v>1283</v>
      </c>
      <c r="H672" s="382">
        <v>346</v>
      </c>
      <c r="I672" s="382" t="s">
        <v>1284</v>
      </c>
      <c r="J672" s="383">
        <v>2.2999999999999998</v>
      </c>
      <c r="K672" s="380"/>
    </row>
    <row r="673" spans="1:11" ht="11.1" customHeight="1" x14ac:dyDescent="0.3">
      <c r="A673" s="380"/>
      <c r="B673" s="380" t="s">
        <v>762</v>
      </c>
      <c r="C673" s="380" t="s">
        <v>763</v>
      </c>
      <c r="D673" s="380"/>
      <c r="E673" s="380"/>
      <c r="F673" s="380"/>
      <c r="G673" s="381" t="s">
        <v>1087</v>
      </c>
      <c r="H673" s="382">
        <v>98</v>
      </c>
      <c r="I673" s="382" t="s">
        <v>995</v>
      </c>
      <c r="J673" s="383">
        <v>5.4</v>
      </c>
      <c r="K673" s="380"/>
    </row>
    <row r="674" spans="1:11" ht="11.1" customHeight="1" x14ac:dyDescent="0.3">
      <c r="A674" s="380"/>
      <c r="B674" s="380" t="s">
        <v>764</v>
      </c>
      <c r="C674" s="380" t="s">
        <v>765</v>
      </c>
      <c r="D674" s="380"/>
      <c r="E674" s="380"/>
      <c r="F674" s="380"/>
      <c r="G674" s="381" t="s">
        <v>1003</v>
      </c>
      <c r="H674" s="382">
        <v>30</v>
      </c>
      <c r="I674" s="382" t="s">
        <v>1285</v>
      </c>
      <c r="J674" s="383">
        <v>2.4</v>
      </c>
      <c r="K674" s="380"/>
    </row>
    <row r="675" spans="1:11" ht="11.1" customHeight="1" x14ac:dyDescent="0.3">
      <c r="A675" s="380"/>
      <c r="B675" s="380"/>
      <c r="C675" s="380"/>
      <c r="D675" s="380"/>
      <c r="E675" s="380"/>
      <c r="F675" s="380"/>
      <c r="G675" s="381"/>
      <c r="H675" s="388"/>
      <c r="I675" s="388"/>
      <c r="J675" s="389"/>
      <c r="K675" s="380"/>
    </row>
    <row r="676" spans="1:11" ht="11.1" customHeight="1" x14ac:dyDescent="0.3">
      <c r="A676" s="380"/>
      <c r="B676" s="380" t="s">
        <v>766</v>
      </c>
      <c r="C676" s="380" t="s">
        <v>767</v>
      </c>
      <c r="D676" s="380"/>
      <c r="E676" s="380"/>
      <c r="F676" s="380"/>
      <c r="G676" s="381" t="s">
        <v>1134</v>
      </c>
      <c r="H676" s="382">
        <v>70</v>
      </c>
      <c r="I676" s="382" t="s">
        <v>1286</v>
      </c>
      <c r="J676" s="383">
        <v>2</v>
      </c>
      <c r="K676" s="380"/>
    </row>
    <row r="677" spans="1:11" ht="11.1" customHeight="1" x14ac:dyDescent="0.3">
      <c r="A677" s="380"/>
      <c r="B677" s="380"/>
      <c r="C677" s="380" t="s">
        <v>768</v>
      </c>
      <c r="D677" s="380" t="s">
        <v>769</v>
      </c>
      <c r="E677" s="380"/>
      <c r="F677" s="380"/>
      <c r="G677" s="381" t="s">
        <v>1020</v>
      </c>
      <c r="H677" s="382">
        <v>42</v>
      </c>
      <c r="I677" s="382" t="s">
        <v>1170</v>
      </c>
      <c r="J677" s="383">
        <v>2</v>
      </c>
      <c r="K677" s="380"/>
    </row>
    <row r="678" spans="1:11" ht="11.1" customHeight="1" x14ac:dyDescent="0.3">
      <c r="A678" s="380"/>
      <c r="B678" s="380"/>
      <c r="C678" s="380" t="s">
        <v>770</v>
      </c>
      <c r="D678" s="380" t="s">
        <v>771</v>
      </c>
      <c r="E678" s="380"/>
      <c r="F678" s="380"/>
      <c r="G678" s="381" t="s">
        <v>979</v>
      </c>
      <c r="H678" s="382">
        <v>13</v>
      </c>
      <c r="I678" s="382" t="s">
        <v>1287</v>
      </c>
      <c r="J678" s="383">
        <v>4.2</v>
      </c>
      <c r="K678" s="380"/>
    </row>
    <row r="679" spans="1:11" ht="11.1" customHeight="1" x14ac:dyDescent="0.3">
      <c r="A679" s="380"/>
      <c r="B679" s="380"/>
      <c r="C679" s="380" t="s">
        <v>772</v>
      </c>
      <c r="D679" s="380" t="s">
        <v>773</v>
      </c>
      <c r="E679" s="380"/>
      <c r="F679" s="380"/>
      <c r="G679" s="381" t="s">
        <v>979</v>
      </c>
      <c r="H679" s="382">
        <v>14</v>
      </c>
      <c r="I679" s="382" t="s">
        <v>1288</v>
      </c>
      <c r="J679" s="383">
        <v>6</v>
      </c>
      <c r="K679" s="380"/>
    </row>
    <row r="680" spans="1:11" ht="11.1" customHeight="1" x14ac:dyDescent="0.3">
      <c r="A680" s="380"/>
      <c r="B680" s="380"/>
      <c r="C680" s="380"/>
      <c r="D680" s="380"/>
      <c r="E680" s="380"/>
      <c r="F680" s="380"/>
      <c r="G680" s="381"/>
      <c r="H680" s="388"/>
      <c r="I680" s="388"/>
      <c r="J680" s="389"/>
      <c r="K680" s="380"/>
    </row>
    <row r="681" spans="1:11" ht="11.1" customHeight="1" x14ac:dyDescent="0.3">
      <c r="A681" s="380"/>
      <c r="B681" s="380" t="s">
        <v>774</v>
      </c>
      <c r="C681" s="380" t="s">
        <v>775</v>
      </c>
      <c r="D681" s="380"/>
      <c r="E681" s="380"/>
      <c r="F681" s="380"/>
      <c r="G681" s="381" t="s">
        <v>985</v>
      </c>
      <c r="H681" s="382">
        <v>17</v>
      </c>
      <c r="I681" s="382" t="s">
        <v>1260</v>
      </c>
      <c r="J681" s="383">
        <v>3.8</v>
      </c>
      <c r="K681" s="380"/>
    </row>
    <row r="682" spans="1:11" ht="11.1" customHeight="1" x14ac:dyDescent="0.3">
      <c r="A682" s="380"/>
      <c r="B682" s="380"/>
      <c r="C682" s="380"/>
      <c r="D682" s="380"/>
      <c r="E682" s="380"/>
      <c r="F682" s="380"/>
      <c r="G682" s="381"/>
      <c r="H682" s="388"/>
      <c r="I682" s="388"/>
      <c r="J682" s="389"/>
      <c r="K682" s="380"/>
    </row>
    <row r="683" spans="1:11" ht="11.1" customHeight="1" x14ac:dyDescent="0.3">
      <c r="A683" s="380"/>
      <c r="B683" s="380" t="s">
        <v>776</v>
      </c>
      <c r="C683" s="380" t="s">
        <v>777</v>
      </c>
      <c r="D683" s="380"/>
      <c r="E683" s="380"/>
      <c r="F683" s="380"/>
      <c r="G683" s="381" t="s">
        <v>1049</v>
      </c>
      <c r="H683" s="382">
        <v>131</v>
      </c>
      <c r="I683" s="382" t="s">
        <v>1289</v>
      </c>
      <c r="J683" s="383">
        <v>3.1</v>
      </c>
      <c r="K683" s="380"/>
    </row>
    <row r="684" spans="1:11" ht="11.1" customHeight="1" x14ac:dyDescent="0.3">
      <c r="A684" s="380"/>
      <c r="B684" s="380"/>
      <c r="C684" s="380" t="s">
        <v>778</v>
      </c>
      <c r="D684" s="380" t="s">
        <v>779</v>
      </c>
      <c r="E684" s="380"/>
      <c r="F684" s="380"/>
      <c r="G684" s="381" t="s">
        <v>1003</v>
      </c>
      <c r="H684" s="382">
        <v>27</v>
      </c>
      <c r="I684" s="382" t="s">
        <v>1290</v>
      </c>
      <c r="J684" s="383">
        <v>4.2</v>
      </c>
      <c r="K684" s="380"/>
    </row>
    <row r="685" spans="1:11" ht="11.1" customHeight="1" x14ac:dyDescent="0.3">
      <c r="A685" s="380"/>
      <c r="B685" s="380"/>
      <c r="C685" s="380" t="s">
        <v>780</v>
      </c>
      <c r="D685" s="380" t="s">
        <v>781</v>
      </c>
      <c r="E685" s="380"/>
      <c r="F685" s="380"/>
      <c r="G685" s="381" t="s">
        <v>1175</v>
      </c>
      <c r="H685" s="382">
        <v>94</v>
      </c>
      <c r="I685" s="382" t="s">
        <v>1291</v>
      </c>
      <c r="J685" s="383">
        <v>3.4</v>
      </c>
      <c r="K685" s="380"/>
    </row>
    <row r="686" spans="1:11" ht="11.1" customHeight="1" x14ac:dyDescent="0.3">
      <c r="A686" s="380"/>
      <c r="B686" s="380"/>
      <c r="C686" s="380" t="s">
        <v>782</v>
      </c>
      <c r="D686" s="380" t="s">
        <v>783</v>
      </c>
      <c r="E686" s="380"/>
      <c r="F686" s="380"/>
      <c r="G686" s="381" t="s">
        <v>1052</v>
      </c>
      <c r="H686" s="382">
        <v>10</v>
      </c>
      <c r="I686" s="382" t="s">
        <v>1243</v>
      </c>
      <c r="J686" s="383">
        <v>15.5</v>
      </c>
      <c r="K686" s="380"/>
    </row>
    <row r="687" spans="1:11" ht="11.1" customHeight="1" x14ac:dyDescent="0.3">
      <c r="A687" s="380"/>
      <c r="B687" s="380"/>
      <c r="C687" s="380"/>
      <c r="D687" s="380"/>
      <c r="E687" s="380"/>
      <c r="F687" s="380"/>
      <c r="G687" s="381"/>
      <c r="H687" s="388"/>
      <c r="I687" s="388"/>
      <c r="J687" s="389"/>
      <c r="K687" s="380"/>
    </row>
    <row r="688" spans="1:11" ht="11.1" customHeight="1" x14ac:dyDescent="0.3">
      <c r="A688" s="380">
        <v>12.2</v>
      </c>
      <c r="B688" s="380" t="s">
        <v>784</v>
      </c>
      <c r="C688" s="380"/>
      <c r="D688" s="380"/>
      <c r="E688" s="380"/>
      <c r="F688" s="380"/>
      <c r="G688" s="381" t="s">
        <v>1292</v>
      </c>
      <c r="H688" s="382">
        <v>90</v>
      </c>
      <c r="I688" s="382" t="s">
        <v>1151</v>
      </c>
      <c r="J688" s="383">
        <v>20.2</v>
      </c>
      <c r="K688" s="380"/>
    </row>
    <row r="689" spans="1:11" ht="11.1" customHeight="1" x14ac:dyDescent="0.3">
      <c r="A689" s="380"/>
      <c r="B689" s="380" t="s">
        <v>785</v>
      </c>
      <c r="C689" s="380" t="s">
        <v>786</v>
      </c>
      <c r="D689" s="380"/>
      <c r="E689" s="380"/>
      <c r="F689" s="380"/>
      <c r="G689" s="381" t="s">
        <v>994</v>
      </c>
      <c r="H689" s="382">
        <v>57</v>
      </c>
      <c r="I689" s="382" t="s">
        <v>1149</v>
      </c>
      <c r="J689" s="383">
        <v>28.8</v>
      </c>
      <c r="K689" s="380"/>
    </row>
    <row r="690" spans="1:11" ht="11.1" customHeight="1" x14ac:dyDescent="0.3">
      <c r="A690" s="380"/>
      <c r="B690" s="380" t="s">
        <v>787</v>
      </c>
      <c r="C690" s="380" t="s">
        <v>788</v>
      </c>
      <c r="D690" s="380"/>
      <c r="E690" s="380"/>
      <c r="F690" s="380"/>
      <c r="G690" s="381" t="s">
        <v>1033</v>
      </c>
      <c r="H690" s="382">
        <v>19</v>
      </c>
      <c r="I690" s="382" t="s">
        <v>1102</v>
      </c>
      <c r="J690" s="383">
        <v>11.6</v>
      </c>
      <c r="K690" s="380"/>
    </row>
    <row r="691" spans="1:11" ht="11.1" customHeight="1" x14ac:dyDescent="0.3">
      <c r="A691" s="380"/>
      <c r="B691" s="380" t="s">
        <v>789</v>
      </c>
      <c r="C691" s="380" t="s">
        <v>790</v>
      </c>
      <c r="D691" s="380"/>
      <c r="E691" s="380"/>
      <c r="F691" s="380"/>
      <c r="G691" s="381" t="s">
        <v>1005</v>
      </c>
      <c r="H691" s="382">
        <v>3</v>
      </c>
      <c r="I691" s="382" t="s">
        <v>1114</v>
      </c>
      <c r="J691" s="383">
        <v>18.7</v>
      </c>
      <c r="K691" s="380"/>
    </row>
    <row r="692" spans="1:11" ht="11.1" customHeight="1" x14ac:dyDescent="0.3">
      <c r="A692" s="380"/>
      <c r="B692" s="380" t="s">
        <v>791</v>
      </c>
      <c r="C692" s="380" t="s">
        <v>792</v>
      </c>
      <c r="D692" s="380"/>
      <c r="E692" s="380"/>
      <c r="F692" s="380"/>
      <c r="G692" s="381" t="s">
        <v>1005</v>
      </c>
      <c r="H692" s="382">
        <v>2</v>
      </c>
      <c r="I692" s="382" t="s">
        <v>1010</v>
      </c>
      <c r="J692" s="383">
        <v>28.2</v>
      </c>
      <c r="K692" s="380"/>
    </row>
    <row r="693" spans="1:11" ht="11.1" customHeight="1" x14ac:dyDescent="0.3">
      <c r="A693" s="380"/>
      <c r="B693" s="380" t="s">
        <v>793</v>
      </c>
      <c r="C693" s="380" t="s">
        <v>794</v>
      </c>
      <c r="D693" s="380"/>
      <c r="E693" s="380"/>
      <c r="F693" s="380"/>
      <c r="G693" s="381" t="s">
        <v>230</v>
      </c>
      <c r="H693" s="382" t="s">
        <v>230</v>
      </c>
      <c r="I693" s="382" t="s">
        <v>230</v>
      </c>
      <c r="J693" s="383" t="s">
        <v>230</v>
      </c>
      <c r="K693" s="380"/>
    </row>
    <row r="694" spans="1:11" ht="11.1" customHeight="1" x14ac:dyDescent="0.3">
      <c r="A694" s="380"/>
      <c r="B694" s="380" t="s">
        <v>795</v>
      </c>
      <c r="C694" s="380" t="s">
        <v>796</v>
      </c>
      <c r="D694" s="380"/>
      <c r="E694" s="380"/>
      <c r="F694" s="380"/>
      <c r="G694" s="381" t="s">
        <v>1155</v>
      </c>
      <c r="H694" s="382" t="s">
        <v>1293</v>
      </c>
      <c r="I694" s="382" t="s">
        <v>1189</v>
      </c>
      <c r="J694" s="383">
        <v>23.3</v>
      </c>
      <c r="K694" s="380"/>
    </row>
    <row r="695" spans="1:11" ht="11.1" customHeight="1" x14ac:dyDescent="0.3">
      <c r="A695" s="380"/>
      <c r="B695" s="380"/>
      <c r="C695" s="380"/>
      <c r="D695" s="380"/>
      <c r="E695" s="380"/>
      <c r="F695" s="380"/>
      <c r="G695" s="381"/>
      <c r="H695" s="388"/>
      <c r="I695" s="388"/>
      <c r="J695" s="389"/>
      <c r="K695" s="380"/>
    </row>
    <row r="696" spans="1:11" ht="11.1" customHeight="1" x14ac:dyDescent="0.3">
      <c r="A696" s="380">
        <v>12.3</v>
      </c>
      <c r="B696" s="380" t="s">
        <v>797</v>
      </c>
      <c r="C696" s="380"/>
      <c r="D696" s="380"/>
      <c r="E696" s="380"/>
      <c r="F696" s="380"/>
      <c r="G696" s="381" t="s">
        <v>1194</v>
      </c>
      <c r="H696" s="382">
        <v>78</v>
      </c>
      <c r="I696" s="382" t="s">
        <v>1157</v>
      </c>
      <c r="J696" s="383">
        <v>13.5</v>
      </c>
      <c r="K696" s="380"/>
    </row>
    <row r="697" spans="1:11" ht="11.1" customHeight="1" x14ac:dyDescent="0.3">
      <c r="A697" s="380"/>
      <c r="B697" s="380" t="s">
        <v>798</v>
      </c>
      <c r="C697" s="380" t="s">
        <v>799</v>
      </c>
      <c r="D697" s="380"/>
      <c r="E697" s="380"/>
      <c r="F697" s="380"/>
      <c r="G697" s="381" t="s">
        <v>230</v>
      </c>
      <c r="H697" s="382" t="s">
        <v>230</v>
      </c>
      <c r="I697" s="382" t="s">
        <v>230</v>
      </c>
      <c r="J697" s="383" t="s">
        <v>230</v>
      </c>
      <c r="K697" s="439"/>
    </row>
    <row r="698" spans="1:11" ht="11.1" customHeight="1" x14ac:dyDescent="0.3">
      <c r="A698" s="380"/>
      <c r="B698" s="380" t="s">
        <v>800</v>
      </c>
      <c r="C698" s="380" t="s">
        <v>801</v>
      </c>
      <c r="D698" s="380"/>
      <c r="E698" s="380"/>
      <c r="F698" s="380"/>
      <c r="G698" s="381" t="s">
        <v>1294</v>
      </c>
      <c r="H698" s="382" t="s">
        <v>1295</v>
      </c>
      <c r="I698" s="382" t="s">
        <v>1189</v>
      </c>
      <c r="J698" s="383">
        <v>39.9</v>
      </c>
      <c r="K698" s="380"/>
    </row>
    <row r="699" spans="1:11" ht="11.1" customHeight="1" x14ac:dyDescent="0.3">
      <c r="A699" s="380"/>
      <c r="B699" s="380" t="s">
        <v>802</v>
      </c>
      <c r="C699" s="380" t="s">
        <v>803</v>
      </c>
      <c r="D699" s="380"/>
      <c r="E699" s="380"/>
      <c r="F699" s="380"/>
      <c r="G699" s="381" t="s">
        <v>1074</v>
      </c>
      <c r="H699" s="382">
        <v>34</v>
      </c>
      <c r="I699" s="382" t="s">
        <v>1115</v>
      </c>
      <c r="J699" s="383">
        <v>12.3</v>
      </c>
      <c r="K699" s="380"/>
    </row>
    <row r="700" spans="1:11" ht="11.1" customHeight="1" x14ac:dyDescent="0.3">
      <c r="A700" s="380"/>
      <c r="B700" s="380" t="s">
        <v>804</v>
      </c>
      <c r="C700" s="380" t="s">
        <v>805</v>
      </c>
      <c r="D700" s="380"/>
      <c r="E700" s="380"/>
      <c r="F700" s="380"/>
      <c r="G700" s="381" t="s">
        <v>1033</v>
      </c>
      <c r="H700" s="382">
        <v>20</v>
      </c>
      <c r="I700" s="382" t="s">
        <v>1114</v>
      </c>
      <c r="J700" s="383">
        <v>28.8</v>
      </c>
      <c r="K700" s="380"/>
    </row>
    <row r="701" spans="1:11" ht="11.1" customHeight="1" x14ac:dyDescent="0.3">
      <c r="A701" s="360"/>
      <c r="B701" s="360"/>
      <c r="C701" s="361"/>
      <c r="D701" s="362"/>
      <c r="E701" s="362"/>
      <c r="F701" s="362"/>
      <c r="G701" s="363"/>
      <c r="H701" s="364"/>
      <c r="I701" s="364"/>
      <c r="J701" s="365"/>
      <c r="K701" s="438"/>
    </row>
    <row r="702" spans="1:11" ht="11.1" customHeight="1" x14ac:dyDescent="0.3">
      <c r="A702" s="380"/>
      <c r="B702" s="380"/>
      <c r="C702" s="380"/>
      <c r="D702" s="380"/>
      <c r="E702" s="380"/>
      <c r="F702" s="380"/>
      <c r="G702" s="381"/>
      <c r="H702" s="388"/>
      <c r="I702" s="388"/>
      <c r="J702" s="389"/>
      <c r="K702" s="380"/>
    </row>
    <row r="703" spans="1:11" ht="11.1" customHeight="1" x14ac:dyDescent="0.3">
      <c r="A703" s="380" t="s">
        <v>111</v>
      </c>
      <c r="B703" s="380"/>
      <c r="C703" s="380"/>
      <c r="D703" s="380"/>
      <c r="E703" s="380"/>
      <c r="F703" s="380"/>
      <c r="G703" s="381"/>
      <c r="H703" s="388"/>
      <c r="I703" s="388"/>
      <c r="J703" s="389"/>
      <c r="K703" s="380"/>
    </row>
    <row r="704" spans="1:11" ht="11.1" customHeight="1" x14ac:dyDescent="0.3">
      <c r="A704" s="380" t="s">
        <v>182</v>
      </c>
      <c r="B704" s="380"/>
      <c r="C704" s="380"/>
      <c r="D704" s="380"/>
      <c r="E704" s="380"/>
      <c r="F704" s="380"/>
      <c r="G704" s="381"/>
      <c r="H704" s="388"/>
      <c r="I704" s="388"/>
      <c r="J704" s="389"/>
      <c r="K704" s="380"/>
    </row>
    <row r="705" spans="1:11" ht="11.1" customHeight="1" x14ac:dyDescent="0.3">
      <c r="A705" s="380" t="s">
        <v>112</v>
      </c>
      <c r="B705" s="380"/>
      <c r="C705" s="380"/>
      <c r="D705" s="380"/>
      <c r="E705" s="380"/>
      <c r="F705" s="380"/>
      <c r="G705" s="381"/>
      <c r="H705" s="388"/>
      <c r="I705" s="388"/>
      <c r="J705" s="389"/>
      <c r="K705" s="380"/>
    </row>
    <row r="706" spans="1:11" ht="11.1" customHeight="1" x14ac:dyDescent="0.3">
      <c r="A706" s="380"/>
      <c r="B706" s="380"/>
      <c r="C706" s="380"/>
      <c r="D706" s="380"/>
      <c r="E706" s="380"/>
      <c r="F706" s="380"/>
      <c r="G706" s="381"/>
      <c r="H706" s="388"/>
      <c r="I706" s="388"/>
      <c r="J706" s="389"/>
      <c r="K706" s="380"/>
    </row>
    <row r="707" spans="1:11" ht="11.1" customHeight="1" x14ac:dyDescent="0.3">
      <c r="A707" s="380"/>
      <c r="B707" s="380"/>
      <c r="C707" s="380"/>
      <c r="D707" s="380"/>
      <c r="E707" s="380"/>
      <c r="F707" s="380"/>
      <c r="G707" s="381"/>
      <c r="H707" s="388"/>
      <c r="I707" s="388"/>
      <c r="J707" s="389"/>
      <c r="K707" s="380"/>
    </row>
    <row r="710" spans="1:11" ht="11.1" customHeight="1" x14ac:dyDescent="0.3">
      <c r="A710" s="390" t="s">
        <v>114</v>
      </c>
      <c r="B710" s="425"/>
      <c r="C710" s="426"/>
      <c r="D710" s="427"/>
      <c r="E710" s="427"/>
      <c r="F710" s="428"/>
      <c r="G710" s="405"/>
      <c r="H710" s="406"/>
      <c r="I710" s="406"/>
      <c r="J710" s="393"/>
      <c r="K710" s="424"/>
    </row>
    <row r="711" spans="1:11" ht="17.399999999999999" customHeight="1" x14ac:dyDescent="0.3">
      <c r="A711" s="394" t="s">
        <v>183</v>
      </c>
      <c r="B711" s="395"/>
      <c r="C711" s="324"/>
      <c r="D711" s="325"/>
      <c r="E711" s="325"/>
      <c r="F711" s="326"/>
      <c r="G711" s="430"/>
      <c r="H711" s="431"/>
      <c r="I711" s="431"/>
      <c r="J711" s="400"/>
      <c r="K711" s="429"/>
    </row>
    <row r="712" spans="1:11" ht="14.4" customHeight="1" x14ac:dyDescent="0.3">
      <c r="A712" s="401" t="s">
        <v>971</v>
      </c>
      <c r="B712" s="402"/>
      <c r="C712" s="336"/>
      <c r="D712" s="337"/>
      <c r="E712" s="325"/>
      <c r="F712" s="326"/>
      <c r="G712" s="430"/>
      <c r="H712" s="431"/>
      <c r="I712" s="431"/>
      <c r="J712" s="400"/>
      <c r="K712" s="429"/>
    </row>
    <row r="713" spans="1:11" ht="11.1" customHeight="1" x14ac:dyDescent="0.3">
      <c r="A713" s="360"/>
      <c r="B713" s="360"/>
      <c r="C713" s="361"/>
      <c r="D713" s="362"/>
      <c r="E713" s="362"/>
      <c r="F713" s="362"/>
      <c r="G713" s="363"/>
      <c r="H713" s="364"/>
      <c r="I713" s="364"/>
      <c r="J713" s="365"/>
      <c r="K713" s="419"/>
    </row>
    <row r="714" spans="1:11" ht="11.1" customHeight="1" x14ac:dyDescent="0.3">
      <c r="A714" s="346"/>
      <c r="B714" s="346"/>
      <c r="C714" s="347"/>
      <c r="D714" s="348"/>
      <c r="E714" s="348"/>
      <c r="F714" s="348"/>
      <c r="G714" s="405"/>
      <c r="H714" s="406"/>
      <c r="I714" s="406"/>
      <c r="J714" s="407"/>
      <c r="K714" s="419"/>
    </row>
    <row r="715" spans="1:11" ht="11.1" customHeight="1" x14ac:dyDescent="0.3">
      <c r="A715" s="408"/>
      <c r="B715" s="408"/>
      <c r="C715" s="409"/>
      <c r="D715" s="410"/>
      <c r="E715" s="410"/>
      <c r="F715" s="353"/>
      <c r="G715" s="354" t="s">
        <v>116</v>
      </c>
      <c r="H715" s="355" t="s">
        <v>25</v>
      </c>
      <c r="I715" s="355" t="s">
        <v>26</v>
      </c>
      <c r="J715" s="356" t="s">
        <v>117</v>
      </c>
      <c r="K715" s="432"/>
    </row>
    <row r="716" spans="1:11" ht="11.1" customHeight="1" x14ac:dyDescent="0.3">
      <c r="A716" s="408"/>
      <c r="B716" s="408"/>
      <c r="C716" s="411"/>
      <c r="D716" s="410"/>
      <c r="E716" s="410"/>
      <c r="F716" s="353"/>
      <c r="G716" s="358" t="s">
        <v>29</v>
      </c>
      <c r="H716" s="355" t="s">
        <v>27</v>
      </c>
      <c r="I716" s="355" t="s">
        <v>28</v>
      </c>
      <c r="J716" s="356" t="s">
        <v>118</v>
      </c>
      <c r="K716" s="432"/>
    </row>
    <row r="717" spans="1:11" ht="11.1" customHeight="1" x14ac:dyDescent="0.3">
      <c r="A717" s="408"/>
      <c r="B717" s="408"/>
      <c r="C717" s="411"/>
      <c r="D717" s="410"/>
      <c r="E717" s="410"/>
      <c r="F717" s="353"/>
      <c r="G717" s="354" t="s">
        <v>31</v>
      </c>
      <c r="H717" s="355" t="s">
        <v>29</v>
      </c>
      <c r="I717" s="355" t="s">
        <v>30</v>
      </c>
      <c r="J717" s="356" t="s">
        <v>119</v>
      </c>
      <c r="K717" s="432"/>
    </row>
    <row r="718" spans="1:11" ht="11.1" customHeight="1" x14ac:dyDescent="0.3">
      <c r="A718" s="408"/>
      <c r="B718" s="408"/>
      <c r="C718" s="411"/>
      <c r="D718" s="410"/>
      <c r="E718" s="410"/>
      <c r="F718" s="353"/>
      <c r="G718" s="358" t="s">
        <v>32</v>
      </c>
      <c r="H718" s="355" t="s">
        <v>33</v>
      </c>
      <c r="I718" s="355" t="s">
        <v>120</v>
      </c>
      <c r="J718" s="356" t="s">
        <v>121</v>
      </c>
      <c r="K718" s="432"/>
    </row>
    <row r="719" spans="1:11" ht="11.1" customHeight="1" x14ac:dyDescent="0.3">
      <c r="A719" s="360"/>
      <c r="B719" s="360"/>
      <c r="C719" s="361"/>
      <c r="D719" s="362"/>
      <c r="E719" s="362"/>
      <c r="F719" s="362"/>
      <c r="G719" s="363"/>
      <c r="H719" s="364"/>
      <c r="I719" s="364"/>
      <c r="J719" s="365"/>
      <c r="K719" s="419"/>
    </row>
    <row r="720" spans="1:11" ht="11.1" customHeight="1" x14ac:dyDescent="0.3">
      <c r="A720" s="433"/>
      <c r="B720" s="346"/>
      <c r="C720" s="434"/>
      <c r="D720" s="405"/>
      <c r="E720" s="405"/>
      <c r="F720" s="348"/>
      <c r="G720" s="405"/>
      <c r="H720" s="406"/>
      <c r="I720" s="406"/>
      <c r="J720" s="407"/>
      <c r="K720" s="419"/>
    </row>
    <row r="721" spans="1:11" ht="11.1" customHeight="1" x14ac:dyDescent="0.3">
      <c r="A721" s="375" t="s">
        <v>123</v>
      </c>
      <c r="B721" s="412"/>
      <c r="C721" s="413"/>
      <c r="D721" s="414"/>
      <c r="E721" s="414"/>
      <c r="F721" s="415" t="s">
        <v>973</v>
      </c>
      <c r="G721" s="416"/>
      <c r="H721" s="417"/>
      <c r="I721" s="417"/>
      <c r="J721" s="418"/>
      <c r="K721" s="440"/>
    </row>
    <row r="723" spans="1:11" ht="11.1" customHeight="1" x14ac:dyDescent="0.3">
      <c r="A723" s="376">
        <v>12</v>
      </c>
      <c r="B723" s="376" t="s">
        <v>806</v>
      </c>
      <c r="C723" s="376"/>
      <c r="D723" s="376"/>
      <c r="E723" s="376"/>
      <c r="F723" s="376"/>
      <c r="G723" s="377"/>
      <c r="H723" s="420"/>
      <c r="I723" s="420"/>
      <c r="J723" s="421"/>
      <c r="K723" s="376"/>
    </row>
    <row r="724" spans="1:11" ht="11.1" customHeight="1" x14ac:dyDescent="0.3">
      <c r="A724" s="380"/>
      <c r="B724" s="380"/>
      <c r="C724" s="380"/>
      <c r="D724" s="380"/>
      <c r="E724" s="380"/>
      <c r="F724" s="380"/>
      <c r="G724" s="381"/>
      <c r="H724" s="388"/>
      <c r="I724" s="388"/>
      <c r="J724" s="389"/>
      <c r="K724" s="380"/>
    </row>
    <row r="725" spans="1:11" ht="11.1" customHeight="1" x14ac:dyDescent="0.3">
      <c r="A725" s="380">
        <v>12.4</v>
      </c>
      <c r="B725" s="380" t="s">
        <v>807</v>
      </c>
      <c r="C725" s="380"/>
      <c r="D725" s="380"/>
      <c r="E725" s="380"/>
      <c r="F725" s="380"/>
      <c r="G725" s="381" t="s">
        <v>1296</v>
      </c>
      <c r="H725" s="382">
        <v>619</v>
      </c>
      <c r="I725" s="382" t="s">
        <v>1297</v>
      </c>
      <c r="J725" s="383">
        <v>1.5</v>
      </c>
      <c r="K725" s="380"/>
    </row>
    <row r="726" spans="1:11" ht="11.1" customHeight="1" x14ac:dyDescent="0.3">
      <c r="A726" s="380"/>
      <c r="B726" s="380" t="s">
        <v>808</v>
      </c>
      <c r="C726" s="380" t="s">
        <v>809</v>
      </c>
      <c r="D726" s="380"/>
      <c r="E726" s="380"/>
      <c r="F726" s="380"/>
      <c r="G726" s="381" t="s">
        <v>1298</v>
      </c>
      <c r="H726" s="382">
        <v>158</v>
      </c>
      <c r="I726" s="382" t="s">
        <v>1299</v>
      </c>
      <c r="J726" s="383">
        <v>2.1</v>
      </c>
      <c r="K726" s="380"/>
    </row>
    <row r="727" spans="1:11" ht="11.1" customHeight="1" x14ac:dyDescent="0.3">
      <c r="A727" s="380"/>
      <c r="B727" s="380"/>
      <c r="C727" s="380" t="s">
        <v>810</v>
      </c>
      <c r="D727" s="380" t="s">
        <v>811</v>
      </c>
      <c r="E727" s="380"/>
      <c r="F727" s="380"/>
      <c r="G727" s="381" t="s">
        <v>1194</v>
      </c>
      <c r="H727" s="382">
        <v>76</v>
      </c>
      <c r="I727" s="382" t="s">
        <v>1300</v>
      </c>
      <c r="J727" s="383">
        <v>2.4</v>
      </c>
      <c r="K727" s="380"/>
    </row>
    <row r="728" spans="1:11" ht="11.1" customHeight="1" x14ac:dyDescent="0.3">
      <c r="A728" s="380"/>
      <c r="B728" s="380"/>
      <c r="C728" s="380" t="s">
        <v>812</v>
      </c>
      <c r="D728" s="380" t="s">
        <v>813</v>
      </c>
      <c r="E728" s="380"/>
      <c r="F728" s="380"/>
      <c r="G728" s="381" t="s">
        <v>997</v>
      </c>
      <c r="H728" s="382">
        <v>72</v>
      </c>
      <c r="I728" s="382" t="s">
        <v>1301</v>
      </c>
      <c r="J728" s="383">
        <v>2.4</v>
      </c>
      <c r="K728" s="380"/>
    </row>
    <row r="729" spans="1:11" ht="11.1" customHeight="1" x14ac:dyDescent="0.3">
      <c r="A729" s="380"/>
      <c r="B729" s="380"/>
      <c r="C729" s="380" t="s">
        <v>814</v>
      </c>
      <c r="D729" s="380" t="s">
        <v>1302</v>
      </c>
      <c r="E729" s="380"/>
      <c r="F729" s="380"/>
      <c r="G729" s="381" t="s">
        <v>1052</v>
      </c>
      <c r="H729" s="382">
        <v>10</v>
      </c>
      <c r="I729" s="382" t="s">
        <v>1160</v>
      </c>
      <c r="J729" s="383">
        <v>2.8</v>
      </c>
      <c r="K729" s="380"/>
    </row>
    <row r="730" spans="1:11" ht="11.1" customHeight="1" x14ac:dyDescent="0.3">
      <c r="A730" s="380"/>
      <c r="B730" s="380"/>
      <c r="C730" s="380"/>
      <c r="D730" s="380"/>
      <c r="E730" s="380"/>
      <c r="F730" s="380"/>
      <c r="G730" s="381"/>
      <c r="H730" s="388"/>
      <c r="I730" s="388"/>
      <c r="J730" s="389"/>
      <c r="K730" s="380"/>
    </row>
    <row r="731" spans="1:11" ht="11.1" customHeight="1" x14ac:dyDescent="0.3">
      <c r="A731" s="380"/>
      <c r="B731" s="380" t="s">
        <v>816</v>
      </c>
      <c r="C731" s="380" t="s">
        <v>1303</v>
      </c>
      <c r="D731" s="380"/>
      <c r="E731" s="380"/>
      <c r="F731" s="380"/>
      <c r="G731" s="381" t="s">
        <v>1194</v>
      </c>
      <c r="H731" s="382">
        <v>77</v>
      </c>
      <c r="I731" s="382" t="s">
        <v>1131</v>
      </c>
      <c r="J731" s="383">
        <v>6.8</v>
      </c>
      <c r="K731" s="380"/>
    </row>
    <row r="732" spans="1:11" ht="11.1" customHeight="1" x14ac:dyDescent="0.3">
      <c r="A732" s="380"/>
      <c r="B732" s="380"/>
      <c r="C732" s="380"/>
      <c r="D732" s="380"/>
      <c r="E732" s="380"/>
      <c r="F732" s="380"/>
      <c r="G732" s="381"/>
      <c r="H732" s="388"/>
      <c r="I732" s="388"/>
      <c r="J732" s="389"/>
      <c r="K732" s="380"/>
    </row>
    <row r="733" spans="1:11" ht="11.1" customHeight="1" x14ac:dyDescent="0.3">
      <c r="A733" s="380"/>
      <c r="B733" s="380" t="s">
        <v>818</v>
      </c>
      <c r="C733" s="380" t="s">
        <v>819</v>
      </c>
      <c r="D733" s="380"/>
      <c r="E733" s="380"/>
      <c r="F733" s="380"/>
      <c r="G733" s="381" t="s">
        <v>1304</v>
      </c>
      <c r="H733" s="382">
        <v>359</v>
      </c>
      <c r="I733" s="382" t="s">
        <v>1305</v>
      </c>
      <c r="J733" s="383">
        <v>1.5</v>
      </c>
      <c r="K733" s="380"/>
    </row>
    <row r="734" spans="1:11" ht="11.1" customHeight="1" x14ac:dyDescent="0.3">
      <c r="A734" s="380"/>
      <c r="B734" s="380"/>
      <c r="C734" s="380" t="s">
        <v>820</v>
      </c>
      <c r="D734" s="380" t="s">
        <v>821</v>
      </c>
      <c r="E734" s="380"/>
      <c r="F734" s="380"/>
      <c r="G734" s="381" t="s">
        <v>1304</v>
      </c>
      <c r="H734" s="382">
        <v>359</v>
      </c>
      <c r="I734" s="382" t="s">
        <v>1305</v>
      </c>
      <c r="J734" s="383">
        <v>1.5</v>
      </c>
      <c r="K734" s="380"/>
    </row>
    <row r="735" spans="1:11" ht="11.1" customHeight="1" x14ac:dyDescent="0.3">
      <c r="A735" s="380"/>
      <c r="B735" s="380"/>
      <c r="C735" s="380" t="s">
        <v>822</v>
      </c>
      <c r="D735" s="380" t="s">
        <v>823</v>
      </c>
      <c r="E735" s="380"/>
      <c r="F735" s="380"/>
      <c r="G735" s="381" t="s">
        <v>367</v>
      </c>
      <c r="H735" s="382" t="s">
        <v>367</v>
      </c>
      <c r="I735" s="382" t="s">
        <v>367</v>
      </c>
      <c r="J735" s="383" t="s">
        <v>367</v>
      </c>
      <c r="K735" s="380"/>
    </row>
    <row r="736" spans="1:11" ht="11.1" customHeight="1" x14ac:dyDescent="0.3">
      <c r="A736" s="380"/>
      <c r="B736" s="380"/>
      <c r="C736" s="380"/>
      <c r="D736" s="380"/>
      <c r="E736" s="380"/>
      <c r="F736" s="380"/>
      <c r="G736" s="381"/>
      <c r="H736" s="388"/>
      <c r="I736" s="388"/>
      <c r="J736" s="389"/>
      <c r="K736" s="380"/>
    </row>
    <row r="737" spans="1:11" ht="11.1" customHeight="1" x14ac:dyDescent="0.3">
      <c r="A737" s="380"/>
      <c r="B737" s="380" t="s">
        <v>824</v>
      </c>
      <c r="C737" s="380" t="s">
        <v>1306</v>
      </c>
      <c r="D737" s="380"/>
      <c r="E737" s="380"/>
      <c r="F737" s="380"/>
      <c r="G737" s="381" t="s">
        <v>999</v>
      </c>
      <c r="H737" s="382">
        <v>25</v>
      </c>
      <c r="I737" s="382" t="s">
        <v>1307</v>
      </c>
      <c r="J737" s="383">
        <v>4</v>
      </c>
      <c r="K737" s="380"/>
    </row>
    <row r="738" spans="1:11" ht="11.1" customHeight="1" x14ac:dyDescent="0.3">
      <c r="A738" s="380"/>
      <c r="B738" s="380"/>
      <c r="C738" s="380"/>
      <c r="D738" s="380"/>
      <c r="E738" s="380"/>
      <c r="F738" s="380"/>
      <c r="G738" s="381"/>
      <c r="H738" s="388"/>
      <c r="I738" s="388"/>
      <c r="J738" s="389"/>
      <c r="K738" s="380"/>
    </row>
    <row r="739" spans="1:11" ht="11.1" customHeight="1" x14ac:dyDescent="0.3">
      <c r="A739" s="380">
        <v>12.5</v>
      </c>
      <c r="B739" s="380" t="s">
        <v>432</v>
      </c>
      <c r="C739" s="380"/>
      <c r="D739" s="380"/>
      <c r="E739" s="380"/>
      <c r="F739" s="380"/>
      <c r="G739" s="381" t="s">
        <v>1308</v>
      </c>
      <c r="H739" s="382">
        <v>166</v>
      </c>
      <c r="I739" s="382" t="s">
        <v>1043</v>
      </c>
      <c r="J739" s="383">
        <v>8.1</v>
      </c>
      <c r="K739" s="380"/>
    </row>
    <row r="740" spans="1:11" ht="11.1" customHeight="1" x14ac:dyDescent="0.3">
      <c r="A740" s="380"/>
      <c r="B740" s="380" t="s">
        <v>826</v>
      </c>
      <c r="C740" s="380" t="s">
        <v>827</v>
      </c>
      <c r="D740" s="380"/>
      <c r="E740" s="380"/>
      <c r="F740" s="380"/>
      <c r="G740" s="381" t="s">
        <v>983</v>
      </c>
      <c r="H740" s="382">
        <v>79</v>
      </c>
      <c r="I740" s="382" t="s">
        <v>1023</v>
      </c>
      <c r="J740" s="383">
        <v>9.6999999999999993</v>
      </c>
      <c r="K740" s="380"/>
    </row>
    <row r="741" spans="1:11" ht="11.1" customHeight="1" x14ac:dyDescent="0.3">
      <c r="A741" s="380"/>
      <c r="B741" s="380"/>
      <c r="C741" s="380" t="s">
        <v>828</v>
      </c>
      <c r="D741" s="380" t="s">
        <v>829</v>
      </c>
      <c r="E741" s="380"/>
      <c r="F741" s="380"/>
      <c r="G741" s="381" t="s">
        <v>985</v>
      </c>
      <c r="H741" s="382">
        <v>18</v>
      </c>
      <c r="I741" s="382" t="s">
        <v>1117</v>
      </c>
      <c r="J741" s="383">
        <v>10.4</v>
      </c>
      <c r="K741" s="380"/>
    </row>
    <row r="742" spans="1:11" ht="11.1" customHeight="1" x14ac:dyDescent="0.3">
      <c r="A742" s="380"/>
      <c r="B742" s="380"/>
      <c r="C742" s="380" t="s">
        <v>830</v>
      </c>
      <c r="D742" s="380" t="s">
        <v>831</v>
      </c>
      <c r="E742" s="380"/>
      <c r="F742" s="380"/>
      <c r="G742" s="381" t="s">
        <v>992</v>
      </c>
      <c r="H742" s="382">
        <v>30</v>
      </c>
      <c r="I742" s="382" t="s">
        <v>1114</v>
      </c>
      <c r="J742" s="383">
        <v>13.9</v>
      </c>
      <c r="K742" s="380"/>
    </row>
    <row r="743" spans="1:11" ht="11.1" customHeight="1" x14ac:dyDescent="0.3">
      <c r="A743" s="380"/>
      <c r="B743" s="380"/>
      <c r="C743" s="380" t="s">
        <v>832</v>
      </c>
      <c r="D743" s="380" t="s">
        <v>833</v>
      </c>
      <c r="E743" s="380"/>
      <c r="F743" s="380"/>
      <c r="G743" s="381" t="s">
        <v>985</v>
      </c>
      <c r="H743" s="382">
        <v>18</v>
      </c>
      <c r="I743" s="382" t="s">
        <v>1136</v>
      </c>
      <c r="J743" s="383">
        <v>17.8</v>
      </c>
      <c r="K743" s="380"/>
    </row>
    <row r="744" spans="1:11" ht="11.1" customHeight="1" x14ac:dyDescent="0.3">
      <c r="A744" s="380"/>
      <c r="B744" s="380"/>
      <c r="C744" s="380" t="s">
        <v>834</v>
      </c>
      <c r="D744" s="380" t="s">
        <v>835</v>
      </c>
      <c r="E744" s="380"/>
      <c r="F744" s="380"/>
      <c r="G744" s="381" t="s">
        <v>1064</v>
      </c>
      <c r="H744" s="382">
        <v>7</v>
      </c>
      <c r="I744" s="382" t="s">
        <v>1115</v>
      </c>
      <c r="J744" s="383">
        <v>25.7</v>
      </c>
      <c r="K744" s="380"/>
    </row>
    <row r="745" spans="1:11" ht="11.1" customHeight="1" x14ac:dyDescent="0.3">
      <c r="A745" s="380"/>
      <c r="B745" s="380"/>
      <c r="C745" s="380" t="s">
        <v>836</v>
      </c>
      <c r="D745" s="380" t="s">
        <v>837</v>
      </c>
      <c r="E745" s="380"/>
      <c r="F745" s="380"/>
      <c r="G745" s="381" t="s">
        <v>1022</v>
      </c>
      <c r="H745" s="382">
        <v>5</v>
      </c>
      <c r="I745" s="382" t="s">
        <v>1136</v>
      </c>
      <c r="J745" s="383">
        <v>29.7</v>
      </c>
      <c r="K745" s="380"/>
    </row>
    <row r="746" spans="1:11" ht="11.1" customHeight="1" x14ac:dyDescent="0.3">
      <c r="A746" s="380"/>
      <c r="B746" s="380"/>
      <c r="C746" s="380"/>
      <c r="D746" s="380"/>
      <c r="E746" s="380"/>
      <c r="F746" s="380"/>
      <c r="G746" s="381"/>
      <c r="H746" s="388"/>
      <c r="I746" s="388"/>
      <c r="J746" s="389"/>
      <c r="K746" s="380"/>
    </row>
    <row r="747" spans="1:11" ht="11.1" customHeight="1" x14ac:dyDescent="0.3">
      <c r="A747" s="380"/>
      <c r="B747" s="380" t="s">
        <v>838</v>
      </c>
      <c r="C747" s="380" t="s">
        <v>839</v>
      </c>
      <c r="D747" s="380"/>
      <c r="E747" s="380"/>
      <c r="F747" s="380"/>
      <c r="G747" s="381" t="s">
        <v>985</v>
      </c>
      <c r="H747" s="382">
        <v>17</v>
      </c>
      <c r="I747" s="382" t="s">
        <v>1309</v>
      </c>
      <c r="J747" s="383">
        <v>4.2</v>
      </c>
      <c r="K747" s="380"/>
    </row>
    <row r="748" spans="1:11" ht="11.1" customHeight="1" x14ac:dyDescent="0.3">
      <c r="A748" s="380"/>
      <c r="B748" s="380"/>
      <c r="C748" s="380" t="s">
        <v>840</v>
      </c>
      <c r="D748" s="380" t="s">
        <v>841</v>
      </c>
      <c r="E748" s="380"/>
      <c r="F748" s="380"/>
      <c r="G748" s="381" t="s">
        <v>979</v>
      </c>
      <c r="H748" s="382">
        <v>14</v>
      </c>
      <c r="I748" s="382" t="s">
        <v>1035</v>
      </c>
      <c r="J748" s="383">
        <v>4.5</v>
      </c>
      <c r="K748" s="380"/>
    </row>
    <row r="749" spans="1:11" ht="11.1" customHeight="1" x14ac:dyDescent="0.3">
      <c r="A749" s="380"/>
      <c r="B749" s="380"/>
      <c r="C749" s="380" t="s">
        <v>842</v>
      </c>
      <c r="D749" s="380" t="s">
        <v>843</v>
      </c>
      <c r="E749" s="380"/>
      <c r="F749" s="380"/>
      <c r="G749" s="381" t="s">
        <v>230</v>
      </c>
      <c r="H749" s="382" t="s">
        <v>230</v>
      </c>
      <c r="I749" s="382" t="s">
        <v>230</v>
      </c>
      <c r="J749" s="383" t="s">
        <v>230</v>
      </c>
      <c r="K749" s="380"/>
    </row>
    <row r="750" spans="1:11" ht="11.1" customHeight="1" x14ac:dyDescent="0.3">
      <c r="A750" s="380"/>
      <c r="B750" s="380"/>
      <c r="C750" s="380" t="s">
        <v>844</v>
      </c>
      <c r="D750" s="380" t="s">
        <v>845</v>
      </c>
      <c r="E750" s="380"/>
      <c r="F750" s="380"/>
      <c r="G750" s="381" t="s">
        <v>1005</v>
      </c>
      <c r="H750" s="382">
        <v>3</v>
      </c>
      <c r="I750" s="382" t="s">
        <v>1023</v>
      </c>
      <c r="J750" s="383">
        <v>7.9</v>
      </c>
      <c r="K750" s="380"/>
    </row>
    <row r="751" spans="1:11" ht="11.1" customHeight="1" x14ac:dyDescent="0.3">
      <c r="A751" s="380"/>
      <c r="B751" s="380"/>
      <c r="C751" s="380" t="s">
        <v>846</v>
      </c>
      <c r="D751" s="380" t="s">
        <v>847</v>
      </c>
      <c r="E751" s="380"/>
      <c r="F751" s="380"/>
      <c r="G751" s="381" t="s">
        <v>230</v>
      </c>
      <c r="H751" s="382" t="s">
        <v>230</v>
      </c>
      <c r="I751" s="382" t="s">
        <v>230</v>
      </c>
      <c r="J751" s="383" t="s">
        <v>230</v>
      </c>
      <c r="K751" s="380"/>
    </row>
    <row r="752" spans="1:11" ht="11.1" customHeight="1" x14ac:dyDescent="0.3">
      <c r="A752" s="380"/>
      <c r="B752" s="380"/>
      <c r="C752" s="380"/>
      <c r="D752" s="380"/>
      <c r="E752" s="380"/>
      <c r="F752" s="380"/>
      <c r="G752" s="381"/>
      <c r="H752" s="388"/>
      <c r="I752" s="388"/>
      <c r="J752" s="389"/>
      <c r="K752" s="380"/>
    </row>
    <row r="753" spans="1:11" ht="11.1" customHeight="1" x14ac:dyDescent="0.3">
      <c r="A753" s="380"/>
      <c r="B753" s="380" t="s">
        <v>848</v>
      </c>
      <c r="C753" s="380" t="s">
        <v>849</v>
      </c>
      <c r="D753" s="380"/>
      <c r="E753" s="380"/>
      <c r="F753" s="380"/>
      <c r="G753" s="381" t="s">
        <v>997</v>
      </c>
      <c r="H753" s="382">
        <v>70</v>
      </c>
      <c r="I753" s="382" t="s">
        <v>1063</v>
      </c>
      <c r="J753" s="383">
        <v>15.8</v>
      </c>
      <c r="K753" s="380"/>
    </row>
    <row r="754" spans="1:11" ht="11.1" customHeight="1" x14ac:dyDescent="0.3">
      <c r="A754" s="380"/>
      <c r="B754" s="380"/>
      <c r="C754" s="380" t="s">
        <v>850</v>
      </c>
      <c r="D754" s="380" t="s">
        <v>851</v>
      </c>
      <c r="E754" s="380"/>
      <c r="F754" s="380"/>
      <c r="G754" s="381" t="s">
        <v>985</v>
      </c>
      <c r="H754" s="382">
        <v>17</v>
      </c>
      <c r="I754" s="382" t="s">
        <v>1136</v>
      </c>
      <c r="J754" s="383">
        <v>22.1</v>
      </c>
      <c r="K754" s="380"/>
    </row>
    <row r="755" spans="1:11" ht="11.1" customHeight="1" x14ac:dyDescent="0.3">
      <c r="A755" s="380"/>
      <c r="B755" s="380"/>
      <c r="C755" s="380" t="s">
        <v>852</v>
      </c>
      <c r="D755" s="380" t="s">
        <v>853</v>
      </c>
      <c r="E755" s="380"/>
      <c r="F755" s="380"/>
      <c r="G755" s="381" t="s">
        <v>1310</v>
      </c>
      <c r="H755" s="382" t="s">
        <v>1311</v>
      </c>
      <c r="I755" s="382" t="s">
        <v>1010</v>
      </c>
      <c r="J755" s="383">
        <v>24.4</v>
      </c>
      <c r="K755" s="380"/>
    </row>
    <row r="756" spans="1:11" ht="11.1" customHeight="1" x14ac:dyDescent="0.3">
      <c r="A756" s="380"/>
      <c r="B756" s="380"/>
      <c r="C756" s="380" t="s">
        <v>854</v>
      </c>
      <c r="D756" s="380" t="s">
        <v>855</v>
      </c>
      <c r="E756" s="380"/>
      <c r="F756" s="380"/>
      <c r="G756" s="381" t="s">
        <v>1153</v>
      </c>
      <c r="H756" s="382" t="s">
        <v>1312</v>
      </c>
      <c r="I756" s="382" t="s">
        <v>1189</v>
      </c>
      <c r="J756" s="383">
        <v>112.2</v>
      </c>
      <c r="K756" s="380"/>
    </row>
    <row r="757" spans="1:11" ht="11.1" customHeight="1" x14ac:dyDescent="0.3">
      <c r="A757" s="380"/>
      <c r="B757" s="380"/>
      <c r="C757" s="380" t="s">
        <v>856</v>
      </c>
      <c r="D757" s="380" t="s">
        <v>857</v>
      </c>
      <c r="E757" s="380"/>
      <c r="F757" s="380"/>
      <c r="G757" s="381" t="s">
        <v>1105</v>
      </c>
      <c r="H757" s="382">
        <v>23</v>
      </c>
      <c r="I757" s="382" t="s">
        <v>1158</v>
      </c>
      <c r="J757" s="383">
        <v>5.0999999999999996</v>
      </c>
      <c r="K757" s="380"/>
    </row>
    <row r="758" spans="1:11" ht="11.1" customHeight="1" x14ac:dyDescent="0.3">
      <c r="A758" s="380"/>
      <c r="B758" s="380"/>
      <c r="C758" s="380" t="s">
        <v>858</v>
      </c>
      <c r="D758" s="380" t="s">
        <v>859</v>
      </c>
      <c r="E758" s="380"/>
      <c r="F758" s="380"/>
      <c r="G758" s="381" t="s">
        <v>1009</v>
      </c>
      <c r="H758" s="382">
        <v>1</v>
      </c>
      <c r="I758" s="382" t="s">
        <v>1136</v>
      </c>
      <c r="J758" s="383">
        <v>119.6</v>
      </c>
      <c r="K758" s="380"/>
    </row>
    <row r="759" spans="1:11" ht="11.1" customHeight="1" x14ac:dyDescent="0.3">
      <c r="A759" s="380"/>
      <c r="B759" s="380"/>
      <c r="C759" s="380"/>
      <c r="D759" s="380"/>
      <c r="E759" s="380"/>
      <c r="F759" s="380"/>
      <c r="G759" s="381"/>
      <c r="H759" s="388"/>
      <c r="I759" s="388"/>
      <c r="J759" s="389"/>
      <c r="K759" s="380"/>
    </row>
    <row r="760" spans="1:11" ht="11.1" customHeight="1" x14ac:dyDescent="0.3">
      <c r="A760" s="360"/>
      <c r="B760" s="360"/>
      <c r="C760" s="361"/>
      <c r="D760" s="362"/>
      <c r="E760" s="362"/>
      <c r="F760" s="362"/>
      <c r="G760" s="363"/>
      <c r="H760" s="364"/>
      <c r="I760" s="364"/>
      <c r="J760" s="365"/>
      <c r="K760" s="438"/>
    </row>
    <row r="761" spans="1:11" ht="11.1" customHeight="1" x14ac:dyDescent="0.3">
      <c r="A761" s="376" t="s">
        <v>860</v>
      </c>
      <c r="B761" s="376" t="s">
        <v>19</v>
      </c>
      <c r="C761" s="376"/>
      <c r="D761" s="376"/>
      <c r="E761" s="376"/>
      <c r="F761" s="376"/>
      <c r="G761" s="377" t="s">
        <v>1313</v>
      </c>
      <c r="H761" s="378">
        <v>15295</v>
      </c>
      <c r="I761" s="378" t="s">
        <v>972</v>
      </c>
      <c r="J761" s="379">
        <v>1</v>
      </c>
      <c r="K761" s="380"/>
    </row>
    <row r="762" spans="1:11" ht="11.1" customHeight="1" x14ac:dyDescent="0.3">
      <c r="A762" s="360"/>
      <c r="B762" s="360"/>
      <c r="C762" s="361"/>
      <c r="D762" s="362"/>
      <c r="E762" s="362"/>
      <c r="F762" s="362"/>
      <c r="G762" s="363"/>
      <c r="H762" s="364"/>
      <c r="I762" s="364"/>
      <c r="J762" s="365"/>
      <c r="K762" s="438"/>
    </row>
    <row r="763" spans="1:11" ht="11.1" customHeight="1" x14ac:dyDescent="0.3">
      <c r="A763" s="376"/>
      <c r="B763" s="376"/>
      <c r="C763" s="376"/>
      <c r="D763" s="376"/>
      <c r="E763" s="376"/>
      <c r="F763" s="376"/>
      <c r="G763" s="377"/>
      <c r="H763" s="420"/>
      <c r="I763" s="420"/>
      <c r="J763" s="421"/>
      <c r="K763" s="380"/>
    </row>
    <row r="764" spans="1:11" ht="11.1" customHeight="1" x14ac:dyDescent="0.3">
      <c r="A764" s="376">
        <v>13</v>
      </c>
      <c r="B764" s="376" t="s">
        <v>20</v>
      </c>
      <c r="C764" s="376"/>
      <c r="D764" s="376"/>
      <c r="E764" s="376"/>
      <c r="F764" s="376"/>
      <c r="G764" s="377" t="s">
        <v>1314</v>
      </c>
      <c r="H764" s="378">
        <v>2458</v>
      </c>
      <c r="I764" s="378" t="s">
        <v>1315</v>
      </c>
      <c r="J764" s="379">
        <v>2.7</v>
      </c>
      <c r="K764" s="380"/>
    </row>
    <row r="765" spans="1:11" ht="11.1" customHeight="1" x14ac:dyDescent="0.3">
      <c r="A765" s="380"/>
      <c r="B765" s="380"/>
      <c r="C765" s="380"/>
      <c r="D765" s="380"/>
      <c r="E765" s="380"/>
      <c r="F765" s="380"/>
      <c r="G765" s="381"/>
      <c r="H765" s="388"/>
      <c r="I765" s="388"/>
      <c r="J765" s="389"/>
      <c r="K765" s="380"/>
    </row>
    <row r="766" spans="1:11" ht="11.1" customHeight="1" x14ac:dyDescent="0.3">
      <c r="A766" s="380">
        <v>13.1</v>
      </c>
      <c r="B766" s="380" t="s">
        <v>861</v>
      </c>
      <c r="C766" s="380"/>
      <c r="D766" s="380"/>
      <c r="E766" s="380"/>
      <c r="F766" s="380"/>
      <c r="G766" s="381" t="s">
        <v>1316</v>
      </c>
      <c r="H766" s="382">
        <v>1713</v>
      </c>
      <c r="I766" s="382" t="s">
        <v>1247</v>
      </c>
      <c r="J766" s="383">
        <v>1.5</v>
      </c>
      <c r="K766" s="380"/>
    </row>
    <row r="767" spans="1:11" ht="11.1" customHeight="1" x14ac:dyDescent="0.3">
      <c r="A767" s="380"/>
      <c r="B767" s="380" t="s">
        <v>862</v>
      </c>
      <c r="C767" s="380" t="s">
        <v>863</v>
      </c>
      <c r="D767" s="380"/>
      <c r="E767" s="380"/>
      <c r="F767" s="380"/>
      <c r="G767" s="381" t="s">
        <v>1317</v>
      </c>
      <c r="H767" s="382">
        <v>757</v>
      </c>
      <c r="I767" s="382" t="s">
        <v>1318</v>
      </c>
      <c r="J767" s="383">
        <v>2.5</v>
      </c>
      <c r="K767" s="380"/>
    </row>
    <row r="768" spans="1:11" ht="11.1" customHeight="1" x14ac:dyDescent="0.3">
      <c r="A768" s="380"/>
      <c r="B768" s="380" t="s">
        <v>864</v>
      </c>
      <c r="C768" s="380" t="s">
        <v>865</v>
      </c>
      <c r="D768" s="380"/>
      <c r="E768" s="380"/>
      <c r="F768" s="380"/>
      <c r="G768" s="381" t="s">
        <v>992</v>
      </c>
      <c r="H768" s="382">
        <v>32</v>
      </c>
      <c r="I768" s="382" t="s">
        <v>1250</v>
      </c>
      <c r="J768" s="383">
        <v>3.7</v>
      </c>
      <c r="K768" s="380"/>
    </row>
    <row r="769" spans="1:11" ht="11.1" customHeight="1" x14ac:dyDescent="0.3">
      <c r="A769" s="380"/>
      <c r="B769" s="380" t="s">
        <v>866</v>
      </c>
      <c r="C769" s="380" t="s">
        <v>867</v>
      </c>
      <c r="D769" s="380"/>
      <c r="E769" s="380"/>
      <c r="F769" s="380"/>
      <c r="G769" s="381" t="s">
        <v>1319</v>
      </c>
      <c r="H769" s="382">
        <v>863</v>
      </c>
      <c r="I769" s="382" t="s">
        <v>1320</v>
      </c>
      <c r="J769" s="383">
        <v>0.8</v>
      </c>
      <c r="K769" s="380"/>
    </row>
    <row r="770" spans="1:11" ht="11.1" customHeight="1" x14ac:dyDescent="0.3">
      <c r="A770" s="380"/>
      <c r="B770" s="380" t="s">
        <v>868</v>
      </c>
      <c r="C770" s="380" t="s">
        <v>869</v>
      </c>
      <c r="D770" s="380"/>
      <c r="E770" s="380"/>
      <c r="F770" s="380"/>
      <c r="G770" s="381" t="s">
        <v>1057</v>
      </c>
      <c r="H770" s="382">
        <v>62</v>
      </c>
      <c r="I770" s="382" t="s">
        <v>1115</v>
      </c>
      <c r="J770" s="383">
        <v>16.7</v>
      </c>
      <c r="K770" s="380"/>
    </row>
    <row r="771" spans="1:11" ht="11.1" customHeight="1" x14ac:dyDescent="0.3">
      <c r="A771" s="380"/>
      <c r="B771" s="380"/>
      <c r="C771" s="380"/>
      <c r="D771" s="380"/>
      <c r="E771" s="380"/>
      <c r="F771" s="380"/>
      <c r="G771" s="381"/>
      <c r="H771" s="388"/>
      <c r="I771" s="388"/>
      <c r="J771" s="389"/>
      <c r="K771" s="380"/>
    </row>
    <row r="772" spans="1:11" ht="11.1" customHeight="1" x14ac:dyDescent="0.3">
      <c r="A772" s="380">
        <v>13.2</v>
      </c>
      <c r="B772" s="380" t="s">
        <v>870</v>
      </c>
      <c r="C772" s="380"/>
      <c r="D772" s="380"/>
      <c r="E772" s="380"/>
      <c r="F772" s="380"/>
      <c r="G772" s="381" t="s">
        <v>1321</v>
      </c>
      <c r="H772" s="382">
        <v>125</v>
      </c>
      <c r="I772" s="382" t="s">
        <v>1322</v>
      </c>
      <c r="J772" s="383">
        <v>4.3</v>
      </c>
      <c r="K772" s="380"/>
    </row>
    <row r="773" spans="1:11" ht="11.1" customHeight="1" x14ac:dyDescent="0.3">
      <c r="A773" s="380"/>
      <c r="B773" s="380" t="s">
        <v>871</v>
      </c>
      <c r="C773" s="380" t="s">
        <v>872</v>
      </c>
      <c r="D773" s="380"/>
      <c r="E773" s="380"/>
      <c r="F773" s="380"/>
      <c r="G773" s="381" t="s">
        <v>985</v>
      </c>
      <c r="H773" s="382">
        <v>16</v>
      </c>
      <c r="I773" s="382" t="s">
        <v>1115</v>
      </c>
      <c r="J773" s="383">
        <v>32.1</v>
      </c>
      <c r="K773" s="380"/>
    </row>
    <row r="774" spans="1:11" ht="11.1" customHeight="1" x14ac:dyDescent="0.3">
      <c r="A774" s="380"/>
      <c r="B774" s="380" t="s">
        <v>873</v>
      </c>
      <c r="C774" s="380" t="s">
        <v>874</v>
      </c>
      <c r="D774" s="380"/>
      <c r="E774" s="380"/>
      <c r="F774" s="380"/>
      <c r="G774" s="381" t="s">
        <v>1190</v>
      </c>
      <c r="H774" s="382" t="s">
        <v>1191</v>
      </c>
      <c r="I774" s="382" t="s">
        <v>1189</v>
      </c>
      <c r="J774" s="383">
        <v>23.1</v>
      </c>
      <c r="K774" s="380"/>
    </row>
    <row r="775" spans="1:11" ht="11.1" customHeight="1" x14ac:dyDescent="0.3">
      <c r="A775" s="380"/>
      <c r="B775" s="380" t="s">
        <v>875</v>
      </c>
      <c r="C775" s="380" t="s">
        <v>876</v>
      </c>
      <c r="D775" s="380"/>
      <c r="E775" s="380"/>
      <c r="F775" s="380"/>
      <c r="G775" s="381" t="s">
        <v>1183</v>
      </c>
      <c r="H775" s="382">
        <v>107</v>
      </c>
      <c r="I775" s="382" t="s">
        <v>1323</v>
      </c>
      <c r="J775" s="383">
        <v>1.4</v>
      </c>
      <c r="K775" s="380"/>
    </row>
    <row r="776" spans="1:11" ht="11.1" customHeight="1" x14ac:dyDescent="0.3">
      <c r="A776" s="380"/>
      <c r="B776" s="380"/>
      <c r="C776" s="380"/>
      <c r="D776" s="380"/>
      <c r="E776" s="380"/>
      <c r="F776" s="380"/>
      <c r="G776" s="381"/>
      <c r="H776" s="388"/>
      <c r="I776" s="388"/>
      <c r="J776" s="389"/>
      <c r="K776" s="380"/>
    </row>
    <row r="777" spans="1:11" ht="11.1" customHeight="1" x14ac:dyDescent="0.3">
      <c r="A777" s="380">
        <v>13.3</v>
      </c>
      <c r="B777" s="380" t="s">
        <v>877</v>
      </c>
      <c r="C777" s="380"/>
      <c r="D777" s="380"/>
      <c r="E777" s="380"/>
      <c r="F777" s="380"/>
      <c r="G777" s="381" t="s">
        <v>1200</v>
      </c>
      <c r="H777" s="382">
        <v>219</v>
      </c>
      <c r="I777" s="382" t="s">
        <v>1107</v>
      </c>
      <c r="J777" s="383">
        <v>3</v>
      </c>
      <c r="K777" s="380"/>
    </row>
    <row r="778" spans="1:11" ht="11.1" customHeight="1" x14ac:dyDescent="0.3">
      <c r="A778" s="380"/>
      <c r="B778" s="380" t="s">
        <v>878</v>
      </c>
      <c r="C778" s="380" t="s">
        <v>879</v>
      </c>
      <c r="D778" s="380"/>
      <c r="E778" s="380"/>
      <c r="F778" s="380"/>
      <c r="G778" s="381" t="s">
        <v>1001</v>
      </c>
      <c r="H778" s="382">
        <v>218</v>
      </c>
      <c r="I778" s="382" t="s">
        <v>1107</v>
      </c>
      <c r="J778" s="383">
        <v>3</v>
      </c>
      <c r="K778" s="380"/>
    </row>
    <row r="779" spans="1:11" ht="11.1" customHeight="1" x14ac:dyDescent="0.3">
      <c r="A779" s="380"/>
      <c r="B779" s="380" t="s">
        <v>880</v>
      </c>
      <c r="C779" s="380" t="s">
        <v>881</v>
      </c>
      <c r="D779" s="380"/>
      <c r="E779" s="380"/>
      <c r="F779" s="380"/>
      <c r="G779" s="381" t="s">
        <v>230</v>
      </c>
      <c r="H779" s="382" t="s">
        <v>230</v>
      </c>
      <c r="I779" s="382" t="s">
        <v>230</v>
      </c>
      <c r="J779" s="383" t="s">
        <v>230</v>
      </c>
      <c r="K779" s="380"/>
    </row>
    <row r="780" spans="1:11" ht="11.1" customHeight="1" x14ac:dyDescent="0.3">
      <c r="A780" s="441"/>
      <c r="B780" s="360"/>
      <c r="C780" s="361"/>
      <c r="D780" s="362"/>
      <c r="E780" s="362"/>
      <c r="F780" s="362"/>
      <c r="G780" s="363"/>
      <c r="H780" s="364"/>
      <c r="I780" s="364"/>
      <c r="J780" s="365"/>
      <c r="K780" s="440"/>
    </row>
    <row r="781" spans="1:11" ht="11.1" customHeight="1" x14ac:dyDescent="0.3">
      <c r="A781" s="380"/>
      <c r="B781" s="380"/>
      <c r="C781" s="380"/>
      <c r="D781" s="380"/>
      <c r="E781" s="380"/>
      <c r="F781" s="380"/>
      <c r="G781" s="381"/>
      <c r="H781" s="388"/>
      <c r="I781" s="388"/>
      <c r="J781" s="389"/>
      <c r="K781" s="380"/>
    </row>
    <row r="782" spans="1:11" ht="11.1" customHeight="1" x14ac:dyDescent="0.3">
      <c r="A782" s="157" t="s">
        <v>111</v>
      </c>
      <c r="B782" s="380"/>
      <c r="C782" s="380"/>
      <c r="D782" s="380"/>
      <c r="E782" s="380"/>
      <c r="F782" s="380"/>
      <c r="G782" s="381"/>
      <c r="H782" s="388"/>
      <c r="I782" s="388"/>
      <c r="J782" s="389"/>
      <c r="K782" s="380"/>
    </row>
    <row r="783" spans="1:11" ht="11.1" customHeight="1" x14ac:dyDescent="0.3">
      <c r="A783" s="157" t="s">
        <v>182</v>
      </c>
      <c r="B783" s="380"/>
      <c r="C783" s="380"/>
      <c r="D783" s="380"/>
      <c r="E783" s="380"/>
      <c r="F783" s="380"/>
      <c r="G783" s="381"/>
      <c r="H783" s="388"/>
      <c r="I783" s="388"/>
      <c r="J783" s="389"/>
      <c r="K783" s="380"/>
    </row>
    <row r="784" spans="1:11" ht="11.1" customHeight="1" x14ac:dyDescent="0.3">
      <c r="A784" s="157" t="s">
        <v>112</v>
      </c>
      <c r="B784" s="380"/>
      <c r="C784" s="380"/>
      <c r="D784" s="380"/>
      <c r="E784" s="380"/>
      <c r="F784" s="380"/>
      <c r="G784" s="381"/>
      <c r="H784" s="388"/>
      <c r="I784" s="388"/>
      <c r="J784" s="389"/>
      <c r="K784" s="380"/>
    </row>
    <row r="785" spans="1:11" ht="11.1" customHeight="1" x14ac:dyDescent="0.3">
      <c r="A785" s="80" t="s">
        <v>1324</v>
      </c>
      <c r="B785" s="380"/>
      <c r="C785" s="380"/>
      <c r="D785" s="380"/>
      <c r="E785" s="380"/>
      <c r="F785" s="380"/>
      <c r="G785" s="381"/>
      <c r="H785" s="388"/>
      <c r="I785" s="388"/>
      <c r="J785" s="389"/>
      <c r="K785" s="380"/>
    </row>
    <row r="786" spans="1:11" ht="11.1" customHeight="1" x14ac:dyDescent="0.3">
      <c r="A786" s="80" t="s">
        <v>883</v>
      </c>
      <c r="B786" s="380"/>
      <c r="C786" s="380"/>
      <c r="D786" s="380"/>
      <c r="E786" s="380"/>
      <c r="F786" s="380"/>
      <c r="G786" s="381"/>
      <c r="H786" s="388"/>
      <c r="I786" s="388"/>
      <c r="J786" s="389"/>
      <c r="K786" s="380"/>
    </row>
    <row r="787" spans="1:11" ht="11.1" customHeight="1" x14ac:dyDescent="0.3">
      <c r="A787" s="80" t="s">
        <v>1325</v>
      </c>
      <c r="B787" s="380"/>
      <c r="C787" s="380"/>
      <c r="D787" s="380"/>
      <c r="E787" s="380"/>
      <c r="F787" s="380"/>
      <c r="G787" s="381"/>
      <c r="H787" s="388"/>
      <c r="I787" s="388"/>
      <c r="J787" s="389"/>
      <c r="K787" s="380"/>
    </row>
    <row r="788" spans="1:11" ht="11.1" customHeight="1" x14ac:dyDescent="0.3">
      <c r="A788" s="80" t="s">
        <v>885</v>
      </c>
      <c r="B788" s="380"/>
      <c r="C788" s="380"/>
      <c r="D788" s="380"/>
      <c r="E788" s="380"/>
      <c r="F788" s="380"/>
      <c r="G788" s="381"/>
      <c r="H788" s="388"/>
      <c r="I788" s="388"/>
      <c r="J788" s="389"/>
      <c r="K788" s="380"/>
    </row>
    <row r="789" spans="1:11" ht="11.1" customHeight="1" x14ac:dyDescent="0.3">
      <c r="A789" s="80" t="s">
        <v>1326</v>
      </c>
      <c r="B789" s="380"/>
      <c r="C789" s="380"/>
      <c r="D789" s="380"/>
      <c r="E789" s="380"/>
      <c r="F789" s="380"/>
      <c r="G789" s="381"/>
      <c r="H789" s="388"/>
      <c r="I789" s="388"/>
      <c r="J789" s="389"/>
      <c r="K789" s="380"/>
    </row>
    <row r="790" spans="1:11" ht="11.1" customHeight="1" x14ac:dyDescent="0.3">
      <c r="A790" s="80" t="s">
        <v>887</v>
      </c>
      <c r="B790" s="380"/>
      <c r="C790" s="380"/>
      <c r="D790" s="380"/>
      <c r="E790" s="380"/>
      <c r="F790" s="380"/>
      <c r="G790" s="381"/>
      <c r="H790" s="388"/>
      <c r="I790" s="388"/>
      <c r="J790" s="389"/>
      <c r="K790" s="380"/>
    </row>
    <row r="791" spans="1:11" ht="11.1" customHeight="1" x14ac:dyDescent="0.3">
      <c r="A791" s="380"/>
      <c r="B791" s="380"/>
      <c r="C791" s="380"/>
      <c r="D791" s="380"/>
      <c r="E791" s="380"/>
      <c r="F791" s="380"/>
      <c r="G791" s="381"/>
      <c r="H791" s="388"/>
      <c r="I791" s="388"/>
      <c r="J791" s="389"/>
      <c r="K791" s="380"/>
    </row>
    <row r="792" spans="1:11" ht="11.1" customHeight="1" x14ac:dyDescent="0.3">
      <c r="A792" s="380"/>
      <c r="B792" s="380"/>
      <c r="C792" s="380"/>
      <c r="D792" s="380"/>
      <c r="E792" s="380"/>
      <c r="F792" s="380"/>
      <c r="G792" s="381"/>
      <c r="H792" s="388"/>
      <c r="I792" s="388"/>
      <c r="J792" s="389"/>
      <c r="K792" s="380"/>
    </row>
    <row r="795" spans="1:11" ht="11.1" customHeight="1" x14ac:dyDescent="0.3">
      <c r="A795" s="390" t="s">
        <v>114</v>
      </c>
      <c r="B795" s="425"/>
      <c r="C795" s="426"/>
      <c r="D795" s="427"/>
      <c r="E795" s="427"/>
      <c r="F795" s="428"/>
      <c r="G795" s="405"/>
      <c r="H795" s="406"/>
      <c r="I795" s="406"/>
      <c r="J795" s="393"/>
      <c r="K795" s="424"/>
    </row>
    <row r="796" spans="1:11" ht="19.2" customHeight="1" x14ac:dyDescent="0.3">
      <c r="A796" s="394" t="s">
        <v>183</v>
      </c>
      <c r="B796" s="395"/>
      <c r="C796" s="324"/>
      <c r="D796" s="325"/>
      <c r="E796" s="325"/>
      <c r="F796" s="326"/>
      <c r="G796" s="430"/>
      <c r="H796" s="431"/>
      <c r="I796" s="431"/>
      <c r="J796" s="400"/>
      <c r="K796" s="429"/>
    </row>
    <row r="797" spans="1:11" ht="12.6" customHeight="1" x14ac:dyDescent="0.3">
      <c r="A797" s="401" t="s">
        <v>971</v>
      </c>
      <c r="B797" s="402"/>
      <c r="C797" s="336"/>
      <c r="D797" s="337"/>
      <c r="E797" s="325"/>
      <c r="F797" s="326"/>
      <c r="G797" s="430"/>
      <c r="H797" s="431"/>
      <c r="I797" s="431"/>
      <c r="J797" s="400"/>
      <c r="K797" s="429"/>
    </row>
    <row r="798" spans="1:11" ht="11.1" customHeight="1" x14ac:dyDescent="0.3">
      <c r="A798" s="360"/>
      <c r="B798" s="360"/>
      <c r="C798" s="361"/>
      <c r="D798" s="362"/>
      <c r="E798" s="362"/>
      <c r="F798" s="362"/>
      <c r="G798" s="363"/>
      <c r="H798" s="364"/>
      <c r="I798" s="364"/>
      <c r="J798" s="365"/>
      <c r="K798" s="419"/>
    </row>
    <row r="799" spans="1:11" ht="11.1" customHeight="1" x14ac:dyDescent="0.3">
      <c r="A799" s="346"/>
      <c r="B799" s="346"/>
      <c r="C799" s="347"/>
      <c r="D799" s="348"/>
      <c r="E799" s="348"/>
      <c r="F799" s="348"/>
      <c r="G799" s="405"/>
      <c r="H799" s="406"/>
      <c r="I799" s="406"/>
      <c r="J799" s="407"/>
      <c r="K799" s="419"/>
    </row>
    <row r="800" spans="1:11" ht="11.1" customHeight="1" x14ac:dyDescent="0.3">
      <c r="A800" s="408"/>
      <c r="B800" s="408"/>
      <c r="C800" s="409"/>
      <c r="D800" s="410"/>
      <c r="E800" s="410"/>
      <c r="F800" s="353"/>
      <c r="G800" s="354" t="s">
        <v>116</v>
      </c>
      <c r="H800" s="355" t="s">
        <v>25</v>
      </c>
      <c r="I800" s="355" t="s">
        <v>26</v>
      </c>
      <c r="J800" s="356" t="s">
        <v>117</v>
      </c>
      <c r="K800" s="432"/>
    </row>
    <row r="801" spans="1:11" ht="11.1" customHeight="1" x14ac:dyDescent="0.3">
      <c r="A801" s="408"/>
      <c r="B801" s="408"/>
      <c r="C801" s="411"/>
      <c r="D801" s="410"/>
      <c r="E801" s="410"/>
      <c r="F801" s="353"/>
      <c r="G801" s="358" t="s">
        <v>29</v>
      </c>
      <c r="H801" s="355" t="s">
        <v>27</v>
      </c>
      <c r="I801" s="355" t="s">
        <v>28</v>
      </c>
      <c r="J801" s="356" t="s">
        <v>118</v>
      </c>
      <c r="K801" s="432"/>
    </row>
    <row r="802" spans="1:11" ht="11.1" customHeight="1" x14ac:dyDescent="0.3">
      <c r="A802" s="408"/>
      <c r="B802" s="408"/>
      <c r="C802" s="411"/>
      <c r="D802" s="410"/>
      <c r="E802" s="410"/>
      <c r="F802" s="353"/>
      <c r="G802" s="354" t="s">
        <v>31</v>
      </c>
      <c r="H802" s="355" t="s">
        <v>29</v>
      </c>
      <c r="I802" s="355" t="s">
        <v>30</v>
      </c>
      <c r="J802" s="356" t="s">
        <v>119</v>
      </c>
      <c r="K802" s="432"/>
    </row>
    <row r="803" spans="1:11" ht="11.1" customHeight="1" x14ac:dyDescent="0.3">
      <c r="A803" s="408"/>
      <c r="B803" s="408"/>
      <c r="C803" s="411"/>
      <c r="D803" s="410"/>
      <c r="E803" s="410"/>
      <c r="F803" s="353"/>
      <c r="G803" s="358" t="s">
        <v>32</v>
      </c>
      <c r="H803" s="355" t="s">
        <v>33</v>
      </c>
      <c r="I803" s="355" t="s">
        <v>120</v>
      </c>
      <c r="J803" s="356" t="s">
        <v>121</v>
      </c>
      <c r="K803" s="432"/>
    </row>
    <row r="804" spans="1:11" ht="11.1" customHeight="1" x14ac:dyDescent="0.3">
      <c r="A804" s="360"/>
      <c r="B804" s="360"/>
      <c r="C804" s="361"/>
      <c r="D804" s="362"/>
      <c r="E804" s="362"/>
      <c r="F804" s="362"/>
      <c r="G804" s="363"/>
      <c r="H804" s="364"/>
      <c r="I804" s="364"/>
      <c r="J804" s="365"/>
      <c r="K804" s="419"/>
    </row>
    <row r="805" spans="1:11" ht="11.1" customHeight="1" x14ac:dyDescent="0.3">
      <c r="A805" s="433"/>
      <c r="B805" s="346"/>
      <c r="C805" s="434"/>
      <c r="D805" s="405"/>
      <c r="E805" s="405"/>
      <c r="F805" s="348"/>
      <c r="G805" s="405"/>
      <c r="H805" s="406"/>
      <c r="I805" s="406"/>
      <c r="J805" s="407"/>
      <c r="K805" s="419"/>
    </row>
    <row r="806" spans="1:11" ht="11.1" customHeight="1" x14ac:dyDescent="0.3">
      <c r="A806" s="375" t="s">
        <v>123</v>
      </c>
      <c r="B806" s="412"/>
      <c r="C806" s="413"/>
      <c r="D806" s="414"/>
      <c r="E806" s="414"/>
      <c r="F806" s="415" t="s">
        <v>973</v>
      </c>
      <c r="G806" s="416"/>
      <c r="H806" s="417"/>
      <c r="I806" s="417"/>
      <c r="J806" s="418"/>
      <c r="K806" s="440"/>
    </row>
    <row r="808" spans="1:11" ht="11.1" customHeight="1" x14ac:dyDescent="0.3">
      <c r="A808" s="376">
        <v>13</v>
      </c>
      <c r="B808" s="376" t="s">
        <v>888</v>
      </c>
      <c r="C808" s="376"/>
      <c r="D808" s="376"/>
      <c r="E808" s="376"/>
      <c r="F808" s="376"/>
      <c r="G808" s="377"/>
      <c r="H808" s="420"/>
      <c r="I808" s="420"/>
      <c r="J808" s="421"/>
      <c r="K808" s="376"/>
    </row>
    <row r="809" spans="1:11" ht="11.1" customHeight="1" x14ac:dyDescent="0.3">
      <c r="A809" s="380"/>
      <c r="B809" s="380"/>
      <c r="C809" s="380"/>
      <c r="D809" s="380"/>
      <c r="E809" s="380"/>
      <c r="F809" s="380"/>
      <c r="G809" s="381"/>
      <c r="H809" s="388"/>
      <c r="I809" s="388"/>
      <c r="J809" s="389"/>
      <c r="K809" s="380"/>
    </row>
    <row r="810" spans="1:11" ht="11.1" customHeight="1" x14ac:dyDescent="0.3">
      <c r="A810" s="380">
        <v>13.4</v>
      </c>
      <c r="B810" s="380" t="s">
        <v>889</v>
      </c>
      <c r="C810" s="380"/>
      <c r="D810" s="380"/>
      <c r="E810" s="380"/>
      <c r="F810" s="380"/>
      <c r="G810" s="381" t="s">
        <v>1327</v>
      </c>
      <c r="H810" s="382">
        <v>400</v>
      </c>
      <c r="I810" s="382" t="s">
        <v>1040</v>
      </c>
      <c r="J810" s="383">
        <v>15</v>
      </c>
      <c r="K810" s="380"/>
    </row>
    <row r="811" spans="1:11" ht="11.1" customHeight="1" x14ac:dyDescent="0.3">
      <c r="A811" s="380"/>
      <c r="B811" s="380" t="s">
        <v>890</v>
      </c>
      <c r="C811" s="380" t="s">
        <v>891</v>
      </c>
      <c r="D811" s="380"/>
      <c r="E811" s="380"/>
      <c r="F811" s="380"/>
      <c r="G811" s="381" t="s">
        <v>1022</v>
      </c>
      <c r="H811" s="382">
        <v>5</v>
      </c>
      <c r="I811" s="382" t="s">
        <v>1136</v>
      </c>
      <c r="J811" s="383">
        <v>57.8</v>
      </c>
      <c r="K811" s="380"/>
    </row>
    <row r="812" spans="1:11" ht="11.1" customHeight="1" x14ac:dyDescent="0.3">
      <c r="A812" s="380"/>
      <c r="B812" s="380"/>
      <c r="C812" s="380" t="s">
        <v>892</v>
      </c>
      <c r="D812" s="380" t="s">
        <v>893</v>
      </c>
      <c r="E812" s="380"/>
      <c r="F812" s="380"/>
      <c r="G812" s="381" t="s">
        <v>1005</v>
      </c>
      <c r="H812" s="382">
        <v>4</v>
      </c>
      <c r="I812" s="382" t="s">
        <v>1136</v>
      </c>
      <c r="J812" s="383">
        <v>43.2</v>
      </c>
      <c r="K812" s="380"/>
    </row>
    <row r="813" spans="1:11" ht="11.1" customHeight="1" x14ac:dyDescent="0.3">
      <c r="A813" s="380"/>
      <c r="B813" s="380"/>
      <c r="C813" s="380" t="s">
        <v>894</v>
      </c>
      <c r="D813" s="380" t="s">
        <v>895</v>
      </c>
      <c r="E813" s="380"/>
      <c r="F813" s="380"/>
      <c r="G813" s="381" t="s">
        <v>230</v>
      </c>
      <c r="H813" s="382" t="s">
        <v>230</v>
      </c>
      <c r="I813" s="382" t="s">
        <v>230</v>
      </c>
      <c r="J813" s="383" t="s">
        <v>230</v>
      </c>
      <c r="K813" s="380"/>
    </row>
    <row r="814" spans="1:11" ht="11.1" customHeight="1" x14ac:dyDescent="0.3">
      <c r="A814" s="380"/>
      <c r="B814" s="380"/>
      <c r="C814" s="380"/>
      <c r="D814" s="380"/>
      <c r="E814" s="380"/>
      <c r="F814" s="380"/>
      <c r="G814" s="381"/>
      <c r="H814" s="388"/>
      <c r="I814" s="388"/>
      <c r="J814" s="389"/>
      <c r="K814" s="380"/>
    </row>
    <row r="815" spans="1:11" ht="11.1" customHeight="1" x14ac:dyDescent="0.3">
      <c r="A815" s="380"/>
      <c r="B815" s="380" t="s">
        <v>896</v>
      </c>
      <c r="C815" s="380" t="s">
        <v>897</v>
      </c>
      <c r="D815" s="380"/>
      <c r="E815" s="380"/>
      <c r="F815" s="380"/>
      <c r="G815" s="381" t="s">
        <v>1328</v>
      </c>
      <c r="H815" s="382">
        <v>362</v>
      </c>
      <c r="I815" s="382" t="s">
        <v>1329</v>
      </c>
      <c r="J815" s="383">
        <v>16.5</v>
      </c>
      <c r="K815" s="380"/>
    </row>
    <row r="816" spans="1:11" ht="11.1" customHeight="1" x14ac:dyDescent="0.3">
      <c r="A816" s="380"/>
      <c r="B816" s="380"/>
      <c r="C816" s="380" t="s">
        <v>898</v>
      </c>
      <c r="D816" s="380" t="s">
        <v>899</v>
      </c>
      <c r="E816" s="380"/>
      <c r="F816" s="380"/>
      <c r="G816" s="381" t="s">
        <v>1085</v>
      </c>
      <c r="H816" s="382">
        <v>117</v>
      </c>
      <c r="I816" s="382" t="s">
        <v>1063</v>
      </c>
      <c r="J816" s="383">
        <v>23.8</v>
      </c>
      <c r="K816" s="380"/>
    </row>
    <row r="817" spans="1:11" ht="11.1" customHeight="1" x14ac:dyDescent="0.3">
      <c r="A817" s="380"/>
      <c r="B817" s="380"/>
      <c r="C817" s="380" t="s">
        <v>900</v>
      </c>
      <c r="D817" s="380" t="s">
        <v>901</v>
      </c>
      <c r="E817" s="380"/>
      <c r="F817" s="380"/>
      <c r="G817" s="381" t="s">
        <v>1011</v>
      </c>
      <c r="H817" s="382">
        <v>86</v>
      </c>
      <c r="I817" s="382" t="s">
        <v>1330</v>
      </c>
      <c r="J817" s="383">
        <v>16.7</v>
      </c>
      <c r="K817" s="380"/>
    </row>
    <row r="818" spans="1:11" ht="11.1" customHeight="1" x14ac:dyDescent="0.3">
      <c r="A818" s="380"/>
      <c r="B818" s="380"/>
      <c r="C818" s="380" t="s">
        <v>902</v>
      </c>
      <c r="D818" s="380" t="s">
        <v>903</v>
      </c>
      <c r="E818" s="380"/>
      <c r="F818" s="380"/>
      <c r="G818" s="381" t="s">
        <v>983</v>
      </c>
      <c r="H818" s="382">
        <v>80</v>
      </c>
      <c r="I818" s="382" t="s">
        <v>1056</v>
      </c>
      <c r="J818" s="383">
        <v>61.6</v>
      </c>
      <c r="K818" s="380"/>
    </row>
    <row r="819" spans="1:11" ht="11.1" customHeight="1" x14ac:dyDescent="0.3">
      <c r="A819" s="380"/>
      <c r="B819" s="380"/>
      <c r="C819" s="380" t="s">
        <v>904</v>
      </c>
      <c r="D819" s="380" t="s">
        <v>905</v>
      </c>
      <c r="E819" s="380"/>
      <c r="F819" s="380"/>
      <c r="G819" s="381" t="s">
        <v>1194</v>
      </c>
      <c r="H819" s="382">
        <v>78</v>
      </c>
      <c r="I819" s="382" t="s">
        <v>1117</v>
      </c>
      <c r="J819" s="383">
        <v>9.9</v>
      </c>
      <c r="K819" s="380"/>
    </row>
    <row r="820" spans="1:11" ht="11.1" customHeight="1" x14ac:dyDescent="0.3">
      <c r="A820" s="380"/>
      <c r="B820" s="380"/>
      <c r="C820" s="380"/>
      <c r="D820" s="380"/>
      <c r="E820" s="380"/>
      <c r="F820" s="380"/>
      <c r="G820" s="381"/>
      <c r="H820" s="388"/>
      <c r="I820" s="388"/>
      <c r="J820" s="389"/>
      <c r="K820" s="380"/>
    </row>
    <row r="821" spans="1:11" ht="11.1" customHeight="1" x14ac:dyDescent="0.3">
      <c r="A821" s="380"/>
      <c r="B821" s="380" t="s">
        <v>906</v>
      </c>
      <c r="C821" s="380" t="s">
        <v>907</v>
      </c>
      <c r="D821" s="380"/>
      <c r="E821" s="380"/>
      <c r="F821" s="380"/>
      <c r="G821" s="381" t="s">
        <v>1074</v>
      </c>
      <c r="H821" s="382">
        <v>34</v>
      </c>
      <c r="I821" s="382" t="s">
        <v>1176</v>
      </c>
      <c r="J821" s="383">
        <v>7.4</v>
      </c>
      <c r="K821" s="380"/>
    </row>
    <row r="822" spans="1:11" ht="11.1" customHeight="1" x14ac:dyDescent="0.3">
      <c r="A822" s="380"/>
      <c r="B822" s="380"/>
      <c r="C822" s="380" t="s">
        <v>908</v>
      </c>
      <c r="D822" s="380" t="s">
        <v>909</v>
      </c>
      <c r="E822" s="380"/>
      <c r="F822" s="380"/>
      <c r="G822" s="381" t="s">
        <v>367</v>
      </c>
      <c r="H822" s="382" t="s">
        <v>367</v>
      </c>
      <c r="I822" s="382" t="s">
        <v>367</v>
      </c>
      <c r="J822" s="383" t="s">
        <v>367</v>
      </c>
      <c r="K822" s="380"/>
    </row>
    <row r="823" spans="1:11" ht="11.1" customHeight="1" x14ac:dyDescent="0.3">
      <c r="A823" s="380"/>
      <c r="B823" s="380"/>
      <c r="C823" s="380" t="s">
        <v>910</v>
      </c>
      <c r="D823" s="380" t="s">
        <v>911</v>
      </c>
      <c r="E823" s="380"/>
      <c r="F823" s="380"/>
      <c r="G823" s="381" t="s">
        <v>1074</v>
      </c>
      <c r="H823" s="382">
        <v>34</v>
      </c>
      <c r="I823" s="382" t="s">
        <v>1176</v>
      </c>
      <c r="J823" s="383">
        <v>7.4</v>
      </c>
      <c r="K823" s="380"/>
    </row>
    <row r="824" spans="1:11" ht="11.1" customHeight="1" x14ac:dyDescent="0.3">
      <c r="A824" s="380"/>
      <c r="B824" s="380"/>
      <c r="C824" s="380"/>
      <c r="D824" s="380"/>
      <c r="E824" s="380"/>
      <c r="F824" s="380"/>
      <c r="G824" s="381"/>
      <c r="H824" s="388"/>
      <c r="I824" s="388"/>
      <c r="J824" s="389"/>
      <c r="K824" s="380"/>
    </row>
    <row r="825" spans="1:11" ht="11.1" customHeight="1" x14ac:dyDescent="0.3">
      <c r="A825" s="441"/>
      <c r="B825" s="360"/>
      <c r="C825" s="361"/>
      <c r="D825" s="362"/>
      <c r="E825" s="362"/>
      <c r="F825" s="362"/>
      <c r="G825" s="363"/>
      <c r="H825" s="364"/>
      <c r="I825" s="364"/>
      <c r="J825" s="365"/>
      <c r="K825" s="438"/>
    </row>
    <row r="826" spans="1:11" ht="11.1" customHeight="1" x14ac:dyDescent="0.3">
      <c r="A826" s="376" t="s">
        <v>21</v>
      </c>
      <c r="B826" s="376"/>
      <c r="C826" s="376"/>
      <c r="D826" s="376"/>
      <c r="E826" s="376"/>
      <c r="F826" s="376"/>
      <c r="G826" s="377" t="s">
        <v>1331</v>
      </c>
      <c r="H826" s="378">
        <v>17752</v>
      </c>
      <c r="I826" s="378" t="s">
        <v>972</v>
      </c>
      <c r="J826" s="379">
        <v>1.1000000000000001</v>
      </c>
      <c r="K826" s="376"/>
    </row>
    <row r="827" spans="1:11" ht="11.1" customHeight="1" x14ac:dyDescent="0.3">
      <c r="A827" s="441"/>
      <c r="B827" s="360"/>
      <c r="C827" s="361"/>
      <c r="D827" s="362"/>
      <c r="E827" s="362"/>
      <c r="F827" s="362"/>
      <c r="G827" s="363"/>
      <c r="H827" s="364"/>
      <c r="I827" s="364"/>
      <c r="J827" s="365"/>
      <c r="K827" s="438"/>
    </row>
    <row r="828" spans="1:11" ht="11.1" customHeight="1" x14ac:dyDescent="0.3">
      <c r="A828" s="380"/>
      <c r="B828" s="380"/>
      <c r="C828" s="380"/>
      <c r="D828" s="380"/>
      <c r="E828" s="380"/>
      <c r="F828" s="380"/>
      <c r="G828" s="381"/>
      <c r="H828" s="388"/>
      <c r="I828" s="388"/>
      <c r="J828" s="389"/>
      <c r="K828" s="380"/>
    </row>
    <row r="829" spans="1:11" ht="11.1" customHeight="1" x14ac:dyDescent="0.3">
      <c r="A829" s="376">
        <v>14</v>
      </c>
      <c r="B829" s="376" t="s">
        <v>912</v>
      </c>
      <c r="C829" s="376"/>
      <c r="D829" s="376"/>
      <c r="E829" s="376"/>
      <c r="F829" s="376"/>
      <c r="G829" s="377"/>
      <c r="H829" s="420"/>
      <c r="I829" s="420"/>
      <c r="J829" s="421"/>
      <c r="K829" s="376"/>
    </row>
    <row r="830" spans="1:11" ht="11.1" customHeight="1" x14ac:dyDescent="0.3">
      <c r="A830" s="380"/>
      <c r="B830" s="380"/>
      <c r="C830" s="380"/>
      <c r="D830" s="380"/>
      <c r="E830" s="380"/>
      <c r="F830" s="380"/>
      <c r="G830" s="381"/>
      <c r="H830" s="388"/>
      <c r="I830" s="388"/>
      <c r="J830" s="389"/>
      <c r="K830" s="380"/>
    </row>
    <row r="831" spans="1:11" ht="11.1" customHeight="1" x14ac:dyDescent="0.3">
      <c r="A831" s="380">
        <v>14.1</v>
      </c>
      <c r="B831" s="380" t="s">
        <v>913</v>
      </c>
      <c r="C831" s="380"/>
      <c r="D831" s="380"/>
      <c r="E831" s="380"/>
      <c r="F831" s="380"/>
      <c r="G831" s="381" t="s">
        <v>1332</v>
      </c>
      <c r="H831" s="382">
        <v>1196</v>
      </c>
      <c r="I831" s="382" t="s">
        <v>1333</v>
      </c>
      <c r="J831" s="383">
        <v>2</v>
      </c>
      <c r="K831" s="380"/>
    </row>
    <row r="832" spans="1:11" ht="11.1" customHeight="1" x14ac:dyDescent="0.3">
      <c r="A832" s="380"/>
      <c r="B832" s="380" t="s">
        <v>914</v>
      </c>
      <c r="C832" s="380" t="s">
        <v>915</v>
      </c>
      <c r="D832" s="380"/>
      <c r="E832" s="380"/>
      <c r="F832" s="380"/>
      <c r="G832" s="381" t="s">
        <v>1292</v>
      </c>
      <c r="H832" s="382">
        <v>90</v>
      </c>
      <c r="I832" s="382" t="s">
        <v>1334</v>
      </c>
      <c r="J832" s="383">
        <v>4.9000000000000004</v>
      </c>
      <c r="K832" s="380"/>
    </row>
    <row r="833" spans="1:11" ht="11.1" customHeight="1" x14ac:dyDescent="0.3">
      <c r="A833" s="380"/>
      <c r="B833" s="380" t="s">
        <v>916</v>
      </c>
      <c r="C833" s="380" t="s">
        <v>917</v>
      </c>
      <c r="D833" s="380"/>
      <c r="E833" s="380"/>
      <c r="F833" s="380"/>
      <c r="G833" s="381" t="s">
        <v>1192</v>
      </c>
      <c r="H833" s="382">
        <v>955</v>
      </c>
      <c r="I833" s="382" t="s">
        <v>1335</v>
      </c>
      <c r="J833" s="383">
        <v>2</v>
      </c>
      <c r="K833" s="380"/>
    </row>
    <row r="834" spans="1:11" ht="11.1" customHeight="1" x14ac:dyDescent="0.3">
      <c r="A834" s="380"/>
      <c r="B834" s="380" t="s">
        <v>918</v>
      </c>
      <c r="C834" s="380" t="s">
        <v>919</v>
      </c>
      <c r="D834" s="380"/>
      <c r="E834" s="380"/>
      <c r="F834" s="380"/>
      <c r="G834" s="381" t="s">
        <v>1336</v>
      </c>
      <c r="H834" s="382">
        <v>151</v>
      </c>
      <c r="I834" s="382" t="s">
        <v>1174</v>
      </c>
      <c r="J834" s="383">
        <v>7.9</v>
      </c>
      <c r="K834" s="380"/>
    </row>
    <row r="835" spans="1:11" ht="11.1" customHeight="1" x14ac:dyDescent="0.3">
      <c r="A835" s="380"/>
      <c r="B835" s="380"/>
      <c r="C835" s="380"/>
      <c r="D835" s="380"/>
      <c r="E835" s="380"/>
      <c r="F835" s="380"/>
      <c r="G835" s="381"/>
      <c r="H835" s="388"/>
      <c r="I835" s="388"/>
      <c r="J835" s="389"/>
      <c r="K835" s="380"/>
    </row>
    <row r="836" spans="1:11" ht="11.1" customHeight="1" x14ac:dyDescent="0.3">
      <c r="A836" s="380">
        <v>14.2</v>
      </c>
      <c r="B836" s="380" t="s">
        <v>920</v>
      </c>
      <c r="C836" s="380"/>
      <c r="D836" s="380"/>
      <c r="E836" s="380"/>
      <c r="F836" s="380"/>
      <c r="G836" s="381" t="s">
        <v>1024</v>
      </c>
      <c r="H836" s="382">
        <v>74</v>
      </c>
      <c r="I836" s="382" t="s">
        <v>1032</v>
      </c>
      <c r="J836" s="383">
        <v>3</v>
      </c>
      <c r="K836" s="380"/>
    </row>
    <row r="837" spans="1:11" ht="11.1" customHeight="1" x14ac:dyDescent="0.3">
      <c r="A837" s="380"/>
      <c r="B837" s="380"/>
      <c r="C837" s="380"/>
      <c r="D837" s="380"/>
      <c r="E837" s="380"/>
      <c r="F837" s="380"/>
      <c r="G837" s="381"/>
      <c r="H837" s="388"/>
      <c r="I837" s="388"/>
      <c r="J837" s="389"/>
      <c r="K837" s="380"/>
    </row>
    <row r="838" spans="1:11" ht="11.1" customHeight="1" x14ac:dyDescent="0.3">
      <c r="A838" s="380">
        <v>14.3</v>
      </c>
      <c r="B838" s="380" t="s">
        <v>921</v>
      </c>
      <c r="C838" s="380"/>
      <c r="D838" s="380"/>
      <c r="E838" s="380"/>
      <c r="F838" s="380"/>
      <c r="G838" s="381" t="s">
        <v>1337</v>
      </c>
      <c r="H838" s="382">
        <v>3841</v>
      </c>
      <c r="I838" s="382" t="s">
        <v>1338</v>
      </c>
      <c r="J838" s="383">
        <v>2.4</v>
      </c>
      <c r="K838" s="380"/>
    </row>
    <row r="839" spans="1:11" ht="11.1" customHeight="1" x14ac:dyDescent="0.3">
      <c r="A839" s="380"/>
      <c r="B839" s="380" t="s">
        <v>922</v>
      </c>
      <c r="C839" s="380" t="s">
        <v>923</v>
      </c>
      <c r="D839" s="380"/>
      <c r="E839" s="380"/>
      <c r="F839" s="380"/>
      <c r="G839" s="381" t="s">
        <v>1339</v>
      </c>
      <c r="H839" s="382">
        <v>3136</v>
      </c>
      <c r="I839" s="382" t="s">
        <v>1340</v>
      </c>
      <c r="J839" s="383">
        <v>2.1</v>
      </c>
      <c r="K839" s="380"/>
    </row>
    <row r="840" spans="1:11" ht="11.1" customHeight="1" x14ac:dyDescent="0.3">
      <c r="A840" s="380"/>
      <c r="B840" s="380" t="s">
        <v>924</v>
      </c>
      <c r="C840" s="380" t="s">
        <v>925</v>
      </c>
      <c r="D840" s="380"/>
      <c r="E840" s="380"/>
      <c r="F840" s="380"/>
      <c r="G840" s="381" t="s">
        <v>1272</v>
      </c>
      <c r="H840" s="382">
        <v>108</v>
      </c>
      <c r="I840" s="382" t="s">
        <v>1195</v>
      </c>
      <c r="J840" s="383">
        <v>36.200000000000003</v>
      </c>
      <c r="K840" s="380"/>
    </row>
    <row r="841" spans="1:11" ht="11.1" customHeight="1" x14ac:dyDescent="0.3">
      <c r="A841" s="380"/>
      <c r="B841" s="380" t="s">
        <v>926</v>
      </c>
      <c r="C841" s="380" t="s">
        <v>927</v>
      </c>
      <c r="D841" s="380"/>
      <c r="E841" s="380"/>
      <c r="F841" s="380"/>
      <c r="G841" s="381" t="s">
        <v>1103</v>
      </c>
      <c r="H841" s="382">
        <v>162</v>
      </c>
      <c r="I841" s="382" t="s">
        <v>1023</v>
      </c>
      <c r="J841" s="383">
        <v>8.3000000000000007</v>
      </c>
      <c r="K841" s="380"/>
    </row>
    <row r="842" spans="1:11" ht="11.1" customHeight="1" x14ac:dyDescent="0.3">
      <c r="A842" s="380"/>
      <c r="B842" s="380" t="s">
        <v>928</v>
      </c>
      <c r="C842" s="380" t="s">
        <v>929</v>
      </c>
      <c r="D842" s="380"/>
      <c r="E842" s="380"/>
      <c r="F842" s="380"/>
      <c r="G842" s="381"/>
      <c r="H842" s="388"/>
      <c r="I842" s="388"/>
      <c r="J842" s="389"/>
      <c r="K842" s="380"/>
    </row>
    <row r="843" spans="1:11" ht="11.1" customHeight="1" x14ac:dyDescent="0.3">
      <c r="A843" s="380"/>
      <c r="B843" s="380"/>
      <c r="C843" s="380" t="s">
        <v>930</v>
      </c>
      <c r="D843" s="380"/>
      <c r="E843" s="380"/>
      <c r="F843" s="380"/>
      <c r="G843" s="381" t="s">
        <v>1304</v>
      </c>
      <c r="H843" s="382">
        <v>358</v>
      </c>
      <c r="I843" s="382" t="s">
        <v>1341</v>
      </c>
      <c r="J843" s="383">
        <v>7.7</v>
      </c>
      <c r="K843" s="380"/>
    </row>
    <row r="844" spans="1:11" ht="11.1" customHeight="1" x14ac:dyDescent="0.3">
      <c r="A844" s="380"/>
      <c r="B844" s="380" t="s">
        <v>931</v>
      </c>
      <c r="C844" s="380" t="s">
        <v>932</v>
      </c>
      <c r="D844" s="380"/>
      <c r="E844" s="380"/>
      <c r="F844" s="380"/>
      <c r="G844" s="381" t="s">
        <v>1183</v>
      </c>
      <c r="H844" s="382">
        <v>105</v>
      </c>
      <c r="I844" s="382" t="s">
        <v>1063</v>
      </c>
      <c r="J844" s="383">
        <v>9.9</v>
      </c>
      <c r="K844" s="380"/>
    </row>
    <row r="845" spans="1:11" ht="11.1" customHeight="1" x14ac:dyDescent="0.3">
      <c r="A845" s="380"/>
      <c r="B845" s="380" t="s">
        <v>933</v>
      </c>
      <c r="C845" s="380" t="s">
        <v>934</v>
      </c>
      <c r="D845" s="380"/>
      <c r="E845" s="380"/>
      <c r="F845" s="380"/>
      <c r="G845" s="381" t="s">
        <v>1190</v>
      </c>
      <c r="H845" s="382" t="s">
        <v>1230</v>
      </c>
      <c r="I845" s="382" t="s">
        <v>1189</v>
      </c>
      <c r="J845" s="383">
        <v>95.5</v>
      </c>
      <c r="K845" s="380"/>
    </row>
    <row r="846" spans="1:11" ht="11.1" customHeight="1" x14ac:dyDescent="0.3">
      <c r="A846" s="380"/>
      <c r="B846" s="380" t="s">
        <v>935</v>
      </c>
      <c r="C846" s="380" t="s">
        <v>936</v>
      </c>
      <c r="D846" s="380"/>
      <c r="E846" s="380"/>
      <c r="F846" s="380"/>
      <c r="G846" s="381" t="s">
        <v>999</v>
      </c>
      <c r="H846" s="382">
        <v>26</v>
      </c>
      <c r="I846" s="382" t="s">
        <v>1023</v>
      </c>
      <c r="J846" s="383">
        <v>10.8</v>
      </c>
      <c r="K846" s="380"/>
    </row>
    <row r="847" spans="1:11" ht="11.1" customHeight="1" x14ac:dyDescent="0.3">
      <c r="A847" s="380"/>
      <c r="B847" s="380"/>
      <c r="C847" s="380"/>
      <c r="D847" s="380"/>
      <c r="E847" s="380"/>
      <c r="F847" s="380"/>
      <c r="G847" s="381"/>
      <c r="H847" s="388"/>
      <c r="I847" s="388"/>
      <c r="J847" s="389"/>
      <c r="K847" s="380"/>
    </row>
    <row r="848" spans="1:11" ht="11.1" customHeight="1" x14ac:dyDescent="0.3">
      <c r="A848" s="380">
        <v>14.4</v>
      </c>
      <c r="B848" s="380" t="s">
        <v>937</v>
      </c>
      <c r="C848" s="380"/>
      <c r="D848" s="380"/>
      <c r="E848" s="380"/>
      <c r="F848" s="380"/>
      <c r="G848" s="381" t="s">
        <v>1342</v>
      </c>
      <c r="H848" s="382">
        <v>1199</v>
      </c>
      <c r="I848" s="382" t="s">
        <v>1077</v>
      </c>
      <c r="J848" s="383">
        <v>1.5</v>
      </c>
      <c r="K848" s="380"/>
    </row>
    <row r="849" spans="1:11" ht="11.1" customHeight="1" x14ac:dyDescent="0.3">
      <c r="A849" s="380"/>
      <c r="B849" s="380" t="s">
        <v>938</v>
      </c>
      <c r="C849" s="380" t="s">
        <v>939</v>
      </c>
      <c r="D849" s="380"/>
      <c r="E849" s="380"/>
      <c r="F849" s="380"/>
      <c r="G849" s="381" t="s">
        <v>1343</v>
      </c>
      <c r="H849" s="382">
        <v>1187</v>
      </c>
      <c r="I849" s="382" t="s">
        <v>1344</v>
      </c>
      <c r="J849" s="383">
        <v>1.5</v>
      </c>
      <c r="K849" s="380"/>
    </row>
    <row r="850" spans="1:11" ht="11.1" customHeight="1" x14ac:dyDescent="0.3">
      <c r="A850" s="380"/>
      <c r="B850" s="380" t="s">
        <v>940</v>
      </c>
      <c r="C850" s="380" t="s">
        <v>941</v>
      </c>
      <c r="D850" s="380"/>
      <c r="E850" s="380"/>
      <c r="F850" s="380"/>
      <c r="G850" s="381" t="s">
        <v>1052</v>
      </c>
      <c r="H850" s="382">
        <v>12</v>
      </c>
      <c r="I850" s="382" t="s">
        <v>1115</v>
      </c>
      <c r="J850" s="383">
        <v>14.5</v>
      </c>
      <c r="K850" s="380"/>
    </row>
    <row r="851" spans="1:11" ht="11.1" customHeight="1" x14ac:dyDescent="0.3">
      <c r="A851" s="380"/>
      <c r="B851" s="380"/>
      <c r="C851" s="380"/>
      <c r="D851" s="380"/>
      <c r="E851" s="380"/>
      <c r="F851" s="380"/>
      <c r="G851" s="381"/>
      <c r="H851" s="388"/>
      <c r="I851" s="388"/>
      <c r="J851" s="389"/>
      <c r="K851" s="380"/>
    </row>
    <row r="852" spans="1:11" ht="11.1" customHeight="1" x14ac:dyDescent="0.3">
      <c r="A852" s="380">
        <v>14.5</v>
      </c>
      <c r="B852" s="380" t="s">
        <v>942</v>
      </c>
      <c r="C852" s="380"/>
      <c r="D852" s="380"/>
      <c r="E852" s="380"/>
      <c r="F852" s="380"/>
      <c r="G852" s="381" t="s">
        <v>1345</v>
      </c>
      <c r="H852" s="382">
        <v>2049</v>
      </c>
      <c r="I852" s="382" t="s">
        <v>1346</v>
      </c>
      <c r="J852" s="383">
        <v>11</v>
      </c>
      <c r="K852" s="380"/>
    </row>
    <row r="853" spans="1:11" ht="11.1" customHeight="1" x14ac:dyDescent="0.3">
      <c r="A853" s="380"/>
      <c r="B853" s="380" t="s">
        <v>943</v>
      </c>
      <c r="C853" s="380" t="s">
        <v>944</v>
      </c>
      <c r="D853" s="380"/>
      <c r="E853" s="380"/>
      <c r="F853" s="380"/>
      <c r="G853" s="381" t="s">
        <v>230</v>
      </c>
      <c r="H853" s="382" t="s">
        <v>230</v>
      </c>
      <c r="I853" s="382" t="s">
        <v>230</v>
      </c>
      <c r="J853" s="383" t="s">
        <v>230</v>
      </c>
      <c r="K853" s="380"/>
    </row>
    <row r="854" spans="1:11" ht="11.1" customHeight="1" x14ac:dyDescent="0.3">
      <c r="A854" s="380"/>
      <c r="B854" s="380" t="s">
        <v>945</v>
      </c>
      <c r="C854" s="380" t="s">
        <v>946</v>
      </c>
      <c r="D854" s="380"/>
      <c r="E854" s="380"/>
      <c r="F854" s="380"/>
      <c r="G854" s="381" t="s">
        <v>1347</v>
      </c>
      <c r="H854" s="382">
        <v>984</v>
      </c>
      <c r="I854" s="382" t="s">
        <v>980</v>
      </c>
      <c r="J854" s="383">
        <v>2.2999999999999998</v>
      </c>
      <c r="K854" s="380"/>
    </row>
    <row r="855" spans="1:11" ht="11.1" customHeight="1" x14ac:dyDescent="0.3">
      <c r="A855" s="380"/>
      <c r="B855" s="380" t="s">
        <v>947</v>
      </c>
      <c r="C855" s="380" t="s">
        <v>948</v>
      </c>
      <c r="D855" s="380"/>
      <c r="E855" s="380"/>
      <c r="F855" s="380"/>
      <c r="G855" s="381" t="s">
        <v>1044</v>
      </c>
      <c r="H855" s="382">
        <v>50</v>
      </c>
      <c r="I855" s="382" t="s">
        <v>1255</v>
      </c>
      <c r="J855" s="383">
        <v>9.1</v>
      </c>
      <c r="K855" s="380"/>
    </row>
    <row r="856" spans="1:11" ht="11.1" customHeight="1" x14ac:dyDescent="0.3">
      <c r="A856" s="380"/>
      <c r="B856" s="380" t="s">
        <v>949</v>
      </c>
      <c r="C856" s="380" t="s">
        <v>950</v>
      </c>
      <c r="D856" s="380"/>
      <c r="E856" s="380"/>
      <c r="F856" s="380"/>
      <c r="G856" s="381" t="s">
        <v>1003</v>
      </c>
      <c r="H856" s="382">
        <v>27</v>
      </c>
      <c r="I856" s="382" t="s">
        <v>1114</v>
      </c>
      <c r="J856" s="383">
        <v>46.3</v>
      </c>
      <c r="K856" s="380"/>
    </row>
    <row r="857" spans="1:11" ht="11.1" customHeight="1" x14ac:dyDescent="0.3">
      <c r="A857" s="380"/>
      <c r="B857" s="380" t="s">
        <v>951</v>
      </c>
      <c r="C857" s="380" t="s">
        <v>952</v>
      </c>
      <c r="D857" s="380"/>
      <c r="E857" s="380"/>
      <c r="F857" s="380"/>
      <c r="G857" s="381" t="s">
        <v>1348</v>
      </c>
      <c r="H857" s="382">
        <v>814</v>
      </c>
      <c r="I857" s="382" t="s">
        <v>1349</v>
      </c>
      <c r="J857" s="383">
        <v>7.1</v>
      </c>
      <c r="K857" s="380"/>
    </row>
    <row r="858" spans="1:11" ht="11.1" customHeight="1" x14ac:dyDescent="0.3">
      <c r="A858" s="380"/>
      <c r="B858" s="380" t="s">
        <v>953</v>
      </c>
      <c r="C858" s="380" t="s">
        <v>954</v>
      </c>
      <c r="D858" s="380"/>
      <c r="E858" s="380"/>
      <c r="F858" s="380"/>
      <c r="G858" s="381" t="s">
        <v>1033</v>
      </c>
      <c r="H858" s="382">
        <v>21</v>
      </c>
      <c r="I858" s="382" t="s">
        <v>1114</v>
      </c>
      <c r="J858" s="383">
        <v>18.600000000000001</v>
      </c>
      <c r="K858" s="380"/>
    </row>
    <row r="859" spans="1:11" ht="11.1" customHeight="1" x14ac:dyDescent="0.3">
      <c r="A859" s="380"/>
      <c r="B859" s="380" t="s">
        <v>955</v>
      </c>
      <c r="C859" s="380" t="s">
        <v>956</v>
      </c>
      <c r="D859" s="380"/>
      <c r="E859" s="380"/>
      <c r="F859" s="380"/>
      <c r="G859" s="381" t="s">
        <v>992</v>
      </c>
      <c r="H859" s="382">
        <v>31</v>
      </c>
      <c r="I859" s="382" t="s">
        <v>1115</v>
      </c>
      <c r="J859" s="383">
        <v>32.1</v>
      </c>
      <c r="K859" s="380"/>
    </row>
    <row r="860" spans="1:11" ht="11.1" customHeight="1" x14ac:dyDescent="0.3">
      <c r="A860" s="380"/>
      <c r="B860" s="380" t="s">
        <v>957</v>
      </c>
      <c r="C860" s="380" t="s">
        <v>958</v>
      </c>
      <c r="D860" s="380"/>
      <c r="E860" s="380"/>
      <c r="F860" s="380"/>
      <c r="G860" s="381" t="s">
        <v>990</v>
      </c>
      <c r="H860" s="382">
        <v>55</v>
      </c>
      <c r="I860" s="382" t="s">
        <v>1136</v>
      </c>
      <c r="J860" s="383">
        <v>368.5</v>
      </c>
      <c r="K860" s="380"/>
    </row>
    <row r="861" spans="1:11" ht="11.1" customHeight="1" x14ac:dyDescent="0.3">
      <c r="A861" s="380"/>
      <c r="B861" s="380"/>
      <c r="C861" s="380"/>
      <c r="D861" s="380"/>
      <c r="E861" s="380"/>
      <c r="F861" s="380"/>
      <c r="G861" s="381"/>
      <c r="H861" s="388"/>
      <c r="I861" s="388"/>
      <c r="J861" s="389"/>
      <c r="K861" s="380"/>
    </row>
    <row r="862" spans="1:11" ht="11.1" customHeight="1" x14ac:dyDescent="0.3">
      <c r="A862" s="380">
        <v>14.6</v>
      </c>
      <c r="B862" s="380" t="s">
        <v>959</v>
      </c>
      <c r="C862" s="380"/>
      <c r="D862" s="380"/>
      <c r="E862" s="380"/>
      <c r="F862" s="380"/>
      <c r="G862" s="381" t="s">
        <v>977</v>
      </c>
      <c r="H862" s="382">
        <v>177</v>
      </c>
      <c r="I862" s="382" t="s">
        <v>1142</v>
      </c>
      <c r="J862" s="383">
        <v>6.3</v>
      </c>
      <c r="K862" s="380"/>
    </row>
    <row r="863" spans="1:11" ht="11.1" customHeight="1" x14ac:dyDescent="0.3">
      <c r="A863" s="380"/>
      <c r="B863" s="380" t="s">
        <v>960</v>
      </c>
      <c r="C863" s="380" t="s">
        <v>961</v>
      </c>
      <c r="D863" s="380"/>
      <c r="E863" s="380"/>
      <c r="F863" s="380"/>
      <c r="G863" s="381" t="s">
        <v>1336</v>
      </c>
      <c r="H863" s="382">
        <v>150</v>
      </c>
      <c r="I863" s="382" t="s">
        <v>1092</v>
      </c>
      <c r="J863" s="383">
        <v>6.9</v>
      </c>
      <c r="K863" s="380"/>
    </row>
    <row r="864" spans="1:11" ht="11.1" customHeight="1" x14ac:dyDescent="0.3">
      <c r="A864" s="380"/>
      <c r="B864" s="380" t="s">
        <v>962</v>
      </c>
      <c r="C864" s="380" t="s">
        <v>963</v>
      </c>
      <c r="D864" s="380"/>
      <c r="E864" s="380"/>
      <c r="F864" s="380"/>
      <c r="G864" s="381" t="s">
        <v>999</v>
      </c>
      <c r="H864" s="382">
        <v>25</v>
      </c>
      <c r="I864" s="382" t="s">
        <v>1114</v>
      </c>
      <c r="J864" s="383">
        <v>13.8</v>
      </c>
      <c r="K864" s="380"/>
    </row>
    <row r="865" spans="1:11" ht="11.1" customHeight="1" x14ac:dyDescent="0.3">
      <c r="A865" s="380"/>
      <c r="B865" s="380" t="s">
        <v>964</v>
      </c>
      <c r="C865" s="380" t="s">
        <v>965</v>
      </c>
      <c r="D865" s="380"/>
      <c r="E865" s="380"/>
      <c r="F865" s="380"/>
      <c r="G865" s="381" t="s">
        <v>1005</v>
      </c>
      <c r="H865" s="382">
        <v>3</v>
      </c>
      <c r="I865" s="382" t="s">
        <v>1136</v>
      </c>
      <c r="J865" s="383">
        <v>23.5</v>
      </c>
      <c r="K865" s="380"/>
    </row>
    <row r="866" spans="1:11" ht="11.1" customHeight="1" x14ac:dyDescent="0.3">
      <c r="A866" s="380"/>
      <c r="B866" s="380"/>
      <c r="C866" s="380"/>
      <c r="D866" s="380"/>
      <c r="E866" s="380"/>
      <c r="F866" s="380"/>
      <c r="G866" s="381"/>
      <c r="H866" s="388"/>
      <c r="I866" s="388"/>
      <c r="J866" s="389"/>
      <c r="K866" s="380"/>
    </row>
    <row r="867" spans="1:11" ht="11.1" customHeight="1" x14ac:dyDescent="0.3">
      <c r="A867" s="380">
        <v>14.7</v>
      </c>
      <c r="B867" s="380" t="s">
        <v>966</v>
      </c>
      <c r="C867" s="380"/>
      <c r="D867" s="380"/>
      <c r="E867" s="380"/>
      <c r="F867" s="380"/>
      <c r="G867" s="381" t="s">
        <v>997</v>
      </c>
      <c r="H867" s="382">
        <v>70</v>
      </c>
      <c r="I867" s="382" t="s">
        <v>1107</v>
      </c>
      <c r="J867" s="383">
        <v>8.3000000000000007</v>
      </c>
      <c r="K867" s="380"/>
    </row>
    <row r="868" spans="1:11" ht="11.1" customHeight="1" x14ac:dyDescent="0.3">
      <c r="A868" s="380">
        <v>14.8</v>
      </c>
      <c r="B868" s="380" t="s">
        <v>1350</v>
      </c>
      <c r="C868" s="380"/>
      <c r="D868" s="380"/>
      <c r="E868" s="380"/>
      <c r="F868" s="380"/>
      <c r="G868" s="381" t="s">
        <v>1064</v>
      </c>
      <c r="H868" s="382">
        <v>8</v>
      </c>
      <c r="I868" s="382" t="s">
        <v>1111</v>
      </c>
      <c r="J868" s="383">
        <v>11.4</v>
      </c>
      <c r="K868" s="380"/>
    </row>
    <row r="869" spans="1:11" ht="11.1" customHeight="1" x14ac:dyDescent="0.3">
      <c r="A869" s="360"/>
      <c r="B869" s="360"/>
      <c r="C869" s="361"/>
      <c r="D869" s="362"/>
      <c r="E869" s="362"/>
      <c r="F869" s="362"/>
      <c r="G869" s="363"/>
      <c r="H869" s="364"/>
      <c r="I869" s="364"/>
      <c r="J869" s="365"/>
      <c r="K869" s="419"/>
    </row>
    <row r="870" spans="1:11" ht="11.1" customHeight="1" x14ac:dyDescent="0.3">
      <c r="A870" s="380"/>
      <c r="B870" s="380"/>
      <c r="C870" s="380"/>
      <c r="D870" s="380"/>
      <c r="E870" s="380"/>
      <c r="F870" s="380"/>
      <c r="G870" s="381"/>
      <c r="H870" s="388"/>
      <c r="I870" s="388"/>
      <c r="J870" s="389"/>
      <c r="K870" s="380"/>
    </row>
    <row r="871" spans="1:11" ht="11.1" customHeight="1" x14ac:dyDescent="0.3">
      <c r="A871" s="380" t="s">
        <v>111</v>
      </c>
      <c r="B871" s="380"/>
      <c r="C871" s="380"/>
      <c r="D871" s="380"/>
      <c r="E871" s="380"/>
      <c r="F871" s="380"/>
      <c r="G871" s="381"/>
      <c r="H871" s="388"/>
      <c r="I871" s="388"/>
      <c r="J871" s="389"/>
      <c r="K871" s="380"/>
    </row>
    <row r="872" spans="1:11" ht="11.1" customHeight="1" x14ac:dyDescent="0.3">
      <c r="A872" s="380" t="s">
        <v>182</v>
      </c>
      <c r="B872" s="380"/>
      <c r="C872" s="380"/>
      <c r="D872" s="380"/>
      <c r="E872" s="380"/>
      <c r="F872" s="380"/>
      <c r="G872" s="381"/>
      <c r="H872" s="388"/>
      <c r="I872" s="388"/>
      <c r="J872" s="389"/>
      <c r="K872" s="380"/>
    </row>
    <row r="873" spans="1:11" ht="11.1" customHeight="1" x14ac:dyDescent="0.3">
      <c r="A873" s="380" t="s">
        <v>112</v>
      </c>
      <c r="B873" s="380"/>
      <c r="C873" s="380"/>
      <c r="D873" s="380"/>
      <c r="E873" s="380"/>
      <c r="F873" s="380"/>
      <c r="G873" s="381"/>
      <c r="H873" s="388"/>
      <c r="I873" s="388"/>
      <c r="J873" s="389"/>
      <c r="K873" s="380"/>
    </row>
    <row r="874" spans="1:11" ht="11.1" customHeight="1" x14ac:dyDescent="0.3">
      <c r="A874" s="380" t="s">
        <v>968</v>
      </c>
      <c r="B874" s="380"/>
      <c r="C874" s="380"/>
      <c r="D874" s="380"/>
      <c r="E874" s="380"/>
      <c r="F874" s="380"/>
      <c r="G874" s="381"/>
      <c r="H874" s="388"/>
      <c r="I874" s="388"/>
      <c r="J874" s="389"/>
      <c r="K874" s="380"/>
    </row>
    <row r="875" spans="1:11" ht="11.1" customHeight="1" x14ac:dyDescent="0.3">
      <c r="A875" s="380"/>
      <c r="B875" s="380"/>
      <c r="C875" s="380"/>
      <c r="D875" s="380"/>
      <c r="E875" s="380"/>
      <c r="F875" s="380"/>
      <c r="G875" s="381"/>
      <c r="H875" s="388"/>
      <c r="I875" s="388"/>
      <c r="J875" s="389"/>
      <c r="K875" s="380"/>
    </row>
    <row r="876" spans="1:11" ht="11.1" customHeight="1" x14ac:dyDescent="0.3">
      <c r="A876" s="380" t="s">
        <v>113</v>
      </c>
      <c r="B876" s="380"/>
      <c r="C876" s="380"/>
      <c r="D876" s="380"/>
      <c r="E876" s="380"/>
      <c r="F876" s="380"/>
      <c r="G876" s="381"/>
      <c r="H876" s="388"/>
      <c r="I876" s="388"/>
      <c r="J876" s="389"/>
      <c r="K876" s="380"/>
    </row>
  </sheetData>
  <hyperlinks>
    <hyperlink ref="N1" location="Contents!A1" display="Back to Contents" xr:uid="{170A62A1-513D-4BD6-A5D0-EE12E43B8F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2019Detail Expenses</vt:lpstr>
      <vt:lpstr>2020Detail Expenses</vt:lpstr>
      <vt:lpstr>2021Detail Expenses</vt:lpstr>
      <vt:lpstr>2023 Detail Expenses</vt:lpstr>
      <vt:lpstr>2022Detail Expenses</vt:lpstr>
      <vt:lpstr>2024Detail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yagnesh vaghasiya</dc:creator>
  <cp:lastModifiedBy>yagnesh vaghasiya</cp:lastModifiedBy>
  <dcterms:created xsi:type="dcterms:W3CDTF">2015-06-05T18:17:20Z</dcterms:created>
  <dcterms:modified xsi:type="dcterms:W3CDTF">2025-12-15T15:57:52Z</dcterms:modified>
</cp:coreProperties>
</file>