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ml.chartshapes+xml"/>
  <Override PartName="/xl/charts/chart5.xml" ContentType="application/vnd.openxmlformats-officedocument.drawingml.chart+xml"/>
  <Override PartName="/xl/drawings/drawing8.xml" ContentType="application/vnd.openxmlformats-officedocument.drawingml.chartshapes+xml"/>
  <Override PartName="/xl/charts/chart6.xml" ContentType="application/vnd.openxmlformats-officedocument.drawingml.chart+xml"/>
  <Override PartName="/xl/drawings/drawing9.xml" ContentType="application/vnd.openxmlformats-officedocument.drawingml.chartshapes+xml"/>
  <Override PartName="/xl/charts/chart7.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B:\INPUTS_team\Technical_Reports\2022-23\2022-23 tables\"/>
    </mc:Choice>
  </mc:AlternateContent>
  <xr:revisionPtr revIDLastSave="0" documentId="13_ncr:1_{C33B1661-6592-4298-8519-C02041C5D834}" xr6:coauthVersionLast="47" xr6:coauthVersionMax="47" xr10:uidLastSave="{00000000-0000-0000-0000-000000000000}"/>
  <bookViews>
    <workbookView xWindow="28680" yWindow="-10470" windowWidth="29040" windowHeight="15840" tabRatio="920" xr2:uid="{00000000-000D-0000-FFFF-FFFF00000000}"/>
  </bookViews>
  <sheets>
    <sheet name="Index" sheetId="18" r:id="rId1"/>
    <sheet name="Table 1" sheetId="15" r:id="rId2"/>
    <sheet name="Table 2" sheetId="16" r:id="rId3"/>
    <sheet name="Table 3" sheetId="17" r:id="rId4"/>
    <sheet name="Table 4" sheetId="1" r:id="rId5"/>
    <sheet name="Table 5" sheetId="2" r:id="rId6"/>
    <sheet name="Table 6" sheetId="3" r:id="rId7"/>
    <sheet name="Table 7" sheetId="4" r:id="rId8"/>
    <sheet name="Table 8" sheetId="5" r:id="rId9"/>
    <sheet name="Table 9" sheetId="6" r:id="rId10"/>
    <sheet name="Table 10" sheetId="9" r:id="rId11"/>
    <sheet name="Table 11" sheetId="10" r:id="rId12"/>
    <sheet name="Table 12" sheetId="11" r:id="rId13"/>
    <sheet name="Table 13" sheetId="12" r:id="rId14"/>
    <sheet name="Table 14" sheetId="20" r:id="rId15"/>
    <sheet name="Table 15" sheetId="21" r:id="rId16"/>
    <sheet name="Table 16" sheetId="23" r:id="rId17"/>
    <sheet name="Background notes" sheetId="22" r:id="rId18"/>
  </sheets>
  <definedNames>
    <definedName name="_xlnm.Print_Area" localSheetId="15">'Table 15'!$1:$1048576</definedName>
    <definedName name="_xlnm.Print_Area" localSheetId="16">'Table 16'!$A$1:$P$42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6" l="1"/>
  <c r="B25" i="16" l="1"/>
  <c r="D23" i="1"/>
  <c r="D21" i="1"/>
  <c r="D19" i="1"/>
  <c r="D17" i="1"/>
  <c r="D14" i="1"/>
  <c r="C7" i="1"/>
</calcChain>
</file>

<file path=xl/sharedStrings.xml><?xml version="1.0" encoding="utf-8"?>
<sst xmlns="http://schemas.openxmlformats.org/spreadsheetml/2006/main" count="721" uniqueCount="450">
  <si>
    <t>Index of tables accompanying the Living Costs and Food Survey Technical Report</t>
  </si>
  <si>
    <t>Link</t>
  </si>
  <si>
    <t>Title</t>
  </si>
  <si>
    <t>Table 1</t>
  </si>
  <si>
    <t>Table 2</t>
  </si>
  <si>
    <t>Table 3</t>
  </si>
  <si>
    <t>Table 4</t>
  </si>
  <si>
    <t>Table 5</t>
  </si>
  <si>
    <t>Table 6</t>
  </si>
  <si>
    <t>Table 7</t>
  </si>
  <si>
    <t>Table 8</t>
  </si>
  <si>
    <t>Table 9</t>
  </si>
  <si>
    <t>Table 10</t>
  </si>
  <si>
    <t>Table 11</t>
  </si>
  <si>
    <t>Table 12</t>
  </si>
  <si>
    <t>Table 13</t>
  </si>
  <si>
    <t>Table 14</t>
  </si>
  <si>
    <t>Table 15</t>
  </si>
  <si>
    <t>Table 16</t>
  </si>
  <si>
    <t>Background notes</t>
  </si>
  <si>
    <t>Symbols and conventions used in technical report tables</t>
  </si>
  <si>
    <t>Source: Office for National Statistics</t>
  </si>
  <si>
    <t>Table 1 Percentage of households containing proxy interviews</t>
  </si>
  <si>
    <t>Return to index</t>
  </si>
  <si>
    <t>2015-16</t>
  </si>
  <si>
    <t>2016-17</t>
  </si>
  <si>
    <t>2017-18</t>
  </si>
  <si>
    <t xml:space="preserve"> 2018-19</t>
  </si>
  <si>
    <t>2019-20</t>
  </si>
  <si>
    <t>2020-21</t>
  </si>
  <si>
    <t>2021-22</t>
  </si>
  <si>
    <t>Percentage of households</t>
  </si>
  <si>
    <t>Proxy interviews</t>
  </si>
  <si>
    <t>Total number of households</t>
  </si>
  <si>
    <t>Table 2 Dates of placing weeks</t>
  </si>
  <si>
    <t>April - March</t>
  </si>
  <si>
    <t>Placing week</t>
  </si>
  <si>
    <t>Dates for all months (except February)</t>
  </si>
  <si>
    <t>Dates for February</t>
  </si>
  <si>
    <t>Placement pattern Number of interviews</t>
  </si>
  <si>
    <t>1st to 7th</t>
  </si>
  <si>
    <t>7*</t>
  </si>
  <si>
    <t>8th to 15th</t>
  </si>
  <si>
    <t>8th to 14th</t>
  </si>
  <si>
    <t>16th to 23rd</t>
  </si>
  <si>
    <t>15th to 21st</t>
  </si>
  <si>
    <t>24th to end of month</t>
  </si>
  <si>
    <t>22nd to end of month</t>
  </si>
  <si>
    <t>Total number of interviews (per quota)</t>
  </si>
  <si>
    <t>29*</t>
  </si>
  <si>
    <t>* Please note that these are approximates as interviews per quota changed between December and March.</t>
  </si>
  <si>
    <t>Months</t>
  </si>
  <si>
    <t>Quota size</t>
  </si>
  <si>
    <t>April to May</t>
  </si>
  <si>
    <t>June to September</t>
  </si>
  <si>
    <t>October to December</t>
  </si>
  <si>
    <t>January to March</t>
  </si>
  <si>
    <t>Average number of interviews per month</t>
  </si>
  <si>
    <t>Table 3 Week of the month during which the interview was carried out</t>
  </si>
  <si>
    <t>Placing Week</t>
  </si>
  <si>
    <t xml:space="preserve">        Achieved Placement</t>
  </si>
  <si>
    <t>Total</t>
  </si>
  <si>
    <t>Note: The sum of component items may not sum to the total due to rounding</t>
  </si>
  <si>
    <t>Great Britain</t>
  </si>
  <si>
    <t>Number of households or addresses</t>
  </si>
  <si>
    <t>Percentage of set sample</t>
  </si>
  <si>
    <t>Percentage of eligible sample</t>
  </si>
  <si>
    <t>Set sample</t>
  </si>
  <si>
    <t>Ineligible</t>
  </si>
  <si>
    <t xml:space="preserve">Extra households </t>
  </si>
  <si>
    <t>(multi-households)</t>
  </si>
  <si>
    <t>Total eligible</t>
  </si>
  <si>
    <t>Co-operating households</t>
  </si>
  <si>
    <t>Refusals</t>
  </si>
  <si>
    <t>Non-Contact</t>
  </si>
  <si>
    <t>Unknown eligibility</t>
  </si>
  <si>
    <t>Other non-response</t>
  </si>
  <si>
    <t>Table 5 Response rates in the Family Expenditure Survey/Expenditure and Food Survey/Living Costs and Food Survey</t>
  </si>
  <si>
    <t>Year</t>
  </si>
  <si>
    <t>Response rate - percentage</t>
  </si>
  <si>
    <t>1994-95</t>
  </si>
  <si>
    <t>1995-96</t>
  </si>
  <si>
    <t>1996-97</t>
  </si>
  <si>
    <t>1997-98</t>
  </si>
  <si>
    <t>1998-99</t>
  </si>
  <si>
    <t>*</t>
  </si>
  <si>
    <t>1999-00</t>
  </si>
  <si>
    <t>2000-01</t>
  </si>
  <si>
    <t>2001-02</t>
  </si>
  <si>
    <t xml:space="preserve"> +</t>
  </si>
  <si>
    <t>2002-03</t>
  </si>
  <si>
    <t>2003-04</t>
  </si>
  <si>
    <t>2004-05</t>
  </si>
  <si>
    <t>2005-06</t>
  </si>
  <si>
    <t>-</t>
  </si>
  <si>
    <t>2018-19</t>
  </si>
  <si>
    <t>^</t>
  </si>
  <si>
    <t>* New harmonised response rules account for a 0.7% drop in 1998/99 and a 0.5% drop in response in 1999-00</t>
  </si>
  <si>
    <r>
      <t xml:space="preserve"> </t>
    </r>
    <r>
      <rPr>
        <vertAlign val="superscript"/>
        <sz val="10"/>
        <rFont val="Arial"/>
        <family val="2"/>
      </rPr>
      <t>+</t>
    </r>
    <r>
      <rPr>
        <sz val="10"/>
        <color indexed="8"/>
        <rFont val="Arial"/>
        <family val="2"/>
      </rPr>
      <t xml:space="preserve"> EFS response rate</t>
    </r>
  </si>
  <si>
    <t xml:space="preserve"> - LCF Response rate</t>
  </si>
  <si>
    <r>
      <rPr>
        <vertAlign val="superscript"/>
        <sz val="10"/>
        <color indexed="63"/>
        <rFont val="Arial"/>
        <family val="2"/>
      </rPr>
      <t xml:space="preserve">1 </t>
    </r>
    <r>
      <rPr>
        <sz val="10"/>
        <color indexed="63"/>
        <rFont val="Arial"/>
        <family val="2"/>
      </rPr>
      <t>The Family Expenditure Survey was replaced with the Expenditure and Food Survey in 2001 and further replaced with the Living Costs and Food Survey in 2008. New harmonised response rules account for a 0.7% drop in response in 1998/99 and a 0.5% drop in response in 1999-00.</t>
    </r>
  </si>
  <si>
    <t>Table 6 Type of partial response</t>
  </si>
  <si>
    <t>Type of partial response</t>
  </si>
  <si>
    <t>Number of households</t>
  </si>
  <si>
    <t>Percentage</t>
  </si>
  <si>
    <t xml:space="preserve"> of partials</t>
  </si>
  <si>
    <r>
      <t>1. One or more adults refuse to keep the diary</t>
    </r>
    <r>
      <rPr>
        <vertAlign val="superscript"/>
        <sz val="10"/>
        <rFont val="Arial"/>
        <family val="2"/>
      </rPr>
      <t>1</t>
    </r>
  </si>
  <si>
    <t>All</t>
  </si>
  <si>
    <r>
      <t xml:space="preserve">1 </t>
    </r>
    <r>
      <rPr>
        <sz val="10"/>
        <rFont val="Arial"/>
        <family val="2"/>
      </rPr>
      <t>Diary is present for the main diary keeper</t>
    </r>
  </si>
  <si>
    <t>Table 7 Living Costs and Food Survey response summary</t>
  </si>
  <si>
    <t>Non-contacts</t>
  </si>
  <si>
    <t>Co-operating</t>
  </si>
  <si>
    <r>
      <t xml:space="preserve">Non-contacts </t>
    </r>
    <r>
      <rPr>
        <sz val="10"/>
        <rFont val="Calibri"/>
        <family val="2"/>
      </rPr>
      <t>¹</t>
    </r>
  </si>
  <si>
    <t>¹ Non-contacts are all non-contacts/non-response</t>
  </si>
  <si>
    <t>Table 8 Expenditure and Food Survey/Living Costs and Food Survey quarterly response</t>
  </si>
  <si>
    <t>April-June</t>
  </si>
  <si>
    <t>July-September</t>
  </si>
  <si>
    <t>Responding sample</t>
  </si>
  <si>
    <t>Response rate</t>
  </si>
  <si>
    <t>2019</t>
  </si>
  <si>
    <t>2020</t>
  </si>
  <si>
    <t>2021</t>
  </si>
  <si>
    <t>October-December</t>
  </si>
  <si>
    <r>
      <t>January-March</t>
    </r>
    <r>
      <rPr>
        <b/>
        <vertAlign val="superscript"/>
        <sz val="10"/>
        <rFont val="Arial"/>
        <family val="2"/>
      </rPr>
      <t>1</t>
    </r>
  </si>
  <si>
    <r>
      <rPr>
        <vertAlign val="superscript"/>
        <sz val="8"/>
        <color indexed="8"/>
        <rFont val="Calibri"/>
        <family val="2"/>
      </rPr>
      <t>1</t>
    </r>
    <r>
      <rPr>
        <sz val="8"/>
        <color indexed="8"/>
        <rFont val="Calibri"/>
        <family val="2"/>
      </rPr>
      <t xml:space="preserve"> The drop in response observed for January-March 2020 was due to temporary pause of data collection halfway through March 2020, as per Government guidance. Final March interviews took place on Monday March 16th. The pause in data collection resulted in 13 fewer days of March interviews. All households that weren’t interviewed as a result of the data collection pause were treated as non-responding households.</t>
    </r>
  </si>
  <si>
    <t>Table 9 Response by country and region</t>
  </si>
  <si>
    <t>Country/region</t>
  </si>
  <si>
    <t>North East</t>
  </si>
  <si>
    <t>North West</t>
  </si>
  <si>
    <t>Yorkshire and The Humber</t>
  </si>
  <si>
    <t>East Midlands</t>
  </si>
  <si>
    <t>West Midlands</t>
  </si>
  <si>
    <t>Eastern</t>
  </si>
  <si>
    <t>London</t>
  </si>
  <si>
    <t>South East</t>
  </si>
  <si>
    <t>South West</t>
  </si>
  <si>
    <t>Wales</t>
  </si>
  <si>
    <t>Scotland</t>
  </si>
  <si>
    <t>Northern Ireland</t>
  </si>
  <si>
    <t>Total of number of households</t>
  </si>
  <si>
    <t>Table 10 Reasons for refusal</t>
  </si>
  <si>
    <t xml:space="preserve"> Reasons for refusal</t>
  </si>
  <si>
    <t>Can't be bothered</t>
  </si>
  <si>
    <t>Refusal to HQ after interviewer's visit</t>
  </si>
  <si>
    <t>Temporarily too busy</t>
  </si>
  <si>
    <t>Invasion of privacy</t>
  </si>
  <si>
    <t>Doesn't believe in surveys</t>
  </si>
  <si>
    <t>Concerns about confidentiality</t>
  </si>
  <si>
    <t>Disliked survey matter</t>
  </si>
  <si>
    <t>Genuinely too busy</t>
  </si>
  <si>
    <t>Other</t>
  </si>
  <si>
    <t>Personal problems</t>
  </si>
  <si>
    <t>Anti-government</t>
  </si>
  <si>
    <t>About to go away</t>
  </si>
  <si>
    <r>
      <t>No reason given</t>
    </r>
    <r>
      <rPr>
        <vertAlign val="superscript"/>
        <sz val="10"/>
        <color indexed="8"/>
        <rFont val="Arial"/>
        <family val="2"/>
      </rPr>
      <t>1</t>
    </r>
  </si>
  <si>
    <t>Bad experience with previous surveys</t>
  </si>
  <si>
    <t>Put off by record keeping</t>
  </si>
  <si>
    <t>Late contact - insufficient field time</t>
  </si>
  <si>
    <t xml:space="preserve">Total </t>
  </si>
  <si>
    <r>
      <t xml:space="preserve">1 </t>
    </r>
    <r>
      <rPr>
        <sz val="10"/>
        <rFont val="Arial"/>
        <family val="2"/>
      </rPr>
      <t>Households coded to 'no reason given' consist mainly of households that made refusals directly to HQ and were therefore not visited by an interviewer</t>
    </r>
  </si>
  <si>
    <t>Table 11 Comparison of household type of non-responding and responding households</t>
  </si>
  <si>
    <t>Household type</t>
  </si>
  <si>
    <t>Non-responding households</t>
  </si>
  <si>
    <t>Responding households</t>
  </si>
  <si>
    <t>1 adult, no children</t>
  </si>
  <si>
    <t>1 adult, with children</t>
  </si>
  <si>
    <t>2 adults, no children</t>
  </si>
  <si>
    <t>2 adults, with children</t>
  </si>
  <si>
    <t>3 or more adults, no children</t>
  </si>
  <si>
    <t>3 or more adults, with children</t>
  </si>
  <si>
    <t>Table 12 Comparison of number of adults and children in non-responding and responding households</t>
  </si>
  <si>
    <t>Number of adults</t>
  </si>
  <si>
    <t>4 or more</t>
  </si>
  <si>
    <t>Number of children</t>
  </si>
  <si>
    <t>Table 13 Comparison of age group and sex of HRP in non-responding and responding households</t>
  </si>
  <si>
    <t>Age group</t>
  </si>
  <si>
    <t>16 to 34</t>
  </si>
  <si>
    <t>35 to 59</t>
  </si>
  <si>
    <t>60 or more</t>
  </si>
  <si>
    <t>Sex</t>
  </si>
  <si>
    <t>Male</t>
  </si>
  <si>
    <t>Female</t>
  </si>
  <si>
    <t>Table 14 Percentage standard errors and confidence intervals of expenditure</t>
  </si>
  <si>
    <t>standard</t>
  </si>
  <si>
    <t>Households recording</t>
  </si>
  <si>
    <t xml:space="preserve">    error</t>
  </si>
  <si>
    <t>expenditure</t>
  </si>
  <si>
    <t>95% confidence interval</t>
  </si>
  <si>
    <t>Commodity or service</t>
  </si>
  <si>
    <t>Weighted</t>
  </si>
  <si>
    <t>Simple</t>
  </si>
  <si>
    <t xml:space="preserve"> Design</t>
  </si>
  <si>
    <t>Full</t>
  </si>
  <si>
    <t>Recording</t>
  </si>
  <si>
    <t>Lower limit (£)</t>
  </si>
  <si>
    <t>Upper limit (£)</t>
  </si>
  <si>
    <t>average weekly</t>
  </si>
  <si>
    <t>method</t>
  </si>
  <si>
    <t>factor</t>
  </si>
  <si>
    <t>households</t>
  </si>
  <si>
    <t>of all</t>
  </si>
  <si>
    <t>household</t>
  </si>
  <si>
    <t>(DEFT)</t>
  </si>
  <si>
    <t>in sample</t>
  </si>
  <si>
    <t>expenditure (£)</t>
  </si>
  <si>
    <t>All expenditure groups</t>
  </si>
  <si>
    <t>Food and non-alcoholic drinks</t>
  </si>
  <si>
    <t>Alcoholic drink, tobacco and narcotics</t>
  </si>
  <si>
    <t>Clothing and footwear</t>
  </si>
  <si>
    <t>Housing, fuel and power</t>
  </si>
  <si>
    <t>Household goods and services</t>
  </si>
  <si>
    <t>Health</t>
  </si>
  <si>
    <t>Transport</t>
  </si>
  <si>
    <t>Communication</t>
  </si>
  <si>
    <t>Recreation and culture</t>
  </si>
  <si>
    <t>Education</t>
  </si>
  <si>
    <t>Restaurants and hotels</t>
  </si>
  <si>
    <t>Miscellaneous goods and services</t>
  </si>
  <si>
    <t>Table 15 Characteristics of households</t>
  </si>
  <si>
    <r>
      <t>Percentage</t>
    </r>
    <r>
      <rPr>
        <b/>
        <vertAlign val="superscript"/>
        <sz val="10"/>
        <rFont val="Arial"/>
        <family val="2"/>
      </rPr>
      <t>1</t>
    </r>
  </si>
  <si>
    <t>House-</t>
  </si>
  <si>
    <t>number</t>
  </si>
  <si>
    <t>holds</t>
  </si>
  <si>
    <t>house-</t>
  </si>
  <si>
    <t>of house-</t>
  </si>
  <si>
    <t>in</t>
  </si>
  <si>
    <t>sample</t>
  </si>
  <si>
    <t>(000s)</t>
  </si>
  <si>
    <t>(number)</t>
  </si>
  <si>
    <t>Composition of household (cont)</t>
  </si>
  <si>
    <t>Size of household</t>
  </si>
  <si>
    <t>Four adults</t>
  </si>
  <si>
    <t>One person</t>
  </si>
  <si>
    <t xml:space="preserve"> </t>
  </si>
  <si>
    <t>Two persons</t>
  </si>
  <si>
    <t>Four adults, one child</t>
  </si>
  <si>
    <t>Three persons</t>
  </si>
  <si>
    <t>Four adults, two or more children</t>
  </si>
  <si>
    <t>Four persons</t>
  </si>
  <si>
    <t>Five persons</t>
  </si>
  <si>
    <t>Five adults</t>
  </si>
  <si>
    <t>Six persons</t>
  </si>
  <si>
    <t>Five adults, one or more children</t>
  </si>
  <si>
    <t>Seven persons</t>
  </si>
  <si>
    <t>All other households without children</t>
  </si>
  <si>
    <t>Eight persons</t>
  </si>
  <si>
    <t>All other households with children</t>
  </si>
  <si>
    <t>Nine or more persons</t>
  </si>
  <si>
    <t>Composition of household</t>
  </si>
  <si>
    <t>One adult</t>
  </si>
  <si>
    <t>Number of economically active</t>
  </si>
  <si>
    <t>Retired households mainly</t>
  </si>
  <si>
    <t>persons in household</t>
  </si>
  <si>
    <r>
      <t>dependent on state pensions</t>
    </r>
    <r>
      <rPr>
        <vertAlign val="superscript"/>
        <sz val="10"/>
        <rFont val="Arial"/>
        <family val="2"/>
      </rPr>
      <t>2</t>
    </r>
  </si>
  <si>
    <t>No person</t>
  </si>
  <si>
    <t>Other retired households</t>
  </si>
  <si>
    <t>One  person</t>
  </si>
  <si>
    <t>Non-retired households</t>
  </si>
  <si>
    <t>More than one person</t>
  </si>
  <si>
    <t>One man</t>
  </si>
  <si>
    <t>Aged under 65</t>
  </si>
  <si>
    <t>Aged 65 and over</t>
  </si>
  <si>
    <t>One woman</t>
  </si>
  <si>
    <t>Aged under 60</t>
  </si>
  <si>
    <t>Six or more persons</t>
  </si>
  <si>
    <t>Aged 60 and over</t>
  </si>
  <si>
    <t>Households with married women</t>
  </si>
  <si>
    <t>One adult, one child</t>
  </si>
  <si>
    <t xml:space="preserve">Households with married women </t>
  </si>
  <si>
    <t>One man, one child</t>
  </si>
  <si>
    <t>economically active</t>
  </si>
  <si>
    <t>One woman, one child</t>
  </si>
  <si>
    <t>With no dependent children</t>
  </si>
  <si>
    <t>One adult, two or more children</t>
  </si>
  <si>
    <t>With dependent children</t>
  </si>
  <si>
    <t>One man, two or more children</t>
  </si>
  <si>
    <t>One child</t>
  </si>
  <si>
    <t>One woman, two or more children</t>
  </si>
  <si>
    <t>Two children</t>
  </si>
  <si>
    <t>Three children</t>
  </si>
  <si>
    <t>One man, one woman</t>
  </si>
  <si>
    <t>Four or more children</t>
  </si>
  <si>
    <t>not economically active</t>
  </si>
  <si>
    <t xml:space="preserve"> Two men or two women</t>
  </si>
  <si>
    <t>Two adults with children</t>
  </si>
  <si>
    <t>One man one woman, one child</t>
  </si>
  <si>
    <t>Two men or two women, one child</t>
  </si>
  <si>
    <t>One man one woman, two children</t>
  </si>
  <si>
    <t>Two men or two women,</t>
  </si>
  <si>
    <t>two children</t>
  </si>
  <si>
    <t>One man one woman, three children</t>
  </si>
  <si>
    <t>Economic status of household reference person</t>
  </si>
  <si>
    <t>Economically active</t>
  </si>
  <si>
    <t>three children</t>
  </si>
  <si>
    <t>Employee at work</t>
  </si>
  <si>
    <t>Two adults, four children</t>
  </si>
  <si>
    <t>Full-time</t>
  </si>
  <si>
    <t>Two adults, five children</t>
  </si>
  <si>
    <t>Part-time</t>
  </si>
  <si>
    <t>Two adults, six or more children</t>
  </si>
  <si>
    <t>Government-supported training</t>
  </si>
  <si>
    <t>Three adults</t>
  </si>
  <si>
    <t>Unemployed</t>
  </si>
  <si>
    <t>Three adults with children</t>
  </si>
  <si>
    <t>Self-employed</t>
  </si>
  <si>
    <t>Three adults, one child</t>
  </si>
  <si>
    <t>Three adults, two children</t>
  </si>
  <si>
    <t>Economically inactive</t>
  </si>
  <si>
    <t>Three adults, three children</t>
  </si>
  <si>
    <t>Three adults, four or more children</t>
  </si>
  <si>
    <t>Note: Changes to categories of socio economic classification were made in 2011. Please see changes in definitions.</t>
  </si>
  <si>
    <t>Please see background notes for symbols and conventions used in this report.</t>
  </si>
  <si>
    <t>1 Based on weighted number of households.</t>
  </si>
  <si>
    <t>2 Mainly dependent on state pensions and not economically active - see definitions.</t>
  </si>
  <si>
    <t>Age of household reference person</t>
  </si>
  <si>
    <t>15 and under 20 years</t>
  </si>
  <si>
    <t>20 and under 25 years</t>
  </si>
  <si>
    <t>GB Urban</t>
  </si>
  <si>
    <t>25 and under 30 years</t>
  </si>
  <si>
    <t>GB rural</t>
  </si>
  <si>
    <t>30 and under 35 years</t>
  </si>
  <si>
    <t>35 and under 40 years</t>
  </si>
  <si>
    <r>
      <t>Tenure of dwelling</t>
    </r>
    <r>
      <rPr>
        <b/>
        <vertAlign val="superscript"/>
        <sz val="10"/>
        <rFont val="Arial"/>
        <family val="2"/>
      </rPr>
      <t>5</t>
    </r>
  </si>
  <si>
    <t>40 and under 45 years</t>
  </si>
  <si>
    <t>Owners</t>
  </si>
  <si>
    <t>Owned outright</t>
  </si>
  <si>
    <t>45 and under 50 years</t>
  </si>
  <si>
    <t>Buying with a mortgage</t>
  </si>
  <si>
    <t>50 and under 55 years</t>
  </si>
  <si>
    <t>55 and under 60 years</t>
  </si>
  <si>
    <t>Social rented from</t>
  </si>
  <si>
    <t>Council</t>
  </si>
  <si>
    <t>60 and under 65 years</t>
  </si>
  <si>
    <t>Registered social landlord</t>
  </si>
  <si>
    <t>65 and under 70 years</t>
  </si>
  <si>
    <t>70 and under 75 years</t>
  </si>
  <si>
    <t>Private rented</t>
  </si>
  <si>
    <t>Rent free</t>
  </si>
  <si>
    <t>75 and under 80 years</t>
  </si>
  <si>
    <t>Rent paid, unfurnished</t>
  </si>
  <si>
    <t>80 and under 85 years</t>
  </si>
  <si>
    <t>Rent paid, furnished</t>
  </si>
  <si>
    <t>85 and under 90 years</t>
  </si>
  <si>
    <t>90 years or more</t>
  </si>
  <si>
    <t>Households with durable goods</t>
  </si>
  <si>
    <t xml:space="preserve">Regions and Countries </t>
  </si>
  <si>
    <t>Car/van</t>
  </si>
  <si>
    <t>One</t>
  </si>
  <si>
    <t>United Kingdom</t>
  </si>
  <si>
    <t>Two</t>
  </si>
  <si>
    <t>England</t>
  </si>
  <si>
    <t>Three or more</t>
  </si>
  <si>
    <t>Central heating, full or partial</t>
  </si>
  <si>
    <t>Yorkshire and the Humber</t>
  </si>
  <si>
    <t>East of England</t>
  </si>
  <si>
    <t>Telephone</t>
  </si>
  <si>
    <t xml:space="preserve">South East </t>
  </si>
  <si>
    <t>Mobile phone</t>
  </si>
  <si>
    <t>Home computer</t>
  </si>
  <si>
    <t>Internet connection</t>
  </si>
  <si>
    <t>Socio-economic classification</t>
  </si>
  <si>
    <t>of household reference person</t>
  </si>
  <si>
    <t>Higher managerial and professional</t>
  </si>
  <si>
    <t>Large employers/higher managerial</t>
  </si>
  <si>
    <t>Higher professional</t>
  </si>
  <si>
    <t>Lower managerial and professional</t>
  </si>
  <si>
    <t>Intermediate</t>
  </si>
  <si>
    <t>Small employers</t>
  </si>
  <si>
    <t>Lower supervisory</t>
  </si>
  <si>
    <t>Semi-routine</t>
  </si>
  <si>
    <t>Routine</t>
  </si>
  <si>
    <r>
      <t>Long-term unemployed</t>
    </r>
    <r>
      <rPr>
        <sz val="8"/>
        <rFont val="Arial"/>
        <family val="2"/>
      </rPr>
      <t>3</t>
    </r>
  </si>
  <si>
    <t>Students</t>
  </si>
  <si>
    <r>
      <t>Occupation not stated</t>
    </r>
    <r>
      <rPr>
        <sz val="8"/>
        <rFont val="Arial"/>
        <family val="2"/>
      </rPr>
      <t>4</t>
    </r>
  </si>
  <si>
    <t>Note: Changes to categories of socio-economic classification were made in 2011. Please see changes in definitions.</t>
  </si>
  <si>
    <t>3 Includes those who have never worked.</t>
  </si>
  <si>
    <t>4 Includes those who are economically inactive - see definitions.</t>
  </si>
  <si>
    <t>Table 16 Characteristics of persons</t>
  </si>
  <si>
    <t>Males</t>
  </si>
  <si>
    <t>Females</t>
  </si>
  <si>
    <t>All persons</t>
  </si>
  <si>
    <t xml:space="preserve">Persons </t>
  </si>
  <si>
    <t xml:space="preserve">of </t>
  </si>
  <si>
    <t>in the</t>
  </si>
  <si>
    <t>all</t>
  </si>
  <si>
    <t xml:space="preserve">persons </t>
  </si>
  <si>
    <t xml:space="preserve"> males</t>
  </si>
  <si>
    <t xml:space="preserve"> persons</t>
  </si>
  <si>
    <t>females</t>
  </si>
  <si>
    <t>Adults</t>
  </si>
  <si>
    <t>Persons aged under 60</t>
  </si>
  <si>
    <t>Persons aged 60 or under 65</t>
  </si>
  <si>
    <t>Persons aged 65 or under 70</t>
  </si>
  <si>
    <t>Persons aged 70 or over</t>
  </si>
  <si>
    <t>Children</t>
  </si>
  <si>
    <t>Children under 2 years of age</t>
  </si>
  <si>
    <t>Children aged 2 or under 5</t>
  </si>
  <si>
    <t>Children aged 5 or under 16</t>
  </si>
  <si>
    <t>Children aged 16 or under 18</t>
  </si>
  <si>
    <t>Economic activity</t>
  </si>
  <si>
    <t>Persons active (aged 16 or over)</t>
  </si>
  <si>
    <t>Persons not active</t>
  </si>
  <si>
    <t xml:space="preserve">Men 65 or over and </t>
  </si>
  <si>
    <t>Women 60 or over</t>
  </si>
  <si>
    <t>Others (including children under 16)</t>
  </si>
  <si>
    <t xml:space="preserve">[ ] </t>
  </si>
  <si>
    <t>Figures should be used with extra caution because they are based on fewer than 20 reporting households.</t>
  </si>
  <si>
    <t>..</t>
  </si>
  <si>
    <t>The data is suppressed if the unweighted sample counts are less than 10 reporting households.</t>
  </si>
  <si>
    <t>:</t>
  </si>
  <si>
    <t>No figures are available because there are no reporting households.</t>
  </si>
  <si>
    <t>~</t>
  </si>
  <si>
    <t>The figure is greater than 0 but rounds to 0.</t>
  </si>
  <si>
    <t>Rounding:</t>
  </si>
  <si>
    <t>Individual figures have been rounded independently. The sum of component items does not therefore necessarily add to the totals shown.</t>
  </si>
  <si>
    <t>Percentage of households containing proxy interviews, Great Britain, 2007 to financial year ending 2023</t>
  </si>
  <si>
    <t>Dates of placing weeks, United Kingdom, financial year ending 2023</t>
  </si>
  <si>
    <t>Week of the month during which the interview was carried out, Great Britain, financial year ending 2023</t>
  </si>
  <si>
    <t>Response in financial year ending 2023, Great Britain</t>
  </si>
  <si>
    <t>Response rates in the Family Expenditure Survey/Expenditure and Food Survey/Living Costs and Food Survey, Great Britain, 1977 to financial year ending 2023</t>
  </si>
  <si>
    <t>Type of partial response, Great Britain, financial year ending 2023</t>
  </si>
  <si>
    <t>Living Costs and Food Survey response summary, Great Britain, 2011 to financial year ending 2023</t>
  </si>
  <si>
    <t>Expenditure and Food Survey/Living Costs and Food Survey quarterly response, 2004 to financial year ending 2023</t>
  </si>
  <si>
    <t>Response by country and region, United Kingdom, financial year ending 2023</t>
  </si>
  <si>
    <t>Reasons for refusal, Great Britain, financial year ending 2023</t>
  </si>
  <si>
    <t>Comparison of household type of non-responding and responding households, Great Britain, financial year ending 2023</t>
  </si>
  <si>
    <t>Comparison of number of adults and children in non-responding and responding households, Great Britain, financial year ending 2023</t>
  </si>
  <si>
    <t>Comparison of age group and sex of HRP in non-responding and responding households, Great Britain, financial year ending 2023</t>
  </si>
  <si>
    <t>Percentage standard errors and confidence intervals of expenditure, United Kingdom, financial year ending 2023</t>
  </si>
  <si>
    <t>Characteristics of households, United Kingdom, financial year ending 2023</t>
  </si>
  <si>
    <t>Characteristics of persons, United Kingdom, financial year ending 2023</t>
  </si>
  <si>
    <t>Great Britain, 2007 to financial year ending 2023</t>
  </si>
  <si>
    <t>United Kingdom, financial year ending 2023</t>
  </si>
  <si>
    <t>Great Britain, financial year ending 2023</t>
  </si>
  <si>
    <t>Table 4 Response in financial year ending 2023</t>
  </si>
  <si>
    <t>Great Britain, 1977 to financial year ending 2023</t>
  </si>
  <si>
    <t>Great Britain, 2011 to financial year ending 2023</t>
  </si>
  <si>
    <t>Great Britain, 2004 to financial year ending 2023</t>
  </si>
  <si>
    <t>UK, financial year ending 2023</t>
  </si>
  <si>
    <t>2022-23</t>
  </si>
  <si>
    <t>(includes 68 partials)</t>
  </si>
  <si>
    <t>^ For 2020-21 the sample increased from approx 14k to 20k to accommodate change to telephone collection, therefore the percentage of cases within the dataset is smaller but the count is comparable with previous years. This sample increase continued for 2022-23.</t>
  </si>
  <si>
    <t>2022</t>
  </si>
  <si>
    <t>Too old/infirm</t>
  </si>
  <si>
    <t>5 See footnotes on Table A32 - ONS, Family Spending FYE 2023.</t>
  </si>
  <si>
    <t>2020-2023 (3-year average)</t>
  </si>
  <si>
    <t>GB urban/rural areas 2020-2023 (over 3 years)</t>
  </si>
  <si>
    <r>
      <t>Percentage</t>
    </r>
    <r>
      <rPr>
        <b/>
        <vertAlign val="superscript"/>
        <sz val="10"/>
        <rFont val="Arial"/>
        <family val="2"/>
      </rPr>
      <t>1</t>
    </r>
    <r>
      <rPr>
        <b/>
        <sz val="10"/>
        <rFont val="Arial"/>
        <family val="2"/>
      </rPr>
      <t xml:space="preserve"> of</t>
    </r>
  </si>
  <si>
    <r>
      <t xml:space="preserve"> Percentage</t>
    </r>
    <r>
      <rPr>
        <b/>
        <vertAlign val="superscript"/>
        <sz val="10"/>
        <rFont val="Arial"/>
        <family val="2"/>
      </rPr>
      <t>1</t>
    </r>
    <r>
      <rPr>
        <b/>
        <sz val="10"/>
        <rFont val="Arial"/>
        <family val="2"/>
      </rPr>
      <t xml:space="preserve"> of</t>
    </r>
  </si>
  <si>
    <t>Characteristics of households, financial year ending 2023, United Kingdom (cont.)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</si>
</sst>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_-;\-* #,##0_-;_-* &quot;-&quot;??_-;_-@_-"/>
    <numFmt numFmtId="165" formatCode="###0"/>
    <numFmt numFmtId="166" formatCode="####.0"/>
    <numFmt numFmtId="167" formatCode="###0.0"/>
    <numFmt numFmtId="168" formatCode="#,##0.000"/>
    <numFmt numFmtId="169" formatCode="0.0"/>
    <numFmt numFmtId="170" formatCode="#,##0.0&quot;0&quot;"/>
    <numFmt numFmtId="171" formatCode="#,#00"/>
    <numFmt numFmtId="172" formatCode="General_)"/>
    <numFmt numFmtId="173" formatCode="0.0&quot;0&quot;"/>
    <numFmt numFmtId="174" formatCode="&quot;[&quot;0&quot;]&quot;"/>
    <numFmt numFmtId="175" formatCode="0&quot;~&quot;"/>
    <numFmt numFmtId="176" formatCode="&quot;[&quot;#,##0&quot;~]&quot;"/>
    <numFmt numFmtId="177" formatCode="&quot;[&quot;0%&quot;]&quot;"/>
  </numFmts>
  <fonts count="82" x14ac:knownFonts="1">
    <font>
      <sz val="11"/>
      <color theme="1"/>
      <name val="Calibri"/>
      <family val="2"/>
      <scheme val="minor"/>
    </font>
    <font>
      <sz val="12"/>
      <color theme="1"/>
      <name val="Arial"/>
      <family val="2"/>
    </font>
    <font>
      <sz val="10"/>
      <name val="Arial"/>
      <family val="2"/>
    </font>
    <font>
      <sz val="10"/>
      <name val="Arial"/>
      <family val="2"/>
    </font>
    <font>
      <sz val="10"/>
      <name val="Arial"/>
      <family val="2"/>
    </font>
    <font>
      <sz val="9"/>
      <name val="Arial"/>
      <family val="2"/>
    </font>
    <font>
      <sz val="12"/>
      <name val="Arial"/>
      <family val="2"/>
    </font>
    <font>
      <b/>
      <sz val="12"/>
      <name val="Arial"/>
      <family val="2"/>
    </font>
    <font>
      <i/>
      <sz val="12"/>
      <name val="Arial"/>
      <family val="2"/>
    </font>
    <font>
      <vertAlign val="superscript"/>
      <sz val="12"/>
      <name val="Arial"/>
      <family val="2"/>
    </font>
    <font>
      <sz val="12"/>
      <color indexed="60"/>
      <name val="Arial"/>
      <family val="2"/>
    </font>
    <font>
      <sz val="12"/>
      <color indexed="8"/>
      <name val="Arial"/>
      <family val="2"/>
    </font>
    <font>
      <sz val="9"/>
      <color indexed="8"/>
      <name val="Arial"/>
      <family val="2"/>
    </font>
    <font>
      <sz val="10"/>
      <name val="Arial"/>
      <family val="2"/>
    </font>
    <font>
      <sz val="10"/>
      <color indexed="8"/>
      <name val="Arial"/>
      <family val="2"/>
    </font>
    <font>
      <b/>
      <sz val="12"/>
      <color indexed="18"/>
      <name val="Arial"/>
      <family val="2"/>
    </font>
    <font>
      <sz val="12"/>
      <color indexed="18"/>
      <name val="Arial"/>
      <family val="2"/>
    </font>
    <font>
      <b/>
      <sz val="10"/>
      <color indexed="18"/>
      <name val="Arial"/>
      <family val="2"/>
    </font>
    <font>
      <sz val="8"/>
      <name val="Arial"/>
      <family val="2"/>
    </font>
    <font>
      <sz val="10"/>
      <name val="Courier"/>
      <family val="3"/>
    </font>
    <font>
      <sz val="10"/>
      <color indexed="10"/>
      <name val="Arial"/>
      <family val="2"/>
    </font>
    <font>
      <sz val="7"/>
      <name val="Arial"/>
      <family val="2"/>
    </font>
    <font>
      <sz val="14"/>
      <name val="Arial"/>
      <family val="2"/>
    </font>
    <font>
      <sz val="14"/>
      <color indexed="18"/>
      <name val="Arial"/>
      <family val="2"/>
    </font>
    <font>
      <sz val="10"/>
      <color indexed="18"/>
      <name val="Arial"/>
      <family val="2"/>
    </font>
    <font>
      <b/>
      <sz val="10"/>
      <name val="Arial"/>
      <family val="2"/>
    </font>
    <font>
      <b/>
      <sz val="14"/>
      <name val="Arial"/>
      <family val="2"/>
    </font>
    <font>
      <sz val="10"/>
      <name val="MS Sans Serif"/>
      <family val="2"/>
    </font>
    <font>
      <sz val="8"/>
      <color indexed="18"/>
      <name val="Arial"/>
      <family val="2"/>
    </font>
    <font>
      <b/>
      <sz val="36"/>
      <color indexed="18"/>
      <name val="Arial Narrow"/>
      <family val="2"/>
    </font>
    <font>
      <u/>
      <sz val="10"/>
      <color indexed="12"/>
      <name val="Courier"/>
      <family val="3"/>
    </font>
    <font>
      <b/>
      <sz val="10"/>
      <color indexed="18"/>
      <name val="Arial Narrow"/>
      <family val="2"/>
    </font>
    <font>
      <b/>
      <sz val="14"/>
      <color indexed="18"/>
      <name val="Arial"/>
      <family val="2"/>
    </font>
    <font>
      <sz val="10"/>
      <color indexed="63"/>
      <name val="Arial"/>
      <family val="2"/>
    </font>
    <font>
      <vertAlign val="superscript"/>
      <sz val="10"/>
      <name val="Arial"/>
      <family val="2"/>
    </font>
    <font>
      <b/>
      <sz val="10"/>
      <color indexed="8"/>
      <name val="Arial"/>
      <family val="2"/>
    </font>
    <font>
      <vertAlign val="superscript"/>
      <sz val="10"/>
      <color indexed="63"/>
      <name val="Arial"/>
      <family val="2"/>
    </font>
    <font>
      <i/>
      <sz val="10"/>
      <name val="Arial"/>
      <family val="2"/>
    </font>
    <font>
      <sz val="10"/>
      <name val="Calibri"/>
      <family val="2"/>
    </font>
    <font>
      <vertAlign val="superscript"/>
      <sz val="10"/>
      <color indexed="8"/>
      <name val="Arial"/>
      <family val="2"/>
    </font>
    <font>
      <b/>
      <i/>
      <sz val="10"/>
      <name val="Arial"/>
      <family val="2"/>
    </font>
    <font>
      <b/>
      <sz val="10"/>
      <color indexed="10"/>
      <name val="Arial"/>
      <family val="2"/>
    </font>
    <font>
      <b/>
      <i/>
      <sz val="10"/>
      <color indexed="10"/>
      <name val="Arial"/>
      <family val="2"/>
    </font>
    <font>
      <i/>
      <sz val="10"/>
      <color indexed="10"/>
      <name val="Arial"/>
      <family val="2"/>
    </font>
    <font>
      <b/>
      <vertAlign val="superscript"/>
      <sz val="10"/>
      <name val="Arial"/>
      <family val="2"/>
    </font>
    <font>
      <sz val="8"/>
      <color indexed="8"/>
      <name val="Calibri"/>
      <family val="2"/>
    </font>
    <font>
      <vertAlign val="superscript"/>
      <sz val="8"/>
      <color indexed="8"/>
      <name val="Calibri"/>
      <family val="2"/>
    </font>
    <font>
      <sz val="10"/>
      <color indexed="18"/>
      <name val="Arial Narrow"/>
      <family val="2"/>
    </font>
    <font>
      <sz val="8"/>
      <name val="Calibri"/>
      <family val="2"/>
    </font>
    <font>
      <b/>
      <sz val="8"/>
      <name val="Arial"/>
      <family val="2"/>
    </font>
    <font>
      <i/>
      <sz val="8"/>
      <name val="Arial"/>
      <family val="2"/>
    </font>
    <font>
      <sz val="11"/>
      <color theme="1"/>
      <name val="Calibri"/>
      <family val="2"/>
      <scheme val="minor"/>
    </font>
    <font>
      <sz val="11"/>
      <color rgb="FF9C0006"/>
      <name val="Calibri"/>
      <family val="2"/>
      <scheme val="minor"/>
    </font>
    <font>
      <sz val="11"/>
      <color rgb="FF006100"/>
      <name val="Calibri"/>
      <family val="2"/>
      <scheme val="minor"/>
    </font>
    <font>
      <u/>
      <sz val="11"/>
      <color theme="10"/>
      <name val="Calibri"/>
      <family val="2"/>
    </font>
    <font>
      <u/>
      <sz val="10"/>
      <color theme="10"/>
      <name val="Courier"/>
      <family val="3"/>
    </font>
    <font>
      <sz val="11"/>
      <color rgb="FF9C6500"/>
      <name val="Calibri"/>
      <family val="2"/>
      <scheme val="minor"/>
    </font>
    <font>
      <b/>
      <sz val="11"/>
      <color theme="1"/>
      <name val="Calibri"/>
      <family val="2"/>
      <scheme val="minor"/>
    </font>
    <font>
      <sz val="12"/>
      <color theme="1"/>
      <name val="Arial"/>
      <family val="2"/>
    </font>
    <font>
      <sz val="12"/>
      <color theme="1"/>
      <name val="Calibri"/>
      <family val="2"/>
      <scheme val="minor"/>
    </font>
    <font>
      <b/>
      <sz val="12"/>
      <color rgb="FF0066FF"/>
      <name val="Arial"/>
      <family val="2"/>
    </font>
    <font>
      <b/>
      <sz val="12"/>
      <color rgb="FF3333FF"/>
      <name val="Arial"/>
      <family val="2"/>
    </font>
    <font>
      <b/>
      <sz val="12"/>
      <color rgb="FF00B050"/>
      <name val="Arial"/>
      <family val="2"/>
    </font>
    <font>
      <b/>
      <sz val="12"/>
      <color rgb="FFFF0000"/>
      <name val="Arial"/>
      <family val="2"/>
    </font>
    <font>
      <b/>
      <sz val="12"/>
      <color theme="1"/>
      <name val="Arial"/>
      <family val="2"/>
    </font>
    <font>
      <sz val="11"/>
      <color theme="1"/>
      <name val="Arial"/>
      <family val="2"/>
    </font>
    <font>
      <b/>
      <sz val="14"/>
      <color rgb="FF292929"/>
      <name val="Arial"/>
      <family val="2"/>
    </font>
    <font>
      <sz val="9"/>
      <color theme="1"/>
      <name val="Arial"/>
      <family val="2"/>
    </font>
    <font>
      <sz val="10"/>
      <color theme="1"/>
      <name val="Arial"/>
      <family val="2"/>
    </font>
    <font>
      <sz val="10"/>
      <color theme="1"/>
      <name val="Calibri"/>
      <family val="2"/>
      <scheme val="minor"/>
    </font>
    <font>
      <b/>
      <sz val="10"/>
      <color theme="1"/>
      <name val="Arial"/>
      <family val="2"/>
    </font>
    <font>
      <b/>
      <sz val="11"/>
      <color theme="1"/>
      <name val="Arial"/>
      <family val="2"/>
    </font>
    <font>
      <u/>
      <sz val="10"/>
      <color theme="10"/>
      <name val="Arial"/>
      <family val="2"/>
    </font>
    <font>
      <b/>
      <u/>
      <sz val="18"/>
      <color rgb="FF292929"/>
      <name val="Arial"/>
      <family val="2"/>
    </font>
    <font>
      <sz val="10"/>
      <color rgb="FF292929"/>
      <name val="Courier"/>
      <family val="3"/>
    </font>
    <font>
      <sz val="10"/>
      <color rgb="FF292929"/>
      <name val="Arial"/>
      <family val="2"/>
    </font>
    <font>
      <b/>
      <sz val="10"/>
      <color rgb="FF292929"/>
      <name val="Arial"/>
      <family val="2"/>
    </font>
    <font>
      <b/>
      <u/>
      <sz val="10"/>
      <color theme="10"/>
      <name val="Arial"/>
      <family val="2"/>
    </font>
    <font>
      <sz val="11"/>
      <name val="Calibri"/>
      <family val="2"/>
      <scheme val="minor"/>
    </font>
    <font>
      <sz val="10"/>
      <color rgb="FF9C0006"/>
      <name val="Arial"/>
      <family val="2"/>
    </font>
    <font>
      <sz val="9"/>
      <color theme="1"/>
      <name val="Calibri"/>
      <family val="2"/>
      <scheme val="minor"/>
    </font>
    <font>
      <sz val="8"/>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rgb="FFFFC7CE"/>
      </patternFill>
    </fill>
    <fill>
      <patternFill patternType="solid">
        <fgColor rgb="FFC6EFCE"/>
      </patternFill>
    </fill>
    <fill>
      <patternFill patternType="solid">
        <fgColor rgb="FFFFEB9C"/>
      </patternFill>
    </fill>
    <fill>
      <patternFill patternType="solid">
        <fgColor theme="0"/>
        <bgColor indexed="64"/>
      </patternFill>
    </fill>
  </fills>
  <borders count="13">
    <border>
      <left/>
      <right/>
      <top/>
      <bottom/>
      <diagonal/>
    </border>
    <border>
      <left style="medium">
        <color indexed="64"/>
      </left>
      <right/>
      <top style="medium">
        <color indexed="64"/>
      </top>
      <bottom style="medium">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right/>
      <top style="thick">
        <color indexed="64"/>
      </top>
      <bottom/>
      <diagonal/>
    </border>
    <border>
      <left/>
      <right/>
      <top/>
      <bottom style="thick">
        <color indexed="64"/>
      </bottom>
      <diagonal/>
    </border>
    <border>
      <left/>
      <right style="thin">
        <color indexed="0"/>
      </right>
      <top/>
      <bottom/>
      <diagonal/>
    </border>
    <border>
      <left/>
      <right/>
      <top/>
      <bottom style="thin">
        <color indexed="0"/>
      </bottom>
      <diagonal/>
    </border>
    <border>
      <left/>
      <right style="thin">
        <color indexed="0"/>
      </right>
      <top/>
      <bottom style="thin">
        <color indexed="0"/>
      </bottom>
      <diagonal/>
    </border>
    <border>
      <left/>
      <right/>
      <top style="thin">
        <color indexed="0"/>
      </top>
      <bottom style="thin">
        <color indexed="64"/>
      </bottom>
      <diagonal/>
    </border>
    <border>
      <left/>
      <right style="thin">
        <color indexed="64"/>
      </right>
      <top/>
      <bottom style="thin">
        <color indexed="64"/>
      </bottom>
      <diagonal/>
    </border>
  </borders>
  <cellStyleXfs count="23">
    <xf numFmtId="0" fontId="0" fillId="0" borderId="0"/>
    <xf numFmtId="0" fontId="52" fillId="3" borderId="0" applyNumberFormat="0" applyBorder="0" applyAlignment="0" applyProtection="0"/>
    <xf numFmtId="43" fontId="51" fillId="0" borderId="0" applyFont="0" applyFill="0" applyBorder="0" applyAlignment="0" applyProtection="0"/>
    <xf numFmtId="43" fontId="2" fillId="0" borderId="0" applyFont="0" applyFill="0" applyBorder="0" applyAlignment="0" applyProtection="0"/>
    <xf numFmtId="40" fontId="27" fillId="0" borderId="0" applyFont="0" applyFill="0" applyBorder="0" applyAlignment="0" applyProtection="0"/>
    <xf numFmtId="0" fontId="53" fillId="4" borderId="0" applyNumberFormat="0" applyBorder="0" applyAlignment="0" applyProtection="0"/>
    <xf numFmtId="0"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56" fillId="5" borderId="0" applyNumberFormat="0" applyBorder="0" applyAlignment="0" applyProtection="0"/>
    <xf numFmtId="0" fontId="2" fillId="0" borderId="0"/>
    <xf numFmtId="172" fontId="19" fillId="0" borderId="0"/>
    <xf numFmtId="0" fontId="4" fillId="0" borderId="0" applyNumberFormat="0" applyFill="0" applyBorder="0" applyAlignment="0" applyProtection="0"/>
    <xf numFmtId="0" fontId="2" fillId="0" borderId="0"/>
    <xf numFmtId="0" fontId="2" fillId="0" borderId="0"/>
    <xf numFmtId="0" fontId="13" fillId="0" borderId="0"/>
    <xf numFmtId="0" fontId="2" fillId="0" borderId="0"/>
    <xf numFmtId="0" fontId="2" fillId="0" borderId="0"/>
    <xf numFmtId="0" fontId="3" fillId="0" borderId="0"/>
    <xf numFmtId="0" fontId="2" fillId="0" borderId="0"/>
    <xf numFmtId="9" fontId="51" fillId="0" borderId="0" applyFont="0" applyFill="0" applyBorder="0" applyAlignment="0" applyProtection="0"/>
    <xf numFmtId="3" fontId="5" fillId="0" borderId="1" applyFill="0" applyProtection="0">
      <alignment horizontal="left" wrapText="1"/>
    </xf>
    <xf numFmtId="3" fontId="5" fillId="0" borderId="1" applyFill="0" applyProtection="0">
      <alignment horizontal="left" wrapText="1"/>
    </xf>
  </cellStyleXfs>
  <cellXfs count="538">
    <xf numFmtId="0" fontId="0" fillId="0" borderId="0" xfId="0"/>
    <xf numFmtId="3" fontId="58" fillId="6" borderId="0" xfId="0" applyNumberFormat="1" applyFont="1" applyFill="1"/>
    <xf numFmtId="0" fontId="58" fillId="6" borderId="0" xfId="0" applyFont="1" applyFill="1"/>
    <xf numFmtId="3" fontId="58" fillId="6" borderId="2" xfId="0" applyNumberFormat="1" applyFont="1" applyFill="1" applyBorder="1"/>
    <xf numFmtId="3" fontId="58" fillId="6" borderId="0" xfId="0" applyNumberFormat="1" applyFont="1" applyFill="1" applyAlignment="1">
      <alignment wrapText="1"/>
    </xf>
    <xf numFmtId="3" fontId="7" fillId="6" borderId="0" xfId="0" applyNumberFormat="1" applyFont="1" applyFill="1"/>
    <xf numFmtId="1" fontId="58" fillId="6" borderId="0" xfId="0" applyNumberFormat="1" applyFont="1" applyFill="1"/>
    <xf numFmtId="9" fontId="7" fillId="6" borderId="0" xfId="20" applyFont="1" applyFill="1" applyBorder="1"/>
    <xf numFmtId="0" fontId="59" fillId="6" borderId="0" xfId="0" applyFont="1" applyFill="1"/>
    <xf numFmtId="0" fontId="58" fillId="6" borderId="2" xfId="0" applyFont="1" applyFill="1" applyBorder="1"/>
    <xf numFmtId="0" fontId="58" fillId="6" borderId="0" xfId="0" applyFont="1" applyFill="1" applyAlignment="1">
      <alignment horizontal="left"/>
    </xf>
    <xf numFmtId="0" fontId="58" fillId="6" borderId="0" xfId="0" applyFont="1" applyFill="1" applyAlignment="1">
      <alignment horizontal="right"/>
    </xf>
    <xf numFmtId="0" fontId="58" fillId="6" borderId="2" xfId="0" applyFont="1" applyFill="1" applyBorder="1" applyAlignment="1">
      <alignment horizontal="right"/>
    </xf>
    <xf numFmtId="0" fontId="58" fillId="6" borderId="2" xfId="0" applyFont="1" applyFill="1" applyBorder="1" applyAlignment="1">
      <alignment horizontal="left"/>
    </xf>
    <xf numFmtId="0" fontId="7" fillId="6" borderId="0" xfId="0" applyFont="1" applyFill="1" applyAlignment="1">
      <alignment horizontal="left"/>
    </xf>
    <xf numFmtId="0" fontId="7" fillId="6" borderId="2" xfId="0" applyFont="1" applyFill="1" applyBorder="1" applyAlignment="1">
      <alignment horizontal="left"/>
    </xf>
    <xf numFmtId="0" fontId="7" fillId="6" borderId="2" xfId="0" applyFont="1" applyFill="1" applyBorder="1" applyAlignment="1">
      <alignment horizontal="right" wrapText="1"/>
    </xf>
    <xf numFmtId="0" fontId="59" fillId="0" borderId="2" xfId="0" applyFont="1" applyBorder="1" applyAlignment="1">
      <alignment wrapText="1"/>
    </xf>
    <xf numFmtId="0" fontId="8" fillId="6" borderId="0" xfId="0" applyFont="1" applyFill="1"/>
    <xf numFmtId="0" fontId="7" fillId="6" borderId="0" xfId="0" applyFont="1" applyFill="1" applyAlignment="1">
      <alignment horizontal="right"/>
    </xf>
    <xf numFmtId="0" fontId="8" fillId="6" borderId="0" xfId="0" applyFont="1" applyFill="1" applyAlignment="1">
      <alignment horizontal="left"/>
    </xf>
    <xf numFmtId="3" fontId="6" fillId="6" borderId="0" xfId="0" applyNumberFormat="1" applyFont="1" applyFill="1"/>
    <xf numFmtId="3" fontId="7" fillId="6" borderId="0" xfId="0" applyNumberFormat="1" applyFont="1" applyFill="1" applyAlignment="1">
      <alignment horizontal="center"/>
    </xf>
    <xf numFmtId="3" fontId="6" fillId="6" borderId="0" xfId="0" applyNumberFormat="1" applyFont="1" applyFill="1" applyAlignment="1">
      <alignment wrapText="1"/>
    </xf>
    <xf numFmtId="3" fontId="10" fillId="6" borderId="0" xfId="0" applyNumberFormat="1" applyFont="1" applyFill="1"/>
    <xf numFmtId="3" fontId="6" fillId="6" borderId="2" xfId="0" applyNumberFormat="1" applyFont="1" applyFill="1" applyBorder="1" applyAlignment="1">
      <alignment wrapText="1"/>
    </xf>
    <xf numFmtId="3" fontId="6" fillId="6" borderId="2" xfId="0" applyNumberFormat="1" applyFont="1" applyFill="1" applyBorder="1"/>
    <xf numFmtId="3" fontId="6" fillId="6" borderId="0" xfId="0" applyNumberFormat="1" applyFont="1" applyFill="1" applyAlignment="1">
      <alignment horizontal="right"/>
    </xf>
    <xf numFmtId="3" fontId="10" fillId="6" borderId="0" xfId="0" applyNumberFormat="1" applyFont="1" applyFill="1" applyAlignment="1">
      <alignment horizontal="right"/>
    </xf>
    <xf numFmtId="3" fontId="7" fillId="6" borderId="0" xfId="0" applyNumberFormat="1" applyFont="1" applyFill="1" applyAlignment="1">
      <alignment vertical="center"/>
    </xf>
    <xf numFmtId="3" fontId="6" fillId="6" borderId="0" xfId="0" applyNumberFormat="1" applyFont="1" applyFill="1" applyAlignment="1">
      <alignment horizontal="right" wrapText="1"/>
    </xf>
    <xf numFmtId="3" fontId="6" fillId="6" borderId="0" xfId="0" applyNumberFormat="1" applyFont="1" applyFill="1" applyAlignment="1">
      <alignment horizontal="left"/>
    </xf>
    <xf numFmtId="3" fontId="59" fillId="6" borderId="0" xfId="0" applyNumberFormat="1" applyFont="1" applyFill="1"/>
    <xf numFmtId="3" fontId="6" fillId="6" borderId="2" xfId="0" applyNumberFormat="1" applyFont="1" applyFill="1" applyBorder="1" applyAlignment="1">
      <alignment horizontal="left"/>
    </xf>
    <xf numFmtId="3" fontId="9" fillId="6" borderId="0" xfId="0" applyNumberFormat="1" applyFont="1" applyFill="1" applyAlignment="1">
      <alignment horizontal="left"/>
    </xf>
    <xf numFmtId="3" fontId="9" fillId="6" borderId="0" xfId="0" applyNumberFormat="1" applyFont="1" applyFill="1"/>
    <xf numFmtId="3" fontId="59" fillId="6" borderId="0" xfId="0" applyNumberFormat="1" applyFont="1" applyFill="1" applyAlignment="1">
      <alignment horizontal="left"/>
    </xf>
    <xf numFmtId="0" fontId="58" fillId="6" borderId="0" xfId="0" applyFont="1" applyFill="1" applyAlignment="1">
      <alignment wrapText="1"/>
    </xf>
    <xf numFmtId="3" fontId="8" fillId="6" borderId="0" xfId="0" applyNumberFormat="1" applyFont="1" applyFill="1"/>
    <xf numFmtId="165" fontId="58" fillId="6" borderId="0" xfId="0" applyNumberFormat="1" applyFont="1" applyFill="1"/>
    <xf numFmtId="3" fontId="58" fillId="6" borderId="2" xfId="0" applyNumberFormat="1" applyFont="1" applyFill="1" applyBorder="1" applyAlignment="1">
      <alignment wrapText="1"/>
    </xf>
    <xf numFmtId="3" fontId="8" fillId="6" borderId="0" xfId="0" applyNumberFormat="1" applyFont="1" applyFill="1" applyAlignment="1">
      <alignment horizontal="right" wrapText="1"/>
    </xf>
    <xf numFmtId="3" fontId="60" fillId="6" borderId="0" xfId="0" applyNumberFormat="1" applyFont="1" applyFill="1"/>
    <xf numFmtId="0" fontId="61" fillId="6" borderId="0" xfId="0" applyFont="1" applyFill="1"/>
    <xf numFmtId="0" fontId="62" fillId="6" borderId="0" xfId="0" applyFont="1" applyFill="1"/>
    <xf numFmtId="0" fontId="12" fillId="6" borderId="0" xfId="19" applyFont="1" applyFill="1" applyAlignment="1">
      <alignment vertical="top" wrapText="1"/>
    </xf>
    <xf numFmtId="0" fontId="2" fillId="6" borderId="0" xfId="19" applyFill="1"/>
    <xf numFmtId="0" fontId="12" fillId="6" borderId="0" xfId="19" applyFont="1" applyFill="1" applyAlignment="1">
      <alignment horizontal="left" vertical="center" wrapText="1"/>
    </xf>
    <xf numFmtId="0" fontId="12" fillId="6" borderId="0" xfId="19" applyFont="1" applyFill="1" applyAlignment="1">
      <alignment horizontal="left" vertical="top" wrapText="1"/>
    </xf>
    <xf numFmtId="165" fontId="12" fillId="6" borderId="0" xfId="19" applyNumberFormat="1" applyFont="1" applyFill="1" applyAlignment="1">
      <alignment horizontal="right" vertical="center"/>
    </xf>
    <xf numFmtId="167" fontId="12" fillId="6" borderId="0" xfId="19" applyNumberFormat="1" applyFont="1" applyFill="1" applyAlignment="1">
      <alignment horizontal="right" vertical="center"/>
    </xf>
    <xf numFmtId="0" fontId="12" fillId="6" borderId="0" xfId="16" applyFont="1" applyFill="1" applyAlignment="1">
      <alignment horizontal="left" vertical="top" wrapText="1"/>
    </xf>
    <xf numFmtId="165" fontId="12" fillId="6" borderId="0" xfId="16" applyNumberFormat="1" applyFont="1" applyFill="1" applyAlignment="1">
      <alignment horizontal="right" vertical="center"/>
    </xf>
    <xf numFmtId="167" fontId="12" fillId="6" borderId="0" xfId="16" applyNumberFormat="1" applyFont="1" applyFill="1" applyAlignment="1">
      <alignment horizontal="right" vertical="center"/>
    </xf>
    <xf numFmtId="166" fontId="12" fillId="6" borderId="0" xfId="16" applyNumberFormat="1" applyFont="1" applyFill="1" applyAlignment="1">
      <alignment horizontal="right" vertical="center"/>
    </xf>
    <xf numFmtId="0" fontId="60" fillId="6" borderId="0" xfId="0" applyFont="1" applyFill="1"/>
    <xf numFmtId="3" fontId="7" fillId="6" borderId="0" xfId="0" applyNumberFormat="1" applyFont="1" applyFill="1" applyAlignment="1">
      <alignment horizontal="left" vertical="center"/>
    </xf>
    <xf numFmtId="3" fontId="6" fillId="6" borderId="0" xfId="0" applyNumberFormat="1" applyFont="1" applyFill="1" applyAlignment="1">
      <alignment vertical="center"/>
    </xf>
    <xf numFmtId="168" fontId="58" fillId="6" borderId="0" xfId="0" applyNumberFormat="1" applyFont="1" applyFill="1"/>
    <xf numFmtId="0" fontId="12" fillId="6" borderId="0" xfId="17" applyFont="1" applyFill="1" applyAlignment="1">
      <alignment horizontal="left" vertical="top" wrapText="1"/>
    </xf>
    <xf numFmtId="165" fontId="12" fillId="6" borderId="0" xfId="17" applyNumberFormat="1" applyFont="1" applyFill="1" applyAlignment="1">
      <alignment horizontal="right" vertical="center"/>
    </xf>
    <xf numFmtId="167" fontId="12" fillId="6" borderId="0" xfId="17" applyNumberFormat="1" applyFont="1" applyFill="1" applyAlignment="1">
      <alignment horizontal="right" vertical="center"/>
    </xf>
    <xf numFmtId="0" fontId="2" fillId="6" borderId="0" xfId="17" applyFill="1"/>
    <xf numFmtId="0" fontId="12" fillId="6" borderId="0" xfId="16" applyFont="1" applyFill="1" applyAlignment="1">
      <alignment horizontal="left" vertical="center" wrapText="1"/>
    </xf>
    <xf numFmtId="0" fontId="12" fillId="6" borderId="0" xfId="17" applyFont="1" applyFill="1" applyAlignment="1">
      <alignment horizontal="left" vertical="center" wrapText="1"/>
    </xf>
    <xf numFmtId="3" fontId="0" fillId="0" borderId="0" xfId="0" applyNumberFormat="1"/>
    <xf numFmtId="0" fontId="63" fillId="6" borderId="0" xfId="0" applyFont="1" applyFill="1"/>
    <xf numFmtId="3" fontId="63" fillId="6" borderId="0" xfId="0" applyNumberFormat="1" applyFont="1" applyFill="1"/>
    <xf numFmtId="0" fontId="59" fillId="6" borderId="0" xfId="0" applyFont="1" applyFill="1" applyAlignment="1">
      <alignment vertical="center"/>
    </xf>
    <xf numFmtId="0" fontId="7" fillId="6" borderId="0" xfId="0" applyFont="1" applyFill="1"/>
    <xf numFmtId="0" fontId="11" fillId="6" borderId="2" xfId="0" applyFont="1" applyFill="1" applyBorder="1"/>
    <xf numFmtId="0" fontId="59" fillId="6" borderId="2" xfId="0" applyFont="1" applyFill="1" applyBorder="1"/>
    <xf numFmtId="0" fontId="11" fillId="6" borderId="0" xfId="0" applyFont="1" applyFill="1"/>
    <xf numFmtId="0" fontId="64" fillId="6" borderId="0" xfId="0" applyFont="1" applyFill="1"/>
    <xf numFmtId="0" fontId="12" fillId="6" borderId="0" xfId="14" applyFont="1" applyFill="1" applyAlignment="1">
      <alignment horizontal="left" vertical="top" wrapText="1"/>
    </xf>
    <xf numFmtId="165" fontId="12" fillId="6" borderId="0" xfId="14" applyNumberFormat="1" applyFont="1" applyFill="1" applyAlignment="1">
      <alignment horizontal="right" vertical="center"/>
    </xf>
    <xf numFmtId="167" fontId="12" fillId="6" borderId="0" xfId="14" applyNumberFormat="1" applyFont="1" applyFill="1" applyAlignment="1">
      <alignment horizontal="right" vertical="center"/>
    </xf>
    <xf numFmtId="0" fontId="12" fillId="6" borderId="0" xfId="14" applyFont="1" applyFill="1" applyAlignment="1">
      <alignment horizontal="left" vertical="center" wrapText="1"/>
    </xf>
    <xf numFmtId="0" fontId="65" fillId="0" borderId="0" xfId="0" applyFont="1"/>
    <xf numFmtId="0" fontId="0" fillId="6" borderId="0" xfId="0" applyFill="1"/>
    <xf numFmtId="0" fontId="66" fillId="6" borderId="0" xfId="0" applyFont="1" applyFill="1"/>
    <xf numFmtId="0" fontId="65" fillId="6" borderId="0" xfId="0" applyFont="1" applyFill="1"/>
    <xf numFmtId="169" fontId="16" fillId="0" borderId="0" xfId="10" applyNumberFormat="1" applyFont="1" applyAlignment="1">
      <alignment horizontal="right"/>
    </xf>
    <xf numFmtId="169" fontId="6" fillId="0" borderId="0" xfId="10" applyNumberFormat="1" applyFont="1" applyAlignment="1">
      <alignment horizontal="right"/>
    </xf>
    <xf numFmtId="2" fontId="6" fillId="0" borderId="0" xfId="10" applyNumberFormat="1" applyFont="1" applyAlignment="1">
      <alignment horizontal="right"/>
    </xf>
    <xf numFmtId="3" fontId="6" fillId="0" borderId="0" xfId="10" applyNumberFormat="1" applyFont="1" applyAlignment="1">
      <alignment horizontal="right"/>
    </xf>
    <xf numFmtId="0" fontId="2" fillId="0" borderId="0" xfId="10"/>
    <xf numFmtId="0" fontId="15" fillId="0" borderId="0" xfId="10" applyFont="1" applyAlignment="1">
      <alignment horizontal="left" vertical="center"/>
    </xf>
    <xf numFmtId="0" fontId="7" fillId="0" borderId="0" xfId="10" applyFont="1" applyAlignment="1">
      <alignment horizontal="left" vertical="center"/>
    </xf>
    <xf numFmtId="2" fontId="7" fillId="0" borderId="0" xfId="10" applyNumberFormat="1" applyFont="1" applyAlignment="1">
      <alignment horizontal="left" vertical="center"/>
    </xf>
    <xf numFmtId="0" fontId="7" fillId="0" borderId="0" xfId="10" applyFont="1" applyAlignment="1">
      <alignment horizontal="right" vertical="center"/>
    </xf>
    <xf numFmtId="3" fontId="18" fillId="0" borderId="2" xfId="10" applyNumberFormat="1" applyFont="1" applyBorder="1"/>
    <xf numFmtId="169" fontId="18" fillId="0" borderId="2" xfId="10" applyNumberFormat="1" applyFont="1" applyBorder="1" applyAlignment="1">
      <alignment horizontal="right"/>
    </xf>
    <xf numFmtId="2" fontId="18" fillId="0" borderId="2" xfId="10" applyNumberFormat="1" applyFont="1" applyBorder="1" applyAlignment="1">
      <alignment horizontal="right"/>
    </xf>
    <xf numFmtId="3" fontId="18" fillId="0" borderId="2" xfId="10" applyNumberFormat="1" applyFont="1" applyBorder="1" applyAlignment="1">
      <alignment horizontal="right"/>
    </xf>
    <xf numFmtId="170" fontId="2" fillId="0" borderId="0" xfId="10" applyNumberFormat="1"/>
    <xf numFmtId="172" fontId="18" fillId="0" borderId="0" xfId="10" applyNumberFormat="1" applyFont="1" applyAlignment="1">
      <alignment horizontal="left"/>
    </xf>
    <xf numFmtId="169" fontId="2" fillId="0" borderId="0" xfId="10" applyNumberFormat="1"/>
    <xf numFmtId="172" fontId="18" fillId="0" borderId="0" xfId="11" applyFont="1" applyAlignment="1">
      <alignment vertical="center"/>
    </xf>
    <xf numFmtId="3" fontId="18" fillId="0" borderId="0" xfId="11" applyNumberFormat="1" applyFont="1" applyAlignment="1">
      <alignment vertical="center"/>
    </xf>
    <xf numFmtId="1" fontId="18" fillId="0" borderId="0" xfId="11" applyNumberFormat="1" applyFont="1" applyAlignment="1">
      <alignment horizontal="right" vertical="center"/>
    </xf>
    <xf numFmtId="172" fontId="18" fillId="0" borderId="0" xfId="11" applyFont="1" applyAlignment="1">
      <alignment horizontal="center" vertical="center"/>
    </xf>
    <xf numFmtId="172" fontId="18" fillId="0" borderId="0" xfId="11" applyFont="1" applyAlignment="1">
      <alignment horizontal="right" vertical="center"/>
    </xf>
    <xf numFmtId="3" fontId="18" fillId="0" borderId="0" xfId="11" applyNumberFormat="1" applyFont="1" applyAlignment="1">
      <alignment horizontal="right" vertical="center"/>
    </xf>
    <xf numFmtId="172" fontId="18" fillId="0" borderId="0" xfId="11" applyFont="1" applyAlignment="1">
      <alignment horizontal="left" vertical="center"/>
    </xf>
    <xf numFmtId="172" fontId="2" fillId="0" borderId="0" xfId="11" applyFont="1" applyAlignment="1">
      <alignment vertical="center"/>
    </xf>
    <xf numFmtId="172" fontId="2" fillId="0" borderId="0" xfId="11" applyFont="1"/>
    <xf numFmtId="1" fontId="2" fillId="0" borderId="0" xfId="11" applyNumberFormat="1" applyFont="1"/>
    <xf numFmtId="172" fontId="18" fillId="0" borderId="0" xfId="11" applyFont="1" applyAlignment="1">
      <alignment horizontal="left"/>
    </xf>
    <xf numFmtId="1" fontId="2" fillId="0" borderId="0" xfId="11" applyNumberFormat="1" applyFont="1" applyAlignment="1">
      <alignment vertical="center"/>
    </xf>
    <xf numFmtId="3" fontId="18" fillId="0" borderId="2" xfId="11" applyNumberFormat="1" applyFont="1" applyBorder="1" applyAlignment="1">
      <alignment horizontal="right" vertical="center"/>
    </xf>
    <xf numFmtId="172" fontId="18" fillId="0" borderId="2" xfId="11" applyFont="1" applyBorder="1" applyAlignment="1">
      <alignment vertical="center"/>
    </xf>
    <xf numFmtId="172" fontId="18" fillId="0" borderId="0" xfId="11" applyFont="1"/>
    <xf numFmtId="1" fontId="18" fillId="0" borderId="2" xfId="11" applyNumberFormat="1" applyFont="1" applyBorder="1" applyAlignment="1">
      <alignment horizontal="right" vertical="center"/>
    </xf>
    <xf numFmtId="172" fontId="18" fillId="0" borderId="2" xfId="11" applyFont="1" applyBorder="1" applyAlignment="1">
      <alignment horizontal="left" vertical="center"/>
    </xf>
    <xf numFmtId="172" fontId="21" fillId="0" borderId="0" xfId="11" applyFont="1" applyAlignment="1">
      <alignment vertical="center"/>
    </xf>
    <xf numFmtId="172" fontId="2" fillId="0" borderId="0" xfId="11" applyFont="1" applyAlignment="1">
      <alignment horizontal="left" vertical="center"/>
    </xf>
    <xf numFmtId="2" fontId="18" fillId="0" borderId="2" xfId="11" applyNumberFormat="1" applyFont="1" applyBorder="1" applyAlignment="1">
      <alignment horizontal="right" vertical="center"/>
    </xf>
    <xf numFmtId="172" fontId="6" fillId="0" borderId="0" xfId="11" applyFont="1" applyAlignment="1">
      <alignment vertical="center"/>
    </xf>
    <xf numFmtId="172" fontId="23" fillId="0" borderId="0" xfId="11" applyFont="1" applyAlignment="1">
      <alignment horizontal="left" vertical="center"/>
    </xf>
    <xf numFmtId="1" fontId="23" fillId="0" borderId="0" xfId="11" applyNumberFormat="1" applyFont="1" applyAlignment="1">
      <alignment horizontal="right" vertical="center"/>
    </xf>
    <xf numFmtId="172" fontId="24" fillId="0" borderId="0" xfId="11" applyFont="1" applyAlignment="1">
      <alignment horizontal="left" vertical="center"/>
    </xf>
    <xf numFmtId="172" fontId="15" fillId="0" borderId="0" xfId="11" applyFont="1" applyAlignment="1">
      <alignment vertical="center"/>
    </xf>
    <xf numFmtId="172" fontId="25" fillId="0" borderId="0" xfId="11" applyFont="1"/>
    <xf numFmtId="172" fontId="7" fillId="0" borderId="0" xfId="11" applyFont="1" applyAlignment="1">
      <alignment horizontal="right" vertical="center"/>
    </xf>
    <xf numFmtId="172" fontId="26" fillId="0" borderId="0" xfId="11" quotePrefix="1" applyFont="1" applyAlignment="1">
      <alignment horizontal="left" vertical="center"/>
    </xf>
    <xf numFmtId="3" fontId="18" fillId="0" borderId="2" xfId="11" applyNumberFormat="1" applyFont="1" applyBorder="1" applyAlignment="1">
      <alignment vertical="center"/>
    </xf>
    <xf numFmtId="172" fontId="2" fillId="0" borderId="3" xfId="11" applyFont="1" applyBorder="1" applyAlignment="1">
      <alignment horizontal="right"/>
    </xf>
    <xf numFmtId="1" fontId="22" fillId="0" borderId="0" xfId="11" applyNumberFormat="1" applyFont="1" applyAlignment="1">
      <alignment horizontal="right" vertical="center"/>
    </xf>
    <xf numFmtId="172" fontId="22" fillId="0" borderId="0" xfId="11" applyFont="1" applyAlignment="1">
      <alignment horizontal="left" vertical="center"/>
    </xf>
    <xf numFmtId="2" fontId="22" fillId="0" borderId="0" xfId="11" applyNumberFormat="1" applyFont="1" applyAlignment="1">
      <alignment horizontal="right" vertical="center"/>
    </xf>
    <xf numFmtId="3" fontId="28" fillId="0" borderId="0" xfId="11" applyNumberFormat="1" applyFont="1" applyAlignment="1">
      <alignment horizontal="right" vertical="center"/>
    </xf>
    <xf numFmtId="172" fontId="29" fillId="0" borderId="0" xfId="11" quotePrefix="1" applyFont="1" applyAlignment="1">
      <alignment horizontal="center" vertical="center"/>
    </xf>
    <xf numFmtId="172" fontId="7" fillId="0" borderId="0" xfId="11" applyFont="1" applyAlignment="1">
      <alignment vertical="center"/>
    </xf>
    <xf numFmtId="1" fontId="26" fillId="0" borderId="0" xfId="11" applyNumberFormat="1" applyFont="1" applyAlignment="1">
      <alignment horizontal="right" vertical="center"/>
    </xf>
    <xf numFmtId="172" fontId="19" fillId="0" borderId="0" xfId="11"/>
    <xf numFmtId="172" fontId="31" fillId="0" borderId="0" xfId="11" applyFont="1" applyAlignment="1">
      <alignment horizontal="center" vertical="center"/>
    </xf>
    <xf numFmtId="172" fontId="32" fillId="0" borderId="0" xfId="11" quotePrefix="1" applyFont="1" applyAlignment="1">
      <alignment horizontal="left" vertical="center"/>
    </xf>
    <xf numFmtId="2" fontId="32" fillId="0" borderId="0" xfId="11" applyNumberFormat="1" applyFont="1" applyAlignment="1">
      <alignment horizontal="left" vertical="center"/>
    </xf>
    <xf numFmtId="2" fontId="15" fillId="0" borderId="0" xfId="11" applyNumberFormat="1" applyFont="1" applyAlignment="1">
      <alignment vertical="center"/>
    </xf>
    <xf numFmtId="172" fontId="15" fillId="0" borderId="0" xfId="11" applyFont="1" applyAlignment="1">
      <alignment horizontal="right" vertical="center"/>
    </xf>
    <xf numFmtId="172" fontId="16" fillId="0" borderId="0" xfId="11" applyFont="1" applyAlignment="1">
      <alignment vertical="center"/>
    </xf>
    <xf numFmtId="2" fontId="23" fillId="0" borderId="0" xfId="11" applyNumberFormat="1" applyFont="1" applyAlignment="1">
      <alignment horizontal="left" vertical="center"/>
    </xf>
    <xf numFmtId="2" fontId="16" fillId="0" borderId="0" xfId="11" applyNumberFormat="1" applyFont="1" applyAlignment="1">
      <alignment vertical="center"/>
    </xf>
    <xf numFmtId="2" fontId="18" fillId="0" borderId="2" xfId="11" applyNumberFormat="1" applyFont="1" applyBorder="1" applyAlignment="1">
      <alignment vertical="center"/>
    </xf>
    <xf numFmtId="3" fontId="2" fillId="0" borderId="0" xfId="11" applyNumberFormat="1" applyFont="1" applyAlignment="1">
      <alignment horizontal="center"/>
    </xf>
    <xf numFmtId="169" fontId="2" fillId="0" borderId="0" xfId="11" applyNumberFormat="1" applyFont="1" applyAlignment="1">
      <alignment horizontal="center"/>
    </xf>
    <xf numFmtId="172" fontId="21" fillId="0" borderId="0" xfId="11" applyFont="1"/>
    <xf numFmtId="172" fontId="2" fillId="0" borderId="2" xfId="11" applyFont="1" applyBorder="1"/>
    <xf numFmtId="2" fontId="18" fillId="0" borderId="0" xfId="11" applyNumberFormat="1" applyFont="1" applyAlignment="1">
      <alignment horizontal="left"/>
    </xf>
    <xf numFmtId="2" fontId="18" fillId="0" borderId="0" xfId="11" applyNumberFormat="1" applyFont="1" applyAlignment="1">
      <alignment vertical="center"/>
    </xf>
    <xf numFmtId="2" fontId="18" fillId="0" borderId="0" xfId="11" applyNumberFormat="1" applyFont="1"/>
    <xf numFmtId="0" fontId="67" fillId="6" borderId="0" xfId="0" applyFont="1" applyFill="1"/>
    <xf numFmtId="0" fontId="68" fillId="6" borderId="0" xfId="0" applyFont="1" applyFill="1"/>
    <xf numFmtId="0" fontId="25" fillId="6" borderId="0" xfId="0" applyFont="1" applyFill="1" applyAlignment="1">
      <alignment horizontal="right"/>
    </xf>
    <xf numFmtId="0" fontId="68" fillId="6" borderId="0" xfId="0" applyFont="1" applyFill="1" applyAlignment="1">
      <alignment horizontal="right"/>
    </xf>
    <xf numFmtId="0" fontId="68" fillId="6" borderId="2" xfId="0" applyFont="1" applyFill="1" applyBorder="1"/>
    <xf numFmtId="0" fontId="69" fillId="6" borderId="0" xfId="0" applyFont="1" applyFill="1"/>
    <xf numFmtId="0" fontId="14" fillId="6" borderId="2" xfId="0" applyFont="1" applyFill="1" applyBorder="1"/>
    <xf numFmtId="0" fontId="35" fillId="6" borderId="2" xfId="0" applyFont="1" applyFill="1" applyBorder="1"/>
    <xf numFmtId="0" fontId="35" fillId="6" borderId="2" xfId="0" applyFont="1" applyFill="1" applyBorder="1" applyAlignment="1">
      <alignment horizontal="right"/>
    </xf>
    <xf numFmtId="2" fontId="35" fillId="6" borderId="4" xfId="0" applyNumberFormat="1" applyFont="1" applyFill="1" applyBorder="1" applyAlignment="1">
      <alignment horizontal="right"/>
    </xf>
    <xf numFmtId="0" fontId="14" fillId="6" borderId="0" xfId="0" applyFont="1" applyFill="1"/>
    <xf numFmtId="0" fontId="14" fillId="6" borderId="0" xfId="0" applyFont="1" applyFill="1" applyAlignment="1">
      <alignment wrapText="1"/>
    </xf>
    <xf numFmtId="0" fontId="35" fillId="6" borderId="4" xfId="0" applyFont="1" applyFill="1" applyBorder="1" applyAlignment="1">
      <alignment vertical="justify"/>
    </xf>
    <xf numFmtId="3" fontId="35" fillId="6" borderId="4" xfId="0" applyNumberFormat="1" applyFont="1" applyFill="1" applyBorder="1"/>
    <xf numFmtId="0" fontId="70" fillId="6" borderId="2" xfId="0" applyFont="1" applyFill="1" applyBorder="1" applyAlignment="1">
      <alignment horizontal="center" vertical="center" wrapText="1"/>
    </xf>
    <xf numFmtId="0" fontId="70" fillId="6" borderId="2" xfId="0" applyFont="1" applyFill="1" applyBorder="1" applyAlignment="1">
      <alignment horizontal="center" vertical="center"/>
    </xf>
    <xf numFmtId="0" fontId="70" fillId="6" borderId="0" xfId="0" applyFont="1" applyFill="1" applyAlignment="1">
      <alignment vertical="top" wrapText="1"/>
    </xf>
    <xf numFmtId="0" fontId="70" fillId="6" borderId="0" xfId="0" applyFont="1" applyFill="1" applyAlignment="1">
      <alignment vertical="top"/>
    </xf>
    <xf numFmtId="0" fontId="68" fillId="6" borderId="0" xfId="0" applyFont="1" applyFill="1" applyAlignment="1">
      <alignment vertical="top" wrapText="1"/>
    </xf>
    <xf numFmtId="0" fontId="68" fillId="6" borderId="0" xfId="0" applyFont="1" applyFill="1" applyAlignment="1">
      <alignment horizontal="left"/>
    </xf>
    <xf numFmtId="0" fontId="68" fillId="6" borderId="2" xfId="0" applyFont="1" applyFill="1" applyBorder="1" applyAlignment="1">
      <alignment horizontal="center"/>
    </xf>
    <xf numFmtId="0" fontId="68" fillId="6" borderId="2" xfId="0" applyFont="1" applyFill="1" applyBorder="1" applyAlignment="1">
      <alignment horizontal="right"/>
    </xf>
    <xf numFmtId="0" fontId="68" fillId="6" borderId="0" xfId="0" applyFont="1" applyFill="1" applyAlignment="1">
      <alignment horizontal="center"/>
    </xf>
    <xf numFmtId="0" fontId="65" fillId="6" borderId="0" xfId="0" applyFont="1" applyFill="1" applyAlignment="1">
      <alignment horizontal="left"/>
    </xf>
    <xf numFmtId="0" fontId="25" fillId="6" borderId="0" xfId="0" applyFont="1" applyFill="1" applyAlignment="1">
      <alignment horizontal="left"/>
    </xf>
    <xf numFmtId="165" fontId="14" fillId="6" borderId="0" xfId="14" applyNumberFormat="1" applyFont="1" applyFill="1" applyAlignment="1">
      <alignment horizontal="right" vertical="center"/>
    </xf>
    <xf numFmtId="0" fontId="68" fillId="6" borderId="2" xfId="0" applyFont="1" applyFill="1" applyBorder="1" applyAlignment="1">
      <alignment horizontal="left"/>
    </xf>
    <xf numFmtId="165" fontId="14" fillId="6" borderId="2" xfId="14" applyNumberFormat="1" applyFont="1" applyFill="1" applyBorder="1" applyAlignment="1">
      <alignment horizontal="right" vertical="center"/>
    </xf>
    <xf numFmtId="1" fontId="25" fillId="6" borderId="0" xfId="0" applyNumberFormat="1" applyFont="1" applyFill="1" applyAlignment="1">
      <alignment horizontal="right"/>
    </xf>
    <xf numFmtId="1" fontId="68" fillId="6" borderId="2" xfId="0" applyNumberFormat="1" applyFont="1" applyFill="1" applyBorder="1"/>
    <xf numFmtId="3" fontId="70" fillId="6" borderId="0" xfId="0" applyNumberFormat="1" applyFont="1" applyFill="1" applyAlignment="1">
      <alignment vertical="top"/>
    </xf>
    <xf numFmtId="3" fontId="70" fillId="6" borderId="0" xfId="0" applyNumberFormat="1" applyFont="1" applyFill="1" applyAlignment="1">
      <alignment horizontal="right" vertical="top" wrapText="1"/>
    </xf>
    <xf numFmtId="3" fontId="68" fillId="6" borderId="0" xfId="0" applyNumberFormat="1" applyFont="1" applyFill="1" applyAlignment="1">
      <alignment wrapText="1"/>
    </xf>
    <xf numFmtId="3" fontId="68" fillId="6" borderId="0" xfId="0" applyNumberFormat="1" applyFont="1" applyFill="1"/>
    <xf numFmtId="1" fontId="68" fillId="6" borderId="0" xfId="0" applyNumberFormat="1" applyFont="1" applyFill="1"/>
    <xf numFmtId="3" fontId="68" fillId="6" borderId="2" xfId="0" applyNumberFormat="1" applyFont="1" applyFill="1" applyBorder="1"/>
    <xf numFmtId="3" fontId="25" fillId="6" borderId="0" xfId="0" applyNumberFormat="1" applyFont="1" applyFill="1"/>
    <xf numFmtId="0" fontId="34" fillId="6" borderId="0" xfId="0" applyFont="1" applyFill="1" applyAlignment="1">
      <alignment horizontal="left"/>
    </xf>
    <xf numFmtId="0" fontId="68" fillId="6" borderId="0" xfId="0" applyFont="1" applyFill="1" applyAlignment="1">
      <alignment horizontal="left" vertical="center"/>
    </xf>
    <xf numFmtId="0" fontId="68" fillId="6" borderId="0" xfId="0" applyFont="1" applyFill="1" applyAlignment="1">
      <alignment horizontal="right" vertical="center"/>
    </xf>
    <xf numFmtId="0" fontId="2" fillId="6" borderId="0" xfId="0" applyFont="1" applyFill="1" applyAlignment="1">
      <alignment horizontal="left"/>
    </xf>
    <xf numFmtId="49" fontId="68" fillId="6" borderId="0" xfId="0" applyNumberFormat="1" applyFont="1" applyFill="1" applyAlignment="1">
      <alignment horizontal="left"/>
    </xf>
    <xf numFmtId="3" fontId="25" fillId="6" borderId="0" xfId="0" applyNumberFormat="1" applyFont="1" applyFill="1" applyAlignment="1">
      <alignment horizontal="right"/>
    </xf>
    <xf numFmtId="3" fontId="25" fillId="6" borderId="2" xfId="0" applyNumberFormat="1" applyFont="1" applyFill="1" applyBorder="1" applyAlignment="1">
      <alignment horizontal="right"/>
    </xf>
    <xf numFmtId="3" fontId="25" fillId="6" borderId="0" xfId="0" applyNumberFormat="1" applyFont="1" applyFill="1" applyAlignment="1">
      <alignment horizontal="left" wrapText="1"/>
    </xf>
    <xf numFmtId="3" fontId="25" fillId="6" borderId="0" xfId="0" applyNumberFormat="1" applyFont="1" applyFill="1" applyAlignment="1">
      <alignment horizontal="right" wrapText="1"/>
    </xf>
    <xf numFmtId="3" fontId="2" fillId="6" borderId="0" xfId="0" applyNumberFormat="1" applyFont="1" applyFill="1" applyAlignment="1">
      <alignment wrapText="1"/>
    </xf>
    <xf numFmtId="3" fontId="2" fillId="6" borderId="0" xfId="0" applyNumberFormat="1" applyFont="1" applyFill="1" applyAlignment="1">
      <alignment horizontal="right"/>
    </xf>
    <xf numFmtId="1" fontId="2" fillId="6" borderId="0" xfId="0" applyNumberFormat="1" applyFont="1" applyFill="1" applyAlignment="1">
      <alignment horizontal="right"/>
    </xf>
    <xf numFmtId="3" fontId="2" fillId="6" borderId="2" xfId="0" applyNumberFormat="1" applyFont="1" applyFill="1" applyBorder="1" applyAlignment="1">
      <alignment wrapText="1"/>
    </xf>
    <xf numFmtId="3" fontId="37" fillId="6" borderId="2" xfId="0" applyNumberFormat="1" applyFont="1" applyFill="1" applyBorder="1" applyAlignment="1">
      <alignment horizontal="right"/>
    </xf>
    <xf numFmtId="1" fontId="2" fillId="6" borderId="2" xfId="0" applyNumberFormat="1" applyFont="1" applyFill="1" applyBorder="1" applyAlignment="1">
      <alignment horizontal="right"/>
    </xf>
    <xf numFmtId="3" fontId="37" fillId="6" borderId="0" xfId="0" applyNumberFormat="1" applyFont="1" applyFill="1" applyAlignment="1">
      <alignment horizontal="right"/>
    </xf>
    <xf numFmtId="3" fontId="25" fillId="6" borderId="0" xfId="0" applyNumberFormat="1" applyFont="1" applyFill="1" applyAlignment="1">
      <alignment wrapText="1"/>
    </xf>
    <xf numFmtId="1" fontId="25" fillId="6" borderId="0" xfId="20" applyNumberFormat="1" applyFont="1" applyFill="1" applyBorder="1" applyAlignment="1">
      <alignment horizontal="right"/>
    </xf>
    <xf numFmtId="3" fontId="25" fillId="6" borderId="2" xfId="0" applyNumberFormat="1" applyFont="1" applyFill="1" applyBorder="1" applyAlignment="1">
      <alignment wrapText="1"/>
    </xf>
    <xf numFmtId="3" fontId="25" fillId="6" borderId="2" xfId="0" applyNumberFormat="1" applyFont="1" applyFill="1" applyBorder="1"/>
    <xf numFmtId="1" fontId="25" fillId="6" borderId="2" xfId="20" applyNumberFormat="1" applyFont="1" applyFill="1" applyBorder="1"/>
    <xf numFmtId="3" fontId="34" fillId="6" borderId="0" xfId="0" applyNumberFormat="1" applyFont="1" applyFill="1"/>
    <xf numFmtId="0" fontId="2" fillId="6" borderId="0" xfId="0" applyFont="1" applyFill="1" applyAlignment="1">
      <alignment wrapText="1"/>
    </xf>
    <xf numFmtId="3" fontId="2" fillId="6" borderId="0" xfId="0" applyNumberFormat="1" applyFont="1" applyFill="1"/>
    <xf numFmtId="3" fontId="25" fillId="6" borderId="0" xfId="0" applyNumberFormat="1" applyFont="1" applyFill="1" applyAlignment="1">
      <alignment horizontal="center"/>
    </xf>
    <xf numFmtId="3" fontId="2" fillId="6" borderId="2" xfId="0" applyNumberFormat="1" applyFont="1" applyFill="1" applyBorder="1"/>
    <xf numFmtId="3" fontId="2" fillId="6" borderId="2" xfId="0" applyNumberFormat="1" applyFont="1" applyFill="1" applyBorder="1" applyAlignment="1">
      <alignment horizontal="right" wrapText="1"/>
    </xf>
    <xf numFmtId="3" fontId="2" fillId="6" borderId="0" xfId="0" applyNumberFormat="1" applyFont="1" applyFill="1" applyAlignment="1">
      <alignment horizontal="right" wrapText="1"/>
    </xf>
    <xf numFmtId="3" fontId="2" fillId="6" borderId="5" xfId="0" applyNumberFormat="1" applyFont="1" applyFill="1" applyBorder="1" applyAlignment="1">
      <alignment horizontal="right" wrapText="1"/>
    </xf>
    <xf numFmtId="3" fontId="2" fillId="6" borderId="5" xfId="0" applyNumberFormat="1" applyFont="1" applyFill="1" applyBorder="1" applyAlignment="1">
      <alignment wrapText="1"/>
    </xf>
    <xf numFmtId="3" fontId="2" fillId="6" borderId="5" xfId="0" applyNumberFormat="1" applyFont="1" applyFill="1" applyBorder="1"/>
    <xf numFmtId="3" fontId="2" fillId="6" borderId="0" xfId="0" applyNumberFormat="1" applyFont="1" applyFill="1" applyAlignment="1">
      <alignment horizontal="left"/>
    </xf>
    <xf numFmtId="3" fontId="25" fillId="6" borderId="0" xfId="0" applyNumberFormat="1" applyFont="1" applyFill="1" applyAlignment="1">
      <alignment horizontal="left"/>
    </xf>
    <xf numFmtId="3" fontId="25" fillId="6" borderId="4" xfId="0" applyNumberFormat="1" applyFont="1" applyFill="1" applyBorder="1" applyAlignment="1">
      <alignment horizontal="right" wrapText="1"/>
    </xf>
    <xf numFmtId="3" fontId="25" fillId="6" borderId="2" xfId="0" applyNumberFormat="1" applyFont="1" applyFill="1" applyBorder="1" applyAlignment="1">
      <alignment horizontal="left"/>
    </xf>
    <xf numFmtId="3" fontId="2" fillId="6" borderId="0" xfId="20" applyNumberFormat="1" applyFont="1" applyFill="1" applyBorder="1"/>
    <xf numFmtId="3" fontId="2" fillId="6" borderId="0" xfId="12" applyNumberFormat="1" applyFont="1" applyFill="1" applyBorder="1"/>
    <xf numFmtId="3" fontId="2" fillId="6" borderId="0" xfId="22" applyFont="1" applyFill="1" applyBorder="1" applyAlignment="1"/>
    <xf numFmtId="3" fontId="69" fillId="6" borderId="0" xfId="0" applyNumberFormat="1" applyFont="1" applyFill="1" applyAlignment="1">
      <alignment horizontal="left"/>
    </xf>
    <xf numFmtId="3" fontId="2" fillId="6" borderId="0" xfId="21" applyFont="1" applyFill="1" applyBorder="1" applyAlignment="1"/>
    <xf numFmtId="3" fontId="2" fillId="6" borderId="0" xfId="21" applyFont="1" applyFill="1" applyBorder="1" applyAlignment="1">
      <alignment horizontal="right"/>
    </xf>
    <xf numFmtId="1" fontId="68" fillId="6" borderId="0" xfId="0" applyNumberFormat="1" applyFont="1" applyFill="1" applyAlignment="1">
      <alignment horizontal="left"/>
    </xf>
    <xf numFmtId="3" fontId="69" fillId="6" borderId="0" xfId="0" applyNumberFormat="1" applyFont="1" applyFill="1"/>
    <xf numFmtId="0" fontId="25" fillId="6" borderId="0" xfId="0" applyFont="1" applyFill="1" applyAlignment="1">
      <alignment vertical="top" wrapText="1"/>
    </xf>
    <xf numFmtId="0" fontId="25" fillId="6" borderId="2" xfId="0" applyFont="1" applyFill="1" applyBorder="1" applyAlignment="1">
      <alignment horizontal="right" vertical="top" wrapText="1"/>
    </xf>
    <xf numFmtId="0" fontId="68" fillId="6" borderId="2" xfId="0" applyFont="1" applyFill="1" applyBorder="1" applyAlignment="1">
      <alignment vertical="top" wrapText="1"/>
    </xf>
    <xf numFmtId="3" fontId="2" fillId="6" borderId="4" xfId="0" applyNumberFormat="1" applyFont="1" applyFill="1" applyBorder="1" applyAlignment="1">
      <alignment horizontal="right" wrapText="1"/>
    </xf>
    <xf numFmtId="0" fontId="14" fillId="6" borderId="0" xfId="18" applyFont="1" applyFill="1" applyAlignment="1">
      <alignment horizontal="left" vertical="top" wrapText="1"/>
    </xf>
    <xf numFmtId="0" fontId="2" fillId="6" borderId="2" xfId="0" applyFont="1" applyFill="1" applyBorder="1"/>
    <xf numFmtId="0" fontId="2" fillId="6" borderId="2" xfId="0" applyFont="1" applyFill="1" applyBorder="1" applyAlignment="1">
      <alignment horizontal="right"/>
    </xf>
    <xf numFmtId="3" fontId="25" fillId="6" borderId="2" xfId="0" applyNumberFormat="1" applyFont="1" applyFill="1" applyBorder="1" applyAlignment="1">
      <alignment horizontal="right" vertical="top" wrapText="1"/>
    </xf>
    <xf numFmtId="3" fontId="68" fillId="6" borderId="0" xfId="0" applyNumberFormat="1" applyFont="1" applyFill="1" applyAlignment="1">
      <alignment horizontal="left"/>
    </xf>
    <xf numFmtId="3" fontId="25" fillId="6" borderId="0" xfId="0" applyNumberFormat="1" applyFont="1" applyFill="1" applyAlignment="1">
      <alignment vertical="top" wrapText="1"/>
    </xf>
    <xf numFmtId="0" fontId="25" fillId="6" borderId="0" xfId="0" applyFont="1" applyFill="1" applyAlignment="1">
      <alignment horizontal="right" vertical="top" wrapText="1"/>
    </xf>
    <xf numFmtId="3" fontId="25" fillId="6" borderId="2" xfId="0" applyNumberFormat="1" applyFont="1" applyFill="1" applyBorder="1" applyAlignment="1">
      <alignment vertical="top" wrapText="1"/>
    </xf>
    <xf numFmtId="0" fontId="25" fillId="6" borderId="0" xfId="0" applyFont="1" applyFill="1" applyAlignment="1">
      <alignment wrapText="1"/>
    </xf>
    <xf numFmtId="0" fontId="14" fillId="6" borderId="2" xfId="19" applyFont="1" applyFill="1" applyBorder="1" applyAlignment="1">
      <alignment horizontal="left" vertical="top" wrapText="1"/>
    </xf>
    <xf numFmtId="3" fontId="68" fillId="6" borderId="0" xfId="0" applyNumberFormat="1" applyFont="1" applyFill="1" applyAlignment="1">
      <alignment horizontal="center"/>
    </xf>
    <xf numFmtId="3" fontId="25" fillId="6" borderId="4" xfId="0" applyNumberFormat="1" applyFont="1" applyFill="1" applyBorder="1" applyAlignment="1">
      <alignment horizontal="right" vertical="top" wrapText="1"/>
    </xf>
    <xf numFmtId="3" fontId="70" fillId="6" borderId="0" xfId="0" applyNumberFormat="1" applyFont="1" applyFill="1"/>
    <xf numFmtId="3" fontId="35" fillId="6" borderId="0" xfId="16" applyNumberFormat="1" applyFont="1" applyFill="1" applyAlignment="1">
      <alignment horizontal="right" vertical="center"/>
    </xf>
    <xf numFmtId="3" fontId="35" fillId="6" borderId="0" xfId="13" applyNumberFormat="1" applyFont="1" applyFill="1" applyAlignment="1">
      <alignment horizontal="right" vertical="center"/>
    </xf>
    <xf numFmtId="165" fontId="14" fillId="6" borderId="0" xfId="17" applyNumberFormat="1" applyFont="1" applyFill="1" applyAlignment="1">
      <alignment horizontal="right" vertical="center"/>
    </xf>
    <xf numFmtId="3" fontId="40" fillId="6" borderId="2" xfId="0" applyNumberFormat="1" applyFont="1" applyFill="1" applyBorder="1"/>
    <xf numFmtId="3" fontId="2" fillId="0" borderId="0" xfId="10" applyNumberFormat="1"/>
    <xf numFmtId="169" fontId="2" fillId="0" borderId="0" xfId="10" applyNumberFormat="1" applyAlignment="1">
      <alignment horizontal="right"/>
    </xf>
    <xf numFmtId="2" fontId="2" fillId="0" borderId="0" xfId="10" applyNumberFormat="1" applyAlignment="1">
      <alignment horizontal="right"/>
    </xf>
    <xf numFmtId="3" fontId="2" fillId="0" borderId="0" xfId="10" applyNumberFormat="1" applyAlignment="1">
      <alignment horizontal="right"/>
    </xf>
    <xf numFmtId="0" fontId="2" fillId="0" borderId="5" xfId="10" applyBorder="1"/>
    <xf numFmtId="169" fontId="25" fillId="0" borderId="0" xfId="10" applyNumberFormat="1" applyFont="1" applyAlignment="1">
      <alignment horizontal="right"/>
    </xf>
    <xf numFmtId="2" fontId="25" fillId="0" borderId="0" xfId="10" applyNumberFormat="1" applyFont="1" applyAlignment="1">
      <alignment horizontal="right"/>
    </xf>
    <xf numFmtId="3" fontId="25" fillId="0" borderId="0" xfId="10" applyNumberFormat="1" applyFont="1" applyAlignment="1">
      <alignment horizontal="right"/>
    </xf>
    <xf numFmtId="3" fontId="25" fillId="0" borderId="0" xfId="10" applyNumberFormat="1" applyFont="1"/>
    <xf numFmtId="169" fontId="25" fillId="0" borderId="0" xfId="10" quotePrefix="1" applyNumberFormat="1" applyFont="1" applyAlignment="1">
      <alignment horizontal="center"/>
    </xf>
    <xf numFmtId="0" fontId="25" fillId="0" borderId="0" xfId="10" applyFont="1" applyAlignment="1">
      <alignment horizontal="right"/>
    </xf>
    <xf numFmtId="0" fontId="41" fillId="0" borderId="0" xfId="10" applyFont="1"/>
    <xf numFmtId="169" fontId="41" fillId="0" borderId="0" xfId="10" quotePrefix="1" applyNumberFormat="1" applyFont="1" applyAlignment="1">
      <alignment horizontal="center"/>
    </xf>
    <xf numFmtId="169" fontId="42" fillId="0" borderId="0" xfId="10" applyNumberFormat="1" applyFont="1" applyAlignment="1">
      <alignment horizontal="centerContinuous"/>
    </xf>
    <xf numFmtId="3" fontId="25" fillId="0" borderId="2" xfId="10" applyNumberFormat="1" applyFont="1" applyBorder="1"/>
    <xf numFmtId="169" fontId="43" fillId="0" borderId="2" xfId="10" applyNumberFormat="1" applyFont="1" applyBorder="1" applyAlignment="1">
      <alignment horizontal="centerContinuous"/>
    </xf>
    <xf numFmtId="0" fontId="2" fillId="0" borderId="2" xfId="10" applyBorder="1"/>
    <xf numFmtId="2" fontId="35" fillId="0" borderId="2" xfId="10" applyNumberFormat="1" applyFont="1" applyBorder="1" applyAlignment="1">
      <alignment horizontal="center"/>
    </xf>
    <xf numFmtId="169" fontId="42" fillId="0" borderId="2" xfId="10" applyNumberFormat="1" applyFont="1" applyBorder="1" applyAlignment="1">
      <alignment horizontal="centerContinuous"/>
    </xf>
    <xf numFmtId="2" fontId="41" fillId="0" borderId="2" xfId="10" applyNumberFormat="1" applyFont="1" applyBorder="1"/>
    <xf numFmtId="2" fontId="25" fillId="0" borderId="2" xfId="10" applyNumberFormat="1" applyFont="1" applyBorder="1" applyAlignment="1">
      <alignment horizontal="center"/>
    </xf>
    <xf numFmtId="2" fontId="25" fillId="0" borderId="2" xfId="10" applyNumberFormat="1" applyFont="1" applyBorder="1" applyAlignment="1">
      <alignment horizontal="right"/>
    </xf>
    <xf numFmtId="3" fontId="25" fillId="0" borderId="2" xfId="10" applyNumberFormat="1" applyFont="1" applyBorder="1" applyAlignment="1">
      <alignment horizontal="right"/>
    </xf>
    <xf numFmtId="0" fontId="25" fillId="0" borderId="0" xfId="10" applyFont="1"/>
    <xf numFmtId="2" fontId="41" fillId="0" borderId="0" xfId="10" applyNumberFormat="1" applyFont="1"/>
    <xf numFmtId="169" fontId="40" fillId="0" borderId="0" xfId="10" applyNumberFormat="1" applyFont="1" applyAlignment="1">
      <alignment horizontal="centerContinuous"/>
    </xf>
    <xf numFmtId="2" fontId="25" fillId="0" borderId="0" xfId="10" applyNumberFormat="1" applyFont="1"/>
    <xf numFmtId="3" fontId="25" fillId="0" borderId="0" xfId="10" quotePrefix="1" applyNumberFormat="1" applyFont="1" applyAlignment="1">
      <alignment horizontal="center"/>
    </xf>
    <xf numFmtId="169" fontId="2" fillId="0" borderId="0" xfId="0" applyNumberFormat="1" applyFont="1" applyAlignment="1">
      <alignment horizontal="right"/>
    </xf>
    <xf numFmtId="2" fontId="25" fillId="0" borderId="0" xfId="10" quotePrefix="1" applyNumberFormat="1" applyFont="1" applyAlignment="1">
      <alignment horizontal="right"/>
    </xf>
    <xf numFmtId="0" fontId="25" fillId="0" borderId="0" xfId="0" applyFont="1" applyAlignment="1">
      <alignment horizontal="right" vertical="top"/>
    </xf>
    <xf numFmtId="169" fontId="25" fillId="0" borderId="0" xfId="10" quotePrefix="1" applyNumberFormat="1" applyFont="1" applyAlignment="1">
      <alignment horizontal="right"/>
    </xf>
    <xf numFmtId="1" fontId="25" fillId="0" borderId="0" xfId="0" applyNumberFormat="1" applyFont="1" applyAlignment="1">
      <alignment horizontal="right"/>
    </xf>
    <xf numFmtId="169" fontId="25" fillId="0" borderId="0" xfId="0" applyNumberFormat="1" applyFont="1" applyAlignment="1">
      <alignment horizontal="right"/>
    </xf>
    <xf numFmtId="169" fontId="2" fillId="0" borderId="0" xfId="10" quotePrefix="1" applyNumberFormat="1" applyAlignment="1">
      <alignment horizontal="right"/>
    </xf>
    <xf numFmtId="1" fontId="2" fillId="0" borderId="2" xfId="10" applyNumberFormat="1" applyBorder="1" applyAlignment="1">
      <alignment horizontal="right"/>
    </xf>
    <xf numFmtId="2" fontId="2" fillId="0" borderId="2" xfId="10" applyNumberFormat="1" applyBorder="1" applyAlignment="1">
      <alignment horizontal="right"/>
    </xf>
    <xf numFmtId="3" fontId="2" fillId="0" borderId="2" xfId="10" applyNumberFormat="1" applyBorder="1" applyAlignment="1">
      <alignment horizontal="right"/>
    </xf>
    <xf numFmtId="1" fontId="2" fillId="0" borderId="2" xfId="0" applyNumberFormat="1" applyFont="1" applyBorder="1" applyAlignment="1">
      <alignment horizontal="right"/>
    </xf>
    <xf numFmtId="1" fontId="2" fillId="0" borderId="0" xfId="10" applyNumberFormat="1" applyAlignment="1">
      <alignment horizontal="right"/>
    </xf>
    <xf numFmtId="2" fontId="40" fillId="0" borderId="0" xfId="10" applyNumberFormat="1" applyFont="1"/>
    <xf numFmtId="170" fontId="25" fillId="2" borderId="0" xfId="10" applyNumberFormat="1" applyFont="1" applyFill="1"/>
    <xf numFmtId="2" fontId="40" fillId="2" borderId="0" xfId="10" applyNumberFormat="1" applyFont="1" applyFill="1"/>
    <xf numFmtId="169" fontId="25" fillId="2" borderId="0" xfId="10" applyNumberFormat="1" applyFont="1" applyFill="1"/>
    <xf numFmtId="2" fontId="25" fillId="2" borderId="0" xfId="10" applyNumberFormat="1" applyFont="1" applyFill="1"/>
    <xf numFmtId="3" fontId="25" fillId="2" borderId="0" xfId="10" applyNumberFormat="1" applyFont="1" applyFill="1" applyAlignment="1">
      <alignment horizontal="right"/>
    </xf>
    <xf numFmtId="173" fontId="25" fillId="2" borderId="0" xfId="0" applyNumberFormat="1" applyFont="1" applyFill="1"/>
    <xf numFmtId="169" fontId="37" fillId="0" borderId="0" xfId="10" applyNumberFormat="1" applyFont="1" applyAlignment="1">
      <alignment horizontal="right"/>
    </xf>
    <xf numFmtId="170" fontId="2" fillId="2" borderId="0" xfId="10" applyNumberFormat="1" applyFill="1"/>
    <xf numFmtId="169" fontId="37" fillId="2" borderId="0" xfId="10" applyNumberFormat="1" applyFont="1" applyFill="1" applyAlignment="1">
      <alignment horizontal="right"/>
    </xf>
    <xf numFmtId="169" fontId="2" fillId="2" borderId="0" xfId="10" applyNumberFormat="1" applyFill="1" applyAlignment="1">
      <alignment horizontal="right"/>
    </xf>
    <xf numFmtId="2" fontId="2" fillId="2" borderId="0" xfId="10" applyNumberFormat="1" applyFill="1" applyAlignment="1">
      <alignment horizontal="right"/>
    </xf>
    <xf numFmtId="3" fontId="2" fillId="2" borderId="0" xfId="10" applyNumberFormat="1" applyFill="1" applyAlignment="1">
      <alignment horizontal="right"/>
    </xf>
    <xf numFmtId="3" fontId="2" fillId="0" borderId="0" xfId="10" quotePrefix="1" applyNumberFormat="1" applyAlignment="1">
      <alignment horizontal="left"/>
    </xf>
    <xf numFmtId="169" fontId="2" fillId="2" borderId="0" xfId="10" applyNumberFormat="1" applyFill="1"/>
    <xf numFmtId="3" fontId="2" fillId="2" borderId="0" xfId="10" applyNumberFormat="1" applyFill="1"/>
    <xf numFmtId="171" fontId="2" fillId="2" borderId="0" xfId="10" applyNumberFormat="1" applyFill="1"/>
    <xf numFmtId="173" fontId="2" fillId="2" borderId="0" xfId="0" applyNumberFormat="1" applyFont="1" applyFill="1"/>
    <xf numFmtId="3" fontId="2" fillId="0" borderId="2" xfId="10" applyNumberFormat="1" applyBorder="1"/>
    <xf numFmtId="169" fontId="2" fillId="0" borderId="2" xfId="10" applyNumberFormat="1" applyBorder="1" applyAlignment="1">
      <alignment horizontal="right"/>
    </xf>
    <xf numFmtId="1" fontId="37" fillId="0" borderId="2" xfId="10" applyNumberFormat="1" applyFont="1" applyBorder="1"/>
    <xf numFmtId="2" fontId="2" fillId="0" borderId="0" xfId="11" applyNumberFormat="1" applyFont="1" applyAlignment="1">
      <alignment horizontal="right" vertical="center"/>
    </xf>
    <xf numFmtId="3" fontId="2" fillId="0" borderId="0" xfId="11" applyNumberFormat="1" applyFont="1" applyAlignment="1">
      <alignment vertical="center"/>
    </xf>
    <xf numFmtId="3" fontId="25" fillId="0" borderId="0" xfId="11" applyNumberFormat="1" applyFont="1" applyAlignment="1">
      <alignment horizontal="right" vertical="center"/>
    </xf>
    <xf numFmtId="3" fontId="2" fillId="0" borderId="0" xfId="11" applyNumberFormat="1" applyFont="1"/>
    <xf numFmtId="172" fontId="2" fillId="0" borderId="0" xfId="11" applyFont="1" applyAlignment="1">
      <alignment horizontal="left"/>
    </xf>
    <xf numFmtId="3" fontId="2" fillId="0" borderId="5" xfId="11" applyNumberFormat="1" applyFont="1" applyBorder="1" applyAlignment="1">
      <alignment horizontal="right"/>
    </xf>
    <xf numFmtId="3" fontId="25" fillId="0" borderId="0" xfId="11" applyNumberFormat="1" applyFont="1" applyAlignment="1">
      <alignment horizontal="right"/>
    </xf>
    <xf numFmtId="169" fontId="25" fillId="0" borderId="0" xfId="11" applyNumberFormat="1" applyFont="1" applyAlignment="1">
      <alignment horizontal="right"/>
    </xf>
    <xf numFmtId="3" fontId="25" fillId="0" borderId="2" xfId="11" applyNumberFormat="1" applyFont="1" applyBorder="1" applyAlignment="1">
      <alignment horizontal="right" vertical="center"/>
    </xf>
    <xf numFmtId="169" fontId="25" fillId="0" borderId="0" xfId="11" applyNumberFormat="1" applyFont="1" applyAlignment="1">
      <alignment horizontal="left"/>
    </xf>
    <xf numFmtId="172" fontId="25" fillId="0" borderId="0" xfId="11" quotePrefix="1" applyFont="1" applyAlignment="1">
      <alignment horizontal="right"/>
    </xf>
    <xf numFmtId="169" fontId="2" fillId="0" borderId="2" xfId="11" applyNumberFormat="1" applyFont="1" applyBorder="1" applyAlignment="1">
      <alignment horizontal="right"/>
    </xf>
    <xf numFmtId="3" fontId="2" fillId="0" borderId="2" xfId="11" applyNumberFormat="1" applyFont="1" applyBorder="1" applyAlignment="1">
      <alignment horizontal="right"/>
    </xf>
    <xf numFmtId="169" fontId="2" fillId="0" borderId="0" xfId="11" applyNumberFormat="1" applyFont="1" applyAlignment="1">
      <alignment horizontal="right"/>
    </xf>
    <xf numFmtId="3" fontId="2" fillId="0" borderId="0" xfId="11" applyNumberFormat="1" applyFont="1" applyAlignment="1">
      <alignment horizontal="right"/>
    </xf>
    <xf numFmtId="172" fontId="25" fillId="0" borderId="0" xfId="11" applyFont="1" applyAlignment="1">
      <alignment horizontal="left"/>
    </xf>
    <xf numFmtId="1" fontId="25" fillId="0" borderId="0" xfId="11" applyNumberFormat="1" applyFont="1"/>
    <xf numFmtId="3" fontId="25" fillId="0" borderId="0" xfId="11" applyNumberFormat="1" applyFont="1"/>
    <xf numFmtId="176" fontId="68" fillId="6" borderId="0" xfId="0" applyNumberFormat="1" applyFont="1" applyFill="1"/>
    <xf numFmtId="0" fontId="69" fillId="6" borderId="0" xfId="0" applyFont="1" applyFill="1" applyAlignment="1">
      <alignment horizontal="left"/>
    </xf>
    <xf numFmtId="0" fontId="0" fillId="6" borderId="0" xfId="0" applyFill="1" applyAlignment="1">
      <alignment horizontal="left"/>
    </xf>
    <xf numFmtId="0" fontId="71" fillId="6" borderId="0" xfId="0" applyFont="1" applyFill="1"/>
    <xf numFmtId="0" fontId="0" fillId="6" borderId="6" xfId="0" applyFill="1" applyBorder="1"/>
    <xf numFmtId="0" fontId="65" fillId="6" borderId="6" xfId="0" applyFont="1" applyFill="1" applyBorder="1"/>
    <xf numFmtId="0" fontId="70" fillId="6" borderId="2" xfId="0" applyFont="1" applyFill="1" applyBorder="1" applyAlignment="1">
      <alignment horizontal="left"/>
    </xf>
    <xf numFmtId="0" fontId="69" fillId="6" borderId="2" xfId="0" applyFont="1" applyFill="1" applyBorder="1"/>
    <xf numFmtId="0" fontId="0" fillId="0" borderId="2" xfId="0" applyBorder="1"/>
    <xf numFmtId="0" fontId="72" fillId="6" borderId="0" xfId="6" applyFont="1" applyFill="1" applyAlignment="1" applyProtection="1">
      <alignment horizontal="right"/>
    </xf>
    <xf numFmtId="0" fontId="0" fillId="6" borderId="7" xfId="0" applyFill="1" applyBorder="1"/>
    <xf numFmtId="172" fontId="73" fillId="6" borderId="0" xfId="11" applyFont="1" applyFill="1"/>
    <xf numFmtId="172" fontId="74" fillId="6" borderId="0" xfId="11" applyFont="1" applyFill="1"/>
    <xf numFmtId="172" fontId="75" fillId="6" borderId="0" xfId="11" applyFont="1" applyFill="1"/>
    <xf numFmtId="172" fontId="2" fillId="6" borderId="0" xfId="11" applyFont="1" applyFill="1"/>
    <xf numFmtId="172" fontId="19" fillId="6" borderId="0" xfId="11" applyFill="1"/>
    <xf numFmtId="172" fontId="66" fillId="6" borderId="0" xfId="11" applyFont="1" applyFill="1"/>
    <xf numFmtId="172" fontId="76" fillId="6" borderId="0" xfId="11" applyFont="1" applyFill="1"/>
    <xf numFmtId="172" fontId="75" fillId="6" borderId="0" xfId="11" applyFont="1" applyFill="1" applyAlignment="1">
      <alignment horizontal="left"/>
    </xf>
    <xf numFmtId="172" fontId="75" fillId="6" borderId="0" xfId="11" applyFont="1" applyFill="1" applyAlignment="1">
      <alignment horizontal="left" indent="2"/>
    </xf>
    <xf numFmtId="0" fontId="77" fillId="6" borderId="0" xfId="6" applyFont="1" applyFill="1" applyAlignment="1" applyProtection="1"/>
    <xf numFmtId="9" fontId="68" fillId="6" borderId="0" xfId="20" applyFont="1" applyFill="1" applyAlignment="1">
      <alignment horizontal="right"/>
    </xf>
    <xf numFmtId="9" fontId="14" fillId="6" borderId="0" xfId="20" applyFont="1" applyFill="1" applyBorder="1" applyAlignment="1">
      <alignment horizontal="right" vertical="center"/>
    </xf>
    <xf numFmtId="9" fontId="68" fillId="6" borderId="0" xfId="20" applyFont="1" applyFill="1"/>
    <xf numFmtId="3" fontId="68" fillId="0" borderId="0" xfId="0" applyNumberFormat="1" applyFont="1"/>
    <xf numFmtId="0" fontId="2" fillId="6" borderId="0" xfId="16" applyFill="1"/>
    <xf numFmtId="9" fontId="58" fillId="6" borderId="0" xfId="0" applyNumberFormat="1" applyFont="1" applyFill="1"/>
    <xf numFmtId="169" fontId="25" fillId="0" borderId="0" xfId="11" applyNumberFormat="1" applyFont="1" applyAlignment="1">
      <alignment horizontal="center" vertical="center"/>
    </xf>
    <xf numFmtId="0" fontId="7" fillId="6" borderId="0" xfId="0" applyFont="1" applyFill="1" applyAlignment="1">
      <alignment horizontal="center"/>
    </xf>
    <xf numFmtId="0" fontId="25" fillId="6" borderId="0" xfId="0" applyFont="1" applyFill="1" applyAlignment="1">
      <alignment horizontal="center"/>
    </xf>
    <xf numFmtId="169" fontId="25" fillId="0" borderId="0" xfId="11" applyNumberFormat="1" applyFont="1" applyAlignment="1">
      <alignment horizontal="center"/>
    </xf>
    <xf numFmtId="172" fontId="25" fillId="0" borderId="0" xfId="11" applyFont="1" applyAlignment="1">
      <alignment horizontal="center"/>
    </xf>
    <xf numFmtId="0" fontId="2" fillId="0" borderId="0" xfId="0" applyFont="1"/>
    <xf numFmtId="0" fontId="2" fillId="0" borderId="0" xfId="0" applyFont="1" applyAlignment="1">
      <alignment vertical="center"/>
    </xf>
    <xf numFmtId="0" fontId="25" fillId="0" borderId="0" xfId="0" applyFont="1" applyAlignment="1">
      <alignment vertical="center"/>
    </xf>
    <xf numFmtId="0" fontId="2" fillId="0" borderId="0" xfId="0" applyFont="1" applyAlignment="1">
      <alignment horizontal="left" vertical="center"/>
    </xf>
    <xf numFmtId="169" fontId="25" fillId="0" borderId="0" xfId="11" applyNumberFormat="1" applyFont="1"/>
    <xf numFmtId="169" fontId="25" fillId="0" borderId="0" xfId="11" applyNumberFormat="1" applyFont="1" applyAlignment="1">
      <alignment vertical="center"/>
    </xf>
    <xf numFmtId="0" fontId="20" fillId="0" borderId="0" xfId="0" applyFont="1"/>
    <xf numFmtId="0" fontId="2" fillId="0" borderId="0" xfId="0" applyFont="1" applyAlignment="1">
      <alignment horizontal="center" vertical="center"/>
    </xf>
    <xf numFmtId="0" fontId="2" fillId="0" borderId="0" xfId="0" applyFont="1" applyAlignment="1">
      <alignment horizontal="right" vertical="center"/>
    </xf>
    <xf numFmtId="1" fontId="2" fillId="0" borderId="0" xfId="0" applyNumberFormat="1" applyFont="1" applyAlignment="1">
      <alignment vertical="center"/>
    </xf>
    <xf numFmtId="3" fontId="2" fillId="0" borderId="0" xfId="0" applyNumberFormat="1" applyFont="1" applyAlignment="1">
      <alignment vertical="center"/>
    </xf>
    <xf numFmtId="1" fontId="2" fillId="0" borderId="0" xfId="0" applyNumberFormat="1" applyFont="1" applyAlignment="1">
      <alignment horizontal="right" vertical="center"/>
    </xf>
    <xf numFmtId="1" fontId="2" fillId="0" borderId="0" xfId="0" applyNumberFormat="1" applyFont="1"/>
    <xf numFmtId="0" fontId="20" fillId="0" borderId="0" xfId="0" applyFont="1" applyAlignment="1">
      <alignment vertical="center"/>
    </xf>
    <xf numFmtId="0" fontId="25" fillId="0" borderId="0" xfId="0" applyFont="1" applyAlignment="1">
      <alignment horizontal="center" vertical="center"/>
    </xf>
    <xf numFmtId="0" fontId="24" fillId="0" borderId="0" xfId="0" applyFont="1" applyAlignment="1">
      <alignment horizontal="left" vertical="center"/>
    </xf>
    <xf numFmtId="1" fontId="2" fillId="0" borderId="0" xfId="0" applyNumberFormat="1" applyFont="1" applyAlignment="1">
      <alignment horizontal="right"/>
    </xf>
    <xf numFmtId="0" fontId="2" fillId="0" borderId="0" xfId="0" applyFont="1" applyAlignment="1">
      <alignment horizontal="right"/>
    </xf>
    <xf numFmtId="0" fontId="2" fillId="0" borderId="8" xfId="0" applyFont="1" applyBorder="1" applyAlignment="1">
      <alignment horizontal="right" vertical="center"/>
    </xf>
    <xf numFmtId="1" fontId="25" fillId="0" borderId="0" xfId="0" applyNumberFormat="1" applyFont="1" applyAlignment="1">
      <alignment horizontal="right" vertical="center"/>
    </xf>
    <xf numFmtId="3" fontId="25" fillId="0" borderId="0" xfId="0" applyNumberFormat="1" applyFont="1" applyAlignment="1">
      <alignment horizontal="right" vertical="center"/>
    </xf>
    <xf numFmtId="0" fontId="25" fillId="0" borderId="0" xfId="0" applyFont="1" applyAlignment="1">
      <alignment horizontal="right" vertical="center"/>
    </xf>
    <xf numFmtId="0" fontId="2" fillId="0" borderId="9" xfId="0" applyFont="1" applyBorder="1" applyAlignment="1">
      <alignment vertical="center"/>
    </xf>
    <xf numFmtId="1" fontId="2" fillId="0" borderId="9" xfId="0" applyNumberFormat="1" applyFont="1" applyBorder="1" applyAlignment="1">
      <alignment vertical="center"/>
    </xf>
    <xf numFmtId="3" fontId="2" fillId="0" borderId="9" xfId="0" applyNumberFormat="1" applyFont="1" applyBorder="1" applyAlignment="1">
      <alignment vertical="center"/>
    </xf>
    <xf numFmtId="0" fontId="2" fillId="0" borderId="10" xfId="0" applyFont="1" applyBorder="1" applyAlignment="1">
      <alignment vertical="center"/>
    </xf>
    <xf numFmtId="0" fontId="2" fillId="0" borderId="8" xfId="0" applyFont="1" applyBorder="1" applyAlignment="1">
      <alignment vertical="center"/>
    </xf>
    <xf numFmtId="1" fontId="37" fillId="0" borderId="0" xfId="0" applyNumberFormat="1" applyFont="1" applyAlignment="1">
      <alignment horizontal="right" vertical="center"/>
    </xf>
    <xf numFmtId="3" fontId="2" fillId="0" borderId="0" xfId="2" applyNumberFormat="1" applyFont="1" applyFill="1" applyAlignment="1">
      <alignment vertical="center"/>
    </xf>
    <xf numFmtId="1" fontId="37" fillId="0" borderId="0" xfId="0" applyNumberFormat="1" applyFont="1" applyAlignment="1">
      <alignment vertical="center"/>
    </xf>
    <xf numFmtId="3" fontId="2" fillId="0" borderId="0" xfId="0" applyNumberFormat="1" applyFont="1" applyAlignment="1">
      <alignment horizontal="right" vertical="center"/>
    </xf>
    <xf numFmtId="0" fontId="2" fillId="0" borderId="0" xfId="0" quotePrefix="1" applyFont="1" applyAlignment="1">
      <alignment horizontal="left" vertical="center"/>
    </xf>
    <xf numFmtId="0" fontId="2" fillId="0" borderId="8" xfId="0" applyFont="1" applyBorder="1" applyAlignment="1">
      <alignment horizontal="center" vertical="center"/>
    </xf>
    <xf numFmtId="3" fontId="20" fillId="0" borderId="0" xfId="0" applyNumberFormat="1" applyFont="1" applyAlignment="1">
      <alignment vertical="center"/>
    </xf>
    <xf numFmtId="1" fontId="37" fillId="0" borderId="9" xfId="0" applyNumberFormat="1" applyFont="1" applyBorder="1" applyAlignment="1">
      <alignment vertical="center"/>
    </xf>
    <xf numFmtId="0" fontId="2" fillId="0" borderId="10" xfId="0" applyFont="1" applyBorder="1" applyAlignment="1">
      <alignment horizontal="center" vertical="center"/>
    </xf>
    <xf numFmtId="0" fontId="20" fillId="0" borderId="9" xfId="0" applyFont="1" applyBorder="1"/>
    <xf numFmtId="3" fontId="20" fillId="0" borderId="9" xfId="0" applyNumberFormat="1" applyFont="1" applyBorder="1" applyAlignment="1">
      <alignment vertical="center"/>
    </xf>
    <xf numFmtId="3" fontId="20" fillId="0" borderId="9" xfId="0" applyNumberFormat="1" applyFont="1" applyBorder="1"/>
    <xf numFmtId="0" fontId="20" fillId="0" borderId="0" xfId="0" applyFont="1" applyAlignment="1">
      <alignment horizontal="center" vertical="center"/>
    </xf>
    <xf numFmtId="1" fontId="43" fillId="0" borderId="0" xfId="0" applyNumberFormat="1" applyFont="1" applyAlignment="1">
      <alignment vertical="center"/>
    </xf>
    <xf numFmtId="0" fontId="20" fillId="0" borderId="0" xfId="0" applyFont="1" applyAlignment="1">
      <alignment horizontal="left" vertical="center"/>
    </xf>
    <xf numFmtId="0" fontId="2" fillId="0" borderId="0" xfId="0" applyFont="1" applyAlignment="1">
      <alignment horizontal="left"/>
    </xf>
    <xf numFmtId="3" fontId="2" fillId="0" borderId="0" xfId="0" applyNumberFormat="1" applyFont="1"/>
    <xf numFmtId="2" fontId="2" fillId="0" borderId="0" xfId="0" applyNumberFormat="1" applyFont="1" applyAlignment="1">
      <alignment horizontal="right" vertical="center"/>
    </xf>
    <xf numFmtId="0" fontId="17" fillId="0" borderId="0" xfId="0" applyFont="1" applyAlignment="1">
      <alignment vertical="center"/>
    </xf>
    <xf numFmtId="0" fontId="47" fillId="0" borderId="0" xfId="0" applyFont="1" applyAlignment="1">
      <alignment horizontal="center" vertical="center"/>
    </xf>
    <xf numFmtId="0" fontId="25" fillId="0" borderId="0" xfId="0" applyFont="1" applyAlignment="1">
      <alignment horizontal="left" vertical="center"/>
    </xf>
    <xf numFmtId="1" fontId="25" fillId="0" borderId="0" xfId="0" applyNumberFormat="1" applyFont="1" applyAlignment="1">
      <alignment vertical="center"/>
    </xf>
    <xf numFmtId="2" fontId="25" fillId="0" borderId="0" xfId="0" applyNumberFormat="1" applyFont="1" applyAlignment="1">
      <alignment horizontal="right" vertical="center"/>
    </xf>
    <xf numFmtId="1" fontId="24" fillId="0" borderId="0" xfId="0" applyNumberFormat="1" applyFont="1" applyAlignment="1">
      <alignment horizontal="right" vertical="center"/>
    </xf>
    <xf numFmtId="2" fontId="24" fillId="0" borderId="0" xfId="0" applyNumberFormat="1" applyFont="1" applyAlignment="1">
      <alignment horizontal="right" vertical="center"/>
    </xf>
    <xf numFmtId="0" fontId="24" fillId="0" borderId="0" xfId="0" applyFont="1" applyAlignment="1">
      <alignment vertical="center"/>
    </xf>
    <xf numFmtId="0" fontId="2" fillId="0" borderId="9" xfId="0" applyFont="1" applyBorder="1" applyAlignment="1">
      <alignment horizontal="left" vertical="center"/>
    </xf>
    <xf numFmtId="1" fontId="2" fillId="0" borderId="9" xfId="0" applyNumberFormat="1" applyFont="1" applyBorder="1" applyAlignment="1">
      <alignment horizontal="right" vertical="center"/>
    </xf>
    <xf numFmtId="2" fontId="2" fillId="0" borderId="9" xfId="0" applyNumberFormat="1" applyFont="1" applyBorder="1" applyAlignment="1">
      <alignment horizontal="right" vertical="center"/>
    </xf>
    <xf numFmtId="0" fontId="2" fillId="0" borderId="9" xfId="0" applyFont="1" applyBorder="1" applyAlignment="1">
      <alignment horizontal="center" vertical="center"/>
    </xf>
    <xf numFmtId="0" fontId="2" fillId="0" borderId="9" xfId="0" applyFont="1" applyBorder="1" applyAlignment="1">
      <alignment horizontal="right" vertical="center"/>
    </xf>
    <xf numFmtId="0" fontId="25" fillId="0" borderId="0" xfId="0" quotePrefix="1" applyFont="1" applyAlignment="1">
      <alignment horizontal="left" vertical="center"/>
    </xf>
    <xf numFmtId="169" fontId="37" fillId="0" borderId="9" xfId="0" applyNumberFormat="1" applyFont="1" applyBorder="1" applyAlignment="1">
      <alignment vertical="center"/>
    </xf>
    <xf numFmtId="3" fontId="2" fillId="0" borderId="9" xfId="0" applyNumberFormat="1" applyFont="1" applyBorder="1" applyAlignment="1">
      <alignment horizontal="right" vertical="center"/>
    </xf>
    <xf numFmtId="169" fontId="37" fillId="0" borderId="0" xfId="0" applyNumberFormat="1" applyFont="1" applyAlignment="1">
      <alignment vertical="center"/>
    </xf>
    <xf numFmtId="0" fontId="70" fillId="6" borderId="4" xfId="0" applyFont="1" applyFill="1" applyBorder="1" applyAlignment="1">
      <alignment vertical="center" wrapText="1"/>
    </xf>
    <xf numFmtId="0" fontId="0" fillId="0" borderId="0" xfId="0" applyAlignment="1">
      <alignment horizontal="right"/>
    </xf>
    <xf numFmtId="0" fontId="2" fillId="0" borderId="0" xfId="1" applyFont="1" applyFill="1" applyBorder="1"/>
    <xf numFmtId="164" fontId="2" fillId="0" borderId="0" xfId="1" applyNumberFormat="1" applyFont="1" applyFill="1" applyBorder="1" applyAlignment="1">
      <alignment horizontal="right"/>
    </xf>
    <xf numFmtId="0" fontId="68" fillId="6" borderId="0" xfId="0" applyFont="1" applyFill="1" applyAlignment="1">
      <alignment horizontal="right" wrapText="1"/>
    </xf>
    <xf numFmtId="9" fontId="0" fillId="0" borderId="0" xfId="0" applyNumberFormat="1"/>
    <xf numFmtId="0" fontId="68" fillId="6" borderId="4" xfId="0" applyFont="1" applyFill="1" applyBorder="1"/>
    <xf numFmtId="9" fontId="68" fillId="0" borderId="0" xfId="20" applyFont="1" applyFill="1" applyAlignment="1">
      <alignment horizontal="right"/>
    </xf>
    <xf numFmtId="0" fontId="49" fillId="0" borderId="0" xfId="0" applyFont="1" applyAlignment="1">
      <alignment vertical="center"/>
    </xf>
    <xf numFmtId="0" fontId="18" fillId="0" borderId="0" xfId="0" applyFont="1" applyAlignment="1">
      <alignment vertical="center"/>
    </xf>
    <xf numFmtId="1" fontId="50" fillId="0" borderId="0" xfId="0" applyNumberFormat="1" applyFont="1" applyAlignment="1">
      <alignment vertical="center"/>
    </xf>
    <xf numFmtId="3" fontId="18" fillId="0" borderId="0" xfId="2" applyNumberFormat="1" applyFont="1" applyFill="1" applyAlignment="1">
      <alignment vertical="center"/>
    </xf>
    <xf numFmtId="1" fontId="18" fillId="0" borderId="0" xfId="0" applyNumberFormat="1" applyFont="1" applyAlignment="1">
      <alignment vertical="center"/>
    </xf>
    <xf numFmtId="3" fontId="18" fillId="0" borderId="0" xfId="0" applyNumberFormat="1" applyFont="1" applyAlignment="1">
      <alignment vertical="center"/>
    </xf>
    <xf numFmtId="174" fontId="50" fillId="0" borderId="0" xfId="0" applyNumberFormat="1" applyFont="1" applyAlignment="1">
      <alignment horizontal="right" vertical="center"/>
    </xf>
    <xf numFmtId="0" fontId="18" fillId="0" borderId="0" xfId="0" quotePrefix="1" applyFont="1" applyAlignment="1">
      <alignment horizontal="left" vertical="center"/>
    </xf>
    <xf numFmtId="1" fontId="50" fillId="0" borderId="0" xfId="0" applyNumberFormat="1" applyFont="1" applyAlignment="1">
      <alignment horizontal="right" vertical="center"/>
    </xf>
    <xf numFmtId="0" fontId="37" fillId="0" borderId="0" xfId="0" applyFont="1" applyAlignment="1">
      <alignment vertical="center"/>
    </xf>
    <xf numFmtId="1" fontId="68" fillId="6" borderId="0" xfId="0" applyNumberFormat="1" applyFont="1" applyFill="1" applyAlignment="1">
      <alignment horizontal="right"/>
    </xf>
    <xf numFmtId="1" fontId="78" fillId="0" borderId="0" xfId="9" applyNumberFormat="1" applyFont="1" applyFill="1" applyBorder="1" applyAlignment="1">
      <alignment horizontal="right"/>
    </xf>
    <xf numFmtId="0" fontId="77" fillId="6" borderId="0" xfId="6" applyFont="1" applyFill="1" applyBorder="1" applyAlignment="1" applyProtection="1"/>
    <xf numFmtId="175" fontId="68" fillId="6" borderId="0" xfId="0" applyNumberFormat="1" applyFont="1" applyFill="1" applyAlignment="1">
      <alignment horizontal="right"/>
    </xf>
    <xf numFmtId="3" fontId="78" fillId="0" borderId="0" xfId="9" applyNumberFormat="1" applyFont="1" applyFill="1" applyBorder="1"/>
    <xf numFmtId="1" fontId="25" fillId="6" borderId="0" xfId="0" applyNumberFormat="1" applyFont="1" applyFill="1"/>
    <xf numFmtId="1" fontId="68" fillId="6" borderId="0" xfId="0" applyNumberFormat="1" applyFont="1" applyFill="1" applyAlignment="1">
      <alignment horizontal="right" wrapText="1"/>
    </xf>
    <xf numFmtId="1" fontId="0" fillId="0" borderId="0" xfId="0" applyNumberFormat="1"/>
    <xf numFmtId="0" fontId="2" fillId="0" borderId="0" xfId="13"/>
    <xf numFmtId="3" fontId="69" fillId="6" borderId="5" xfId="0" applyNumberFormat="1" applyFont="1" applyFill="1" applyBorder="1" applyAlignment="1">
      <alignment horizontal="left"/>
    </xf>
    <xf numFmtId="3" fontId="69" fillId="6" borderId="5" xfId="0" applyNumberFormat="1" applyFont="1" applyFill="1" applyBorder="1"/>
    <xf numFmtId="3" fontId="6" fillId="6" borderId="5" xfId="0" applyNumberFormat="1" applyFont="1" applyFill="1" applyBorder="1" applyAlignment="1">
      <alignment horizontal="right"/>
    </xf>
    <xf numFmtId="169" fontId="14" fillId="6" borderId="2" xfId="19" applyNumberFormat="1" applyFont="1" applyFill="1" applyBorder="1" applyAlignment="1">
      <alignment horizontal="right" vertical="center"/>
    </xf>
    <xf numFmtId="1" fontId="68" fillId="0" borderId="0" xfId="0" applyNumberFormat="1" applyFont="1" applyAlignment="1">
      <alignment horizontal="right"/>
    </xf>
    <xf numFmtId="0" fontId="68" fillId="0" borderId="0" xfId="0" applyFont="1"/>
    <xf numFmtId="174" fontId="2" fillId="0" borderId="0" xfId="0" applyNumberFormat="1" applyFont="1" applyAlignment="1">
      <alignment horizontal="right" vertical="center"/>
    </xf>
    <xf numFmtId="0" fontId="2" fillId="0" borderId="11" xfId="0" applyFont="1" applyBorder="1" applyAlignment="1">
      <alignment vertical="center"/>
    </xf>
    <xf numFmtId="0" fontId="2" fillId="0" borderId="2" xfId="0" applyFont="1" applyBorder="1" applyAlignment="1">
      <alignment vertical="center"/>
    </xf>
    <xf numFmtId="1" fontId="2" fillId="0" borderId="2" xfId="0" applyNumberFormat="1" applyFont="1" applyBorder="1" applyAlignment="1">
      <alignment horizontal="right" vertical="center"/>
    </xf>
    <xf numFmtId="3" fontId="2" fillId="0" borderId="2" xfId="0" applyNumberFormat="1" applyFont="1" applyBorder="1" applyAlignment="1">
      <alignment horizontal="right" vertical="center"/>
    </xf>
    <xf numFmtId="0" fontId="2" fillId="0" borderId="3" xfId="0" applyFont="1" applyBorder="1" applyAlignment="1">
      <alignment horizontal="center" vertical="center"/>
    </xf>
    <xf numFmtId="0" fontId="2" fillId="0" borderId="12" xfId="0" applyFont="1" applyBorder="1" applyAlignment="1">
      <alignment horizontal="center" vertical="center"/>
    </xf>
    <xf numFmtId="0" fontId="58" fillId="0" borderId="0" xfId="0" applyFont="1"/>
    <xf numFmtId="3" fontId="58" fillId="0" borderId="0" xfId="0" applyNumberFormat="1" applyFont="1" applyAlignment="1">
      <alignment wrapText="1"/>
    </xf>
    <xf numFmtId="3" fontId="6" fillId="0" borderId="0" xfId="0" applyNumberFormat="1" applyFont="1"/>
    <xf numFmtId="3" fontId="59" fillId="0" borderId="0" xfId="0" applyNumberFormat="1" applyFont="1" applyAlignment="1">
      <alignment horizontal="left"/>
    </xf>
    <xf numFmtId="3" fontId="58" fillId="0" borderId="0" xfId="0" applyNumberFormat="1" applyFont="1"/>
    <xf numFmtId="3" fontId="58" fillId="6" borderId="0" xfId="0" applyNumberFormat="1" applyFont="1" applyFill="1" applyAlignment="1">
      <alignment horizontal="left"/>
    </xf>
    <xf numFmtId="175" fontId="68" fillId="6" borderId="0" xfId="0" applyNumberFormat="1" applyFont="1" applyFill="1"/>
    <xf numFmtId="9" fontId="68" fillId="6" borderId="0" xfId="0" applyNumberFormat="1" applyFont="1" applyFill="1"/>
    <xf numFmtId="177" fontId="68" fillId="6" borderId="0" xfId="0" applyNumberFormat="1" applyFont="1" applyFill="1"/>
    <xf numFmtId="3" fontId="52" fillId="3" borderId="0" xfId="1" applyNumberFormat="1" applyAlignment="1">
      <alignment vertical="center"/>
    </xf>
    <xf numFmtId="0" fontId="58" fillId="6" borderId="0" xfId="0" applyFont="1" applyFill="1" applyAlignment="1">
      <alignment horizontal="right" wrapText="1"/>
    </xf>
    <xf numFmtId="38" fontId="70" fillId="0" borderId="0" xfId="1" applyNumberFormat="1" applyFont="1" applyFill="1" applyAlignment="1">
      <alignment horizontal="right" vertical="center"/>
    </xf>
    <xf numFmtId="2" fontId="79" fillId="3" borderId="0" xfId="1" applyNumberFormat="1" applyFont="1"/>
    <xf numFmtId="1" fontId="25" fillId="0" borderId="0" xfId="1" applyNumberFormat="1" applyFont="1" applyFill="1"/>
    <xf numFmtId="3" fontId="57" fillId="0" borderId="0" xfId="0" applyNumberFormat="1" applyFont="1"/>
    <xf numFmtId="0" fontId="53" fillId="0" borderId="0" xfId="5" applyFill="1"/>
    <xf numFmtId="0" fontId="59" fillId="0" borderId="0" xfId="0" applyFont="1"/>
    <xf numFmtId="165" fontId="12" fillId="6" borderId="0" xfId="15" applyNumberFormat="1" applyFont="1" applyFill="1" applyAlignment="1">
      <alignment horizontal="right" vertical="center"/>
    </xf>
    <xf numFmtId="167" fontId="12" fillId="6" borderId="0" xfId="15" applyNumberFormat="1" applyFont="1" applyFill="1" applyAlignment="1">
      <alignment horizontal="right" vertical="center"/>
    </xf>
    <xf numFmtId="0" fontId="2" fillId="0" borderId="0" xfId="0" applyFont="1" applyAlignment="1">
      <alignment vertical="center"/>
    </xf>
    <xf numFmtId="0" fontId="1" fillId="6" borderId="0" xfId="0" applyFont="1" applyFill="1"/>
    <xf numFmtId="3" fontId="1" fillId="6" borderId="0" xfId="0" applyNumberFormat="1" applyFont="1" applyFill="1" applyAlignment="1">
      <alignment wrapText="1"/>
    </xf>
    <xf numFmtId="3" fontId="1" fillId="6" borderId="0" xfId="0" applyNumberFormat="1" applyFont="1" applyFill="1"/>
    <xf numFmtId="0" fontId="2" fillId="0" borderId="0" xfId="0" applyFont="1" applyAlignment="1">
      <alignment vertical="center"/>
    </xf>
    <xf numFmtId="0" fontId="68" fillId="6" borderId="5" xfId="0" applyFont="1" applyFill="1" applyBorder="1"/>
    <xf numFmtId="0" fontId="68" fillId="6" borderId="0" xfId="0" applyFont="1" applyFill="1" applyBorder="1"/>
    <xf numFmtId="0" fontId="14" fillId="6" borderId="0" xfId="0" applyFont="1" applyFill="1" applyAlignment="1">
      <alignment horizontal="center"/>
    </xf>
    <xf numFmtId="0" fontId="0" fillId="0" borderId="0" xfId="0" applyAlignment="1"/>
    <xf numFmtId="0" fontId="68" fillId="6" borderId="5" xfId="0" applyFont="1" applyFill="1" applyBorder="1" applyAlignment="1">
      <alignment horizontal="left" vertical="center" wrapText="1"/>
    </xf>
    <xf numFmtId="0" fontId="68" fillId="6" borderId="0" xfId="0" applyFont="1" applyFill="1" applyBorder="1" applyAlignment="1">
      <alignment horizontal="left" vertical="center" wrapText="1"/>
    </xf>
    <xf numFmtId="0" fontId="68" fillId="6" borderId="2" xfId="0" applyFont="1" applyFill="1" applyBorder="1" applyAlignment="1">
      <alignment horizontal="left" vertical="center" wrapText="1"/>
    </xf>
    <xf numFmtId="0" fontId="80" fillId="6" borderId="0" xfId="0" applyFont="1" applyFill="1" applyAlignment="1">
      <alignment horizontal="center" vertical="center" wrapText="1"/>
    </xf>
    <xf numFmtId="3" fontId="2" fillId="6" borderId="0" xfId="0" applyNumberFormat="1" applyFont="1" applyFill="1" applyAlignment="1">
      <alignment wrapText="1"/>
    </xf>
    <xf numFmtId="0" fontId="68" fillId="6" borderId="0" xfId="0" applyFont="1" applyFill="1" applyAlignment="1">
      <alignment wrapText="1"/>
    </xf>
    <xf numFmtId="0" fontId="75" fillId="0" borderId="0" xfId="0" applyFont="1" applyAlignment="1">
      <alignment horizontal="center" vertical="top" wrapText="1"/>
    </xf>
    <xf numFmtId="0" fontId="7" fillId="6" borderId="0" xfId="0" applyFont="1" applyFill="1" applyAlignment="1">
      <alignment horizontal="right" wrapText="1"/>
    </xf>
    <xf numFmtId="0" fontId="59" fillId="0" borderId="0" xfId="0" applyFont="1" applyAlignment="1">
      <alignment wrapText="1"/>
    </xf>
    <xf numFmtId="3" fontId="7" fillId="6" borderId="0" xfId="0" quotePrefix="1" applyNumberFormat="1" applyFont="1" applyFill="1" applyAlignment="1">
      <alignment horizontal="center"/>
    </xf>
    <xf numFmtId="3" fontId="7" fillId="6" borderId="0" xfId="0" applyNumberFormat="1" applyFont="1" applyFill="1" applyAlignment="1">
      <alignment horizontal="center"/>
    </xf>
    <xf numFmtId="0" fontId="7" fillId="6" borderId="0" xfId="0" applyFont="1" applyFill="1" applyAlignment="1">
      <alignment horizontal="center"/>
    </xf>
    <xf numFmtId="0" fontId="68" fillId="6" borderId="0" xfId="0" applyFont="1" applyFill="1" applyAlignment="1">
      <alignment horizontal="left" wrapText="1"/>
    </xf>
    <xf numFmtId="0" fontId="68" fillId="6" borderId="5" xfId="0" applyFont="1" applyFill="1" applyBorder="1" applyAlignment="1">
      <alignment horizontal="left" wrapText="1"/>
    </xf>
    <xf numFmtId="3" fontId="7" fillId="6" borderId="0" xfId="0" applyNumberFormat="1" applyFont="1" applyFill="1" applyAlignment="1">
      <alignment vertical="center" wrapText="1"/>
    </xf>
    <xf numFmtId="0" fontId="6" fillId="6" borderId="0" xfId="0" applyFont="1" applyFill="1" applyAlignment="1">
      <alignment vertical="center"/>
    </xf>
    <xf numFmtId="3" fontId="25" fillId="6" borderId="5" xfId="0" applyNumberFormat="1" applyFont="1" applyFill="1" applyBorder="1" applyAlignment="1">
      <alignment horizontal="left" wrapText="1"/>
    </xf>
    <xf numFmtId="0" fontId="69" fillId="0" borderId="2" xfId="0" applyFont="1" applyBorder="1" applyAlignment="1">
      <alignment wrapText="1"/>
    </xf>
    <xf numFmtId="3" fontId="25" fillId="6" borderId="5" xfId="0" applyNumberFormat="1" applyFont="1" applyFill="1" applyBorder="1" applyAlignment="1">
      <alignment horizontal="right" wrapText="1"/>
    </xf>
    <xf numFmtId="0" fontId="25" fillId="6" borderId="0" xfId="0" applyFont="1" applyFill="1" applyAlignment="1">
      <alignment horizontal="center"/>
    </xf>
    <xf numFmtId="0" fontId="25" fillId="6" borderId="2" xfId="0" applyFont="1" applyFill="1" applyBorder="1" applyAlignment="1">
      <alignment horizontal="center"/>
    </xf>
    <xf numFmtId="3" fontId="25" fillId="6" borderId="2" xfId="0" applyNumberFormat="1" applyFont="1" applyFill="1" applyBorder="1" applyAlignment="1">
      <alignment horizontal="center" wrapText="1"/>
    </xf>
    <xf numFmtId="3" fontId="81" fillId="6" borderId="5" xfId="0" applyNumberFormat="1" applyFont="1" applyFill="1" applyBorder="1" applyAlignment="1">
      <alignment horizontal="left" wrapText="1"/>
    </xf>
    <xf numFmtId="3" fontId="59" fillId="6" borderId="5" xfId="0" applyNumberFormat="1" applyFont="1" applyFill="1" applyBorder="1" applyAlignment="1">
      <alignment horizontal="left" wrapText="1"/>
    </xf>
    <xf numFmtId="0" fontId="7" fillId="6" borderId="0" xfId="0" applyFont="1" applyFill="1" applyAlignment="1">
      <alignment vertical="center" wrapText="1"/>
    </xf>
    <xf numFmtId="0" fontId="58" fillId="6" borderId="0" xfId="0" applyFont="1" applyFill="1" applyAlignment="1">
      <alignment vertical="center" wrapText="1"/>
    </xf>
    <xf numFmtId="3" fontId="7" fillId="6" borderId="0" xfId="0" applyNumberFormat="1" applyFont="1" applyFill="1" applyAlignment="1">
      <alignment wrapText="1"/>
    </xf>
    <xf numFmtId="0" fontId="58" fillId="6" borderId="0" xfId="0" applyFont="1" applyFill="1" applyAlignment="1"/>
    <xf numFmtId="3" fontId="34" fillId="6" borderId="0" xfId="0" applyNumberFormat="1" applyFont="1" applyFill="1" applyAlignment="1">
      <alignment wrapText="1"/>
    </xf>
    <xf numFmtId="0" fontId="68" fillId="6" borderId="0" xfId="0" applyFont="1" applyFill="1" applyAlignment="1"/>
    <xf numFmtId="0" fontId="59" fillId="6" borderId="0" xfId="0" applyFont="1" applyFill="1" applyAlignment="1">
      <alignment vertical="center" wrapText="1"/>
    </xf>
    <xf numFmtId="3" fontId="68" fillId="6" borderId="2" xfId="0" applyNumberFormat="1" applyFont="1" applyFill="1" applyBorder="1" applyAlignment="1">
      <alignment horizontal="center"/>
    </xf>
    <xf numFmtId="49" fontId="58" fillId="6" borderId="0" xfId="0" applyNumberFormat="1" applyFont="1" applyFill="1" applyAlignment="1">
      <alignment horizontal="center"/>
    </xf>
    <xf numFmtId="0" fontId="69" fillId="6" borderId="0" xfId="0" applyFont="1" applyFill="1" applyAlignment="1">
      <alignment wrapText="1"/>
    </xf>
    <xf numFmtId="3" fontId="25" fillId="0" borderId="0" xfId="10" applyNumberFormat="1" applyFont="1" applyAlignment="1">
      <alignment horizontal="center"/>
    </xf>
    <xf numFmtId="0" fontId="25" fillId="0" borderId="0" xfId="10" applyFont="1" applyAlignment="1">
      <alignment horizontal="center"/>
    </xf>
    <xf numFmtId="3" fontId="25" fillId="0" borderId="0" xfId="0" applyNumberFormat="1" applyFont="1" applyAlignment="1">
      <alignment horizontal="center"/>
    </xf>
    <xf numFmtId="0" fontId="2" fillId="0" borderId="0" xfId="0" applyFont="1" applyAlignment="1">
      <alignment vertical="center"/>
    </xf>
    <xf numFmtId="1" fontId="2" fillId="0" borderId="0" xfId="0" applyNumberFormat="1" applyFont="1" applyFill="1" applyAlignment="1">
      <alignment horizontal="right" vertical="center"/>
    </xf>
    <xf numFmtId="169" fontId="2" fillId="2" borderId="0" xfId="10" applyNumberFormat="1" applyFont="1" applyFill="1"/>
    <xf numFmtId="1" fontId="2" fillId="2" borderId="0" xfId="10" applyNumberFormat="1" applyFont="1" applyFill="1"/>
    <xf numFmtId="169" fontId="25" fillId="2" borderId="0" xfId="3" applyNumberFormat="1" applyFont="1" applyFill="1" applyAlignment="1">
      <alignment horizontal="right" vertical="center"/>
    </xf>
    <xf numFmtId="169" fontId="2" fillId="2" borderId="0" xfId="10" applyNumberFormat="1" applyFont="1" applyFill="1" applyAlignment="1">
      <alignment horizontal="right"/>
    </xf>
    <xf numFmtId="169" fontId="2" fillId="2" borderId="0" xfId="3" applyNumberFormat="1" applyFont="1" applyFill="1" applyAlignment="1">
      <alignment horizontal="right" vertical="center"/>
    </xf>
  </cellXfs>
  <cellStyles count="23">
    <cellStyle name="Bad" xfId="1" builtinId="27"/>
    <cellStyle name="Comma" xfId="2" builtinId="3"/>
    <cellStyle name="Comma 2" xfId="3" xr:uid="{00000000-0005-0000-0000-000002000000}"/>
    <cellStyle name="Comma 3" xfId="4" xr:uid="{00000000-0005-0000-0000-000003000000}"/>
    <cellStyle name="Good" xfId="5" builtinId="26"/>
    <cellStyle name="Hyperlink" xfId="6" builtinId="8"/>
    <cellStyle name="Hyperlink 2" xfId="7" xr:uid="{00000000-0005-0000-0000-000006000000}"/>
    <cellStyle name="Hyperlink 3" xfId="8" xr:uid="{00000000-0005-0000-0000-000007000000}"/>
    <cellStyle name="Neutral" xfId="9" builtinId="28"/>
    <cellStyle name="Normal" xfId="0" builtinId="0"/>
    <cellStyle name="Normal 2" xfId="10" xr:uid="{00000000-0005-0000-0000-00000A000000}"/>
    <cellStyle name="Normal 3" xfId="11" xr:uid="{00000000-0005-0000-0000-00000B000000}"/>
    <cellStyle name="Normal 4" xfId="12" xr:uid="{00000000-0005-0000-0000-00000C000000}"/>
    <cellStyle name="Normal_Sheet1" xfId="13" xr:uid="{00000000-0005-0000-0000-00000D000000}"/>
    <cellStyle name="Normal_Table 4.2" xfId="14" xr:uid="{00000000-0005-0000-0000-00000E000000}"/>
    <cellStyle name="Normal_Table 5.10_1" xfId="15" xr:uid="{00000000-0005-0000-0000-00000F000000}"/>
    <cellStyle name="Normal_Table 5.11" xfId="16" xr:uid="{00000000-0005-0000-0000-000010000000}"/>
    <cellStyle name="Normal_Table 5.12" xfId="17" xr:uid="{00000000-0005-0000-0000-000011000000}"/>
    <cellStyle name="Normal_Table 5.6" xfId="18" xr:uid="{00000000-0005-0000-0000-000012000000}"/>
    <cellStyle name="Normal_Table 5.9" xfId="19" xr:uid="{00000000-0005-0000-0000-000013000000}"/>
    <cellStyle name="Percent" xfId="20" builtinId="5"/>
    <cellStyle name="Percent 10" xfId="21" xr:uid="{00000000-0005-0000-0000-000015000000}"/>
    <cellStyle name="Percent 4" xfId="22" xr:uid="{00000000-0005-0000-0000-00001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010205"/>
      <rgbColor rgb="00152935"/>
      <rgbColor rgb="00264A60"/>
      <rgbColor rgb="00E0E0E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62224637174603E-2"/>
          <c:y val="9.4420427414281707E-2"/>
          <c:w val="0.91597531089351325"/>
          <c:h val="0.82275181331793112"/>
        </c:manualLayout>
      </c:layout>
      <c:lineChart>
        <c:grouping val="standard"/>
        <c:varyColors val="0"/>
        <c:ser>
          <c:idx val="0"/>
          <c:order val="0"/>
          <c:marker>
            <c:symbol val="none"/>
          </c:marker>
          <c:cat>
            <c:strRef>
              <c:f>'Table 5'!$A$8:$A$53</c:f>
              <c:strCache>
                <c:ptCount val="46"/>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c:v>
                </c:pt>
                <c:pt idx="30">
                  <c:v>2007</c:v>
                </c:pt>
                <c:pt idx="31">
                  <c:v>2008</c:v>
                </c:pt>
                <c:pt idx="32">
                  <c:v>2009</c:v>
                </c:pt>
                <c:pt idx="33">
                  <c:v>2010</c:v>
                </c:pt>
                <c:pt idx="34">
                  <c:v>2011</c:v>
                </c:pt>
                <c:pt idx="35">
                  <c:v>2012</c:v>
                </c:pt>
                <c:pt idx="36">
                  <c:v>2013</c:v>
                </c:pt>
                <c:pt idx="37">
                  <c:v>2014</c:v>
                </c:pt>
                <c:pt idx="38">
                  <c:v>2015-16</c:v>
                </c:pt>
                <c:pt idx="39">
                  <c:v>2016-17</c:v>
                </c:pt>
                <c:pt idx="40">
                  <c:v>2017-18</c:v>
                </c:pt>
                <c:pt idx="41">
                  <c:v>2018-19</c:v>
                </c:pt>
                <c:pt idx="42">
                  <c:v>2019-20</c:v>
                </c:pt>
                <c:pt idx="43">
                  <c:v>2020-21</c:v>
                </c:pt>
                <c:pt idx="44">
                  <c:v>2021-22</c:v>
                </c:pt>
                <c:pt idx="45">
                  <c:v>2022-23</c:v>
                </c:pt>
              </c:strCache>
            </c:strRef>
          </c:cat>
          <c:val>
            <c:numRef>
              <c:f>'Table 5'!$B$8:$B$53</c:f>
              <c:numCache>
                <c:formatCode>General</c:formatCode>
                <c:ptCount val="46"/>
                <c:pt idx="0">
                  <c:v>70</c:v>
                </c:pt>
                <c:pt idx="1">
                  <c:v>68</c:v>
                </c:pt>
                <c:pt idx="2">
                  <c:v>68</c:v>
                </c:pt>
                <c:pt idx="3">
                  <c:v>67</c:v>
                </c:pt>
                <c:pt idx="4">
                  <c:v>72</c:v>
                </c:pt>
                <c:pt idx="5">
                  <c:v>72</c:v>
                </c:pt>
                <c:pt idx="6">
                  <c:v>67</c:v>
                </c:pt>
                <c:pt idx="7">
                  <c:v>68</c:v>
                </c:pt>
                <c:pt idx="8">
                  <c:v>68</c:v>
                </c:pt>
                <c:pt idx="9">
                  <c:v>70</c:v>
                </c:pt>
                <c:pt idx="10">
                  <c:v>72</c:v>
                </c:pt>
                <c:pt idx="11">
                  <c:v>71</c:v>
                </c:pt>
                <c:pt idx="12">
                  <c:v>72</c:v>
                </c:pt>
                <c:pt idx="13">
                  <c:v>69</c:v>
                </c:pt>
                <c:pt idx="14">
                  <c:v>69</c:v>
                </c:pt>
                <c:pt idx="15">
                  <c:v>72</c:v>
                </c:pt>
                <c:pt idx="16">
                  <c:v>69</c:v>
                </c:pt>
                <c:pt idx="17">
                  <c:v>66</c:v>
                </c:pt>
                <c:pt idx="18">
                  <c:v>66</c:v>
                </c:pt>
                <c:pt idx="19">
                  <c:v>62</c:v>
                </c:pt>
                <c:pt idx="20">
                  <c:v>62</c:v>
                </c:pt>
                <c:pt idx="21">
                  <c:v>58</c:v>
                </c:pt>
                <c:pt idx="22">
                  <c:v>63</c:v>
                </c:pt>
                <c:pt idx="23">
                  <c:v>59</c:v>
                </c:pt>
                <c:pt idx="24">
                  <c:v>62</c:v>
                </c:pt>
                <c:pt idx="25">
                  <c:v>58</c:v>
                </c:pt>
                <c:pt idx="26">
                  <c:v>58</c:v>
                </c:pt>
                <c:pt idx="27">
                  <c:v>57</c:v>
                </c:pt>
                <c:pt idx="28">
                  <c:v>57</c:v>
                </c:pt>
                <c:pt idx="29">
                  <c:v>55</c:v>
                </c:pt>
                <c:pt idx="30">
                  <c:v>53</c:v>
                </c:pt>
                <c:pt idx="31">
                  <c:v>51</c:v>
                </c:pt>
                <c:pt idx="32">
                  <c:v>50</c:v>
                </c:pt>
                <c:pt idx="33">
                  <c:v>50</c:v>
                </c:pt>
                <c:pt idx="34">
                  <c:v>54</c:v>
                </c:pt>
                <c:pt idx="35">
                  <c:v>52</c:v>
                </c:pt>
                <c:pt idx="36">
                  <c:v>48</c:v>
                </c:pt>
                <c:pt idx="37">
                  <c:v>48</c:v>
                </c:pt>
                <c:pt idx="38">
                  <c:v>46</c:v>
                </c:pt>
                <c:pt idx="39">
                  <c:v>45</c:v>
                </c:pt>
                <c:pt idx="40">
                  <c:v>43</c:v>
                </c:pt>
                <c:pt idx="41">
                  <c:v>43</c:v>
                </c:pt>
                <c:pt idx="42">
                  <c:v>40</c:v>
                </c:pt>
                <c:pt idx="43">
                  <c:v>24</c:v>
                </c:pt>
                <c:pt idx="44" formatCode="0">
                  <c:v>26.9</c:v>
                </c:pt>
                <c:pt idx="45" formatCode="0">
                  <c:v>22.2</c:v>
                </c:pt>
              </c:numCache>
            </c:numRef>
          </c:val>
          <c:smooth val="0"/>
          <c:extLst>
            <c:ext xmlns:c16="http://schemas.microsoft.com/office/drawing/2014/chart" uri="{C3380CC4-5D6E-409C-BE32-E72D297353CC}">
              <c16:uniqueId val="{00000000-E624-428A-9070-CAC96770AC31}"/>
            </c:ext>
          </c:extLst>
        </c:ser>
        <c:dLbls>
          <c:showLegendKey val="0"/>
          <c:showVal val="0"/>
          <c:showCatName val="0"/>
          <c:showSerName val="0"/>
          <c:showPercent val="0"/>
          <c:showBubbleSize val="0"/>
        </c:dLbls>
        <c:smooth val="0"/>
        <c:axId val="1466322655"/>
        <c:axId val="1"/>
      </c:lineChart>
      <c:catAx>
        <c:axId val="1466322655"/>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Survey Year</a:t>
                </a:r>
              </a:p>
            </c:rich>
          </c:tx>
          <c:overlay val="0"/>
        </c:title>
        <c:numFmt formatCode="General" sourceLinked="1"/>
        <c:majorTickMark val="out"/>
        <c:minorTickMark val="none"/>
        <c:tickLblPos val="low"/>
        <c:txPr>
          <a:bodyPr rot="2700000" vert="horz"/>
          <a:lstStyle/>
          <a:p>
            <a:pPr>
              <a:defRPr sz="10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2"/>
        <c:noMultiLvlLbl val="0"/>
      </c:catAx>
      <c:valAx>
        <c:axId val="1"/>
        <c:scaling>
          <c:orientation val="minMax"/>
        </c:scaling>
        <c:delete val="0"/>
        <c:axPos val="l"/>
        <c:majorGridlines/>
        <c:title>
          <c:tx>
            <c:rich>
              <a:bodyPr rot="0" vert="horz"/>
              <a:lstStyle/>
              <a:p>
                <a:pPr algn="ctr">
                  <a:defRPr sz="1000" b="0" i="0" u="none" strike="noStrike" baseline="0">
                    <a:solidFill>
                      <a:srgbClr val="000000"/>
                    </a:solidFill>
                    <a:latin typeface="Arial"/>
                    <a:ea typeface="Arial"/>
                    <a:cs typeface="Arial"/>
                  </a:defRPr>
                </a:pPr>
                <a:r>
                  <a:rPr lang="en-US"/>
                  <a:t>Response rate (%)</a:t>
                </a:r>
              </a:p>
            </c:rich>
          </c:tx>
          <c:layout>
            <c:manualLayout>
              <c:xMode val="edge"/>
              <c:yMode val="edge"/>
              <c:x val="1.396802998804356E-3"/>
              <c:y val="1.6108379172909901E-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1466322655"/>
        <c:crosses val="autoZero"/>
        <c:crossBetween val="midCat"/>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4248079"/>
        <c:axId val="1"/>
      </c:barChart>
      <c:catAx>
        <c:axId val="1464248079"/>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4248079"/>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&amp;F</c:oddHeader>
      <c:oddFooter>Page &amp;P</c:oddFooter>
    </c:headerFooter>
    <c:pageMargins b="1" l="0.75000000000000022" r="0.75000000000000022" t="1" header="0.5" footer="0.5"/>
    <c:pageSetup paperSize="9" orientation="portrait" horizontalDpi="-4" verticalDpi="-4"/>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07631"/>
        <c:axId val="1"/>
      </c:barChart>
      <c:catAx>
        <c:axId val="1466307631"/>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07631"/>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08559"/>
        <c:axId val="1"/>
      </c:barChart>
      <c:catAx>
        <c:axId val="1466308559"/>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08559"/>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08095"/>
        <c:axId val="1"/>
      </c:barChart>
      <c:catAx>
        <c:axId val="1466308095"/>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08095"/>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09487"/>
        <c:axId val="1"/>
      </c:barChart>
      <c:catAx>
        <c:axId val="1466309487"/>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09487"/>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11343"/>
        <c:axId val="1"/>
      </c:barChart>
      <c:catAx>
        <c:axId val="1466311343"/>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11343"/>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0</xdr:colOff>
      <xdr:row>1</xdr:row>
      <xdr:rowOff>0</xdr:rowOff>
    </xdr:to>
    <xdr:pic>
      <xdr:nvPicPr>
        <xdr:cNvPr id="7609" name="Picture 1" descr="National Statistics">
          <a:extLst>
            <a:ext uri="{FF2B5EF4-FFF2-40B4-BE49-F238E27FC236}">
              <a16:creationId xmlns:a16="http://schemas.microsoft.com/office/drawing/2014/main" id="{07661F6C-8EB2-D9CF-2B41-CDD4CF9566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6670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295275</xdr:colOff>
      <xdr:row>57</xdr:row>
      <xdr:rowOff>228600</xdr:rowOff>
    </xdr:from>
    <xdr:to>
      <xdr:col>13</xdr:col>
      <xdr:colOff>1066800</xdr:colOff>
      <xdr:row>85</xdr:row>
      <xdr:rowOff>228600</xdr:rowOff>
    </xdr:to>
    <xdr:graphicFrame macro="">
      <xdr:nvGraphicFramePr>
        <xdr:cNvPr id="2470" name="Chart 1">
          <a:extLst>
            <a:ext uri="{FF2B5EF4-FFF2-40B4-BE49-F238E27FC236}">
              <a16:creationId xmlns:a16="http://schemas.microsoft.com/office/drawing/2014/main" id="{7FC7DCC4-760F-B4E8-601D-C6AFAF7C0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0</xdr:col>
      <xdr:colOff>0</xdr:colOff>
      <xdr:row>4</xdr:row>
      <xdr:rowOff>0</xdr:rowOff>
    </xdr:to>
    <xdr:graphicFrame macro="">
      <xdr:nvGraphicFramePr>
        <xdr:cNvPr id="30497" name="Chart 7">
          <a:extLst>
            <a:ext uri="{FF2B5EF4-FFF2-40B4-BE49-F238E27FC236}">
              <a16:creationId xmlns:a16="http://schemas.microsoft.com/office/drawing/2014/main" id="{88C26D92-5C45-11AB-5370-20F2D73F0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0</xdr:rowOff>
    </xdr:from>
    <xdr:to>
      <xdr:col>0</xdr:col>
      <xdr:colOff>0</xdr:colOff>
      <xdr:row>30</xdr:row>
      <xdr:rowOff>0</xdr:rowOff>
    </xdr:to>
    <xdr:graphicFrame macro="">
      <xdr:nvGraphicFramePr>
        <xdr:cNvPr id="30498" name="Chart 18">
          <a:extLst>
            <a:ext uri="{FF2B5EF4-FFF2-40B4-BE49-F238E27FC236}">
              <a16:creationId xmlns:a16="http://schemas.microsoft.com/office/drawing/2014/main" id="{2BBB6E9F-D435-287A-212B-0AD91488E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0.06494</cdr:x>
      <cdr:y>0.55069</cdr:y>
    </cdr:from>
    <cdr:to>
      <cdr:x>0.90918</cdr:x>
      <cdr:y>0.92723</cdr:y>
    </cdr:to>
    <cdr:sp macro="" textlink="">
      <cdr:nvSpPr>
        <cdr:cNvPr id="2049" name="Text 1"/>
        <cdr:cNvSpPr txBox="1">
          <a:spLocks xmlns:a="http://schemas.openxmlformats.org/drawingml/2006/main" noChangeArrowheads="1"/>
        </cdr:cNvSpPr>
      </cdr:nvSpPr>
      <cdr:spPr bwMode="auto">
        <a:xfrm xmlns:a="http://schemas.openxmlformats.org/drawingml/2006/main">
          <a:off x="50800" y="407061"/>
          <a:ext cx="619189" cy="276170"/>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1.3</a:t>
          </a:r>
        </a:p>
      </cdr:txBody>
    </cdr:sp>
  </cdr:relSizeAnchor>
</c:userShapes>
</file>

<file path=xl/drawings/drawing5.xml><?xml version="1.0" encoding="utf-8"?>
<c:userShapes xmlns:c="http://schemas.openxmlformats.org/drawingml/2006/chart">
  <cdr:relSizeAnchor xmlns:cdr="http://schemas.openxmlformats.org/drawingml/2006/chartDrawing">
    <cdr:from>
      <cdr:x>0.06494</cdr:x>
      <cdr:y>0.55069</cdr:y>
    </cdr:from>
    <cdr:to>
      <cdr:x>0.90918</cdr:x>
      <cdr:y>0.92723</cdr:y>
    </cdr:to>
    <cdr:sp macro="" textlink="">
      <cdr:nvSpPr>
        <cdr:cNvPr id="3073" name="Text 1"/>
        <cdr:cNvSpPr txBox="1">
          <a:spLocks xmlns:a="http://schemas.openxmlformats.org/drawingml/2006/main" noChangeArrowheads="1"/>
        </cdr:cNvSpPr>
      </cdr:nvSpPr>
      <cdr:spPr bwMode="auto">
        <a:xfrm xmlns:a="http://schemas.openxmlformats.org/drawingml/2006/main">
          <a:off x="50800" y="407061"/>
          <a:ext cx="619189" cy="276170"/>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1.3</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1</xdr:row>
      <xdr:rowOff>0</xdr:rowOff>
    </xdr:to>
    <xdr:sp macro="" textlink="">
      <xdr:nvSpPr>
        <xdr:cNvPr id="2" name="Text 10">
          <a:extLst>
            <a:ext uri="{FF2B5EF4-FFF2-40B4-BE49-F238E27FC236}">
              <a16:creationId xmlns:a16="http://schemas.microsoft.com/office/drawing/2014/main" id="{974D49BB-8020-C5C2-9273-E6D62DD03BB0}"/>
            </a:ext>
          </a:extLst>
        </xdr:cNvPr>
        <xdr:cNvSpPr txBox="1">
          <a:spLocks noChangeArrowheads="1"/>
        </xdr:cNvSpPr>
      </xdr:nvSpPr>
      <xdr:spPr bwMode="auto">
        <a:xfrm>
          <a:off x="0" y="0"/>
          <a:ext cx="0" cy="438150"/>
        </a:xfrm>
        <a:prstGeom prst="rect">
          <a:avLst/>
        </a:prstGeom>
        <a:solidFill>
          <a:srgbClr val="FFFFFF"/>
        </a:solidFill>
        <a:ln w="1">
          <a:noFill/>
          <a:miter lim="800000"/>
          <a:headEnd/>
          <a:tailEnd/>
        </a:ln>
      </xdr:spPr>
      <xdr:txBody>
        <a:bodyPr vertOverflow="clip" wrap="square" lIns="73152" tIns="0" rIns="0" bIns="59436" anchor="b" upright="1"/>
        <a:lstStyle/>
        <a:p>
          <a:pPr algn="l" rtl="0">
            <a:defRPr sz="1000"/>
          </a:pPr>
          <a:r>
            <a:rPr lang="en-GB" sz="3600" b="1" i="0" u="none" strike="noStrike" baseline="0">
              <a:solidFill>
                <a:srgbClr val="000000"/>
              </a:solidFill>
              <a:latin typeface="Helvetica"/>
              <a:cs typeface="Helvetica"/>
            </a:rPr>
            <a:t>9.2</a:t>
          </a:r>
        </a:p>
      </xdr:txBody>
    </xdr:sp>
    <xdr:clientData/>
  </xdr:twoCellAnchor>
  <xdr:twoCellAnchor>
    <xdr:from>
      <xdr:col>0</xdr:col>
      <xdr:colOff>0</xdr:colOff>
      <xdr:row>39</xdr:row>
      <xdr:rowOff>0</xdr:rowOff>
    </xdr:from>
    <xdr:to>
      <xdr:col>0</xdr:col>
      <xdr:colOff>0</xdr:colOff>
      <xdr:row>39</xdr:row>
      <xdr:rowOff>0</xdr:rowOff>
    </xdr:to>
    <xdr:graphicFrame macro="">
      <xdr:nvGraphicFramePr>
        <xdr:cNvPr id="2583197" name="Chart 12">
          <a:extLst>
            <a:ext uri="{FF2B5EF4-FFF2-40B4-BE49-F238E27FC236}">
              <a16:creationId xmlns:a16="http://schemas.microsoft.com/office/drawing/2014/main" id="{2B595036-8FFA-0323-B290-2BF2161C3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0</xdr:rowOff>
    </xdr:from>
    <xdr:to>
      <xdr:col>0</xdr:col>
      <xdr:colOff>0</xdr:colOff>
      <xdr:row>39</xdr:row>
      <xdr:rowOff>0</xdr:rowOff>
    </xdr:to>
    <xdr:sp macro="" textlink="">
      <xdr:nvSpPr>
        <xdr:cNvPr id="4" name="Text 13">
          <a:extLst>
            <a:ext uri="{FF2B5EF4-FFF2-40B4-BE49-F238E27FC236}">
              <a16:creationId xmlns:a16="http://schemas.microsoft.com/office/drawing/2014/main" id="{483B160D-746A-0E39-5EC6-017ED8DA47A2}"/>
            </a:ext>
          </a:extLst>
        </xdr:cNvPr>
        <xdr:cNvSpPr txBox="1">
          <a:spLocks noChangeArrowheads="1"/>
        </xdr:cNvSpPr>
      </xdr:nvSpPr>
      <xdr:spPr bwMode="auto">
        <a:xfrm>
          <a:off x="0" y="4991100"/>
          <a:ext cx="0" cy="0"/>
        </a:xfrm>
        <a:prstGeom prst="rect">
          <a:avLst/>
        </a:prstGeom>
        <a:solidFill>
          <a:srgbClr val="FFFFFF"/>
        </a:solidFill>
        <a:ln w="1">
          <a:noFill/>
          <a:miter lim="800000"/>
          <a:headEnd/>
          <a:tailEnd/>
        </a:ln>
      </xdr:spPr>
      <xdr:txBody>
        <a:bodyPr vertOverflow="clip" wrap="square" lIns="73152" tIns="0" rIns="0" bIns="59436" anchor="b" upright="1"/>
        <a:lstStyle/>
        <a:p>
          <a:pPr algn="l" rtl="0">
            <a:defRPr sz="1000"/>
          </a:pPr>
          <a:r>
            <a:rPr lang="en-GB" sz="3600" b="1" i="0" u="none" strike="noStrike" baseline="0">
              <a:solidFill>
                <a:srgbClr val="000000"/>
              </a:solidFill>
              <a:latin typeface="Helvetica"/>
              <a:cs typeface="Helvetica"/>
            </a:rPr>
            <a:t>1.3</a:t>
          </a:r>
        </a:p>
      </xdr:txBody>
    </xdr:sp>
    <xdr:clientData/>
  </xdr:twoCellAnchor>
  <xdr:twoCellAnchor>
    <xdr:from>
      <xdr:col>0</xdr:col>
      <xdr:colOff>0</xdr:colOff>
      <xdr:row>39</xdr:row>
      <xdr:rowOff>0</xdr:rowOff>
    </xdr:from>
    <xdr:to>
      <xdr:col>0</xdr:col>
      <xdr:colOff>0</xdr:colOff>
      <xdr:row>39</xdr:row>
      <xdr:rowOff>0</xdr:rowOff>
    </xdr:to>
    <xdr:graphicFrame macro="">
      <xdr:nvGraphicFramePr>
        <xdr:cNvPr id="2583199" name="Chart 15">
          <a:extLst>
            <a:ext uri="{FF2B5EF4-FFF2-40B4-BE49-F238E27FC236}">
              <a16:creationId xmlns:a16="http://schemas.microsoft.com/office/drawing/2014/main" id="{51D36CFB-3314-6EDD-656D-C0694EB83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0</xdr:rowOff>
    </xdr:from>
    <xdr:to>
      <xdr:col>0</xdr:col>
      <xdr:colOff>0</xdr:colOff>
      <xdr:row>39</xdr:row>
      <xdr:rowOff>0</xdr:rowOff>
    </xdr:to>
    <xdr:sp macro="" textlink="">
      <xdr:nvSpPr>
        <xdr:cNvPr id="6" name="Text 16">
          <a:extLst>
            <a:ext uri="{FF2B5EF4-FFF2-40B4-BE49-F238E27FC236}">
              <a16:creationId xmlns:a16="http://schemas.microsoft.com/office/drawing/2014/main" id="{5889E24E-2DAA-DF6E-A779-5565B3F0C3B6}"/>
            </a:ext>
          </a:extLst>
        </xdr:cNvPr>
        <xdr:cNvSpPr txBox="1">
          <a:spLocks noChangeArrowheads="1"/>
        </xdr:cNvSpPr>
      </xdr:nvSpPr>
      <xdr:spPr bwMode="auto">
        <a:xfrm>
          <a:off x="0" y="4991100"/>
          <a:ext cx="0" cy="0"/>
        </a:xfrm>
        <a:prstGeom prst="rect">
          <a:avLst/>
        </a:prstGeom>
        <a:solidFill>
          <a:srgbClr val="FFFFFF"/>
        </a:solidFill>
        <a:ln w="1">
          <a:noFill/>
          <a:miter lim="800000"/>
          <a:headEnd/>
          <a:tailEnd/>
        </a:ln>
      </xdr:spPr>
      <xdr:txBody>
        <a:bodyPr vertOverflow="clip" wrap="square" lIns="73152" tIns="0" rIns="0" bIns="59436" anchor="b" upright="1"/>
        <a:lstStyle/>
        <a:p>
          <a:pPr algn="l" rtl="0">
            <a:defRPr sz="1000"/>
          </a:pPr>
          <a:r>
            <a:rPr lang="en-GB" sz="3600" b="1" i="0" u="none" strike="noStrike" baseline="0">
              <a:solidFill>
                <a:srgbClr val="000000"/>
              </a:solidFill>
              <a:latin typeface="Helvetica"/>
              <a:cs typeface="Helvetica"/>
            </a:rPr>
            <a:t>9.3</a:t>
          </a:r>
        </a:p>
      </xdr:txBody>
    </xdr:sp>
    <xdr:clientData/>
  </xdr:twoCellAnchor>
  <xdr:twoCellAnchor>
    <xdr:from>
      <xdr:col>15</xdr:col>
      <xdr:colOff>0</xdr:colOff>
      <xdr:row>39</xdr:row>
      <xdr:rowOff>0</xdr:rowOff>
    </xdr:from>
    <xdr:to>
      <xdr:col>15</xdr:col>
      <xdr:colOff>0</xdr:colOff>
      <xdr:row>39</xdr:row>
      <xdr:rowOff>0</xdr:rowOff>
    </xdr:to>
    <xdr:graphicFrame macro="">
      <xdr:nvGraphicFramePr>
        <xdr:cNvPr id="2583201" name="Chart 20">
          <a:extLst>
            <a:ext uri="{FF2B5EF4-FFF2-40B4-BE49-F238E27FC236}">
              <a16:creationId xmlns:a16="http://schemas.microsoft.com/office/drawing/2014/main" id="{43CEDC49-07B6-437D-D4A5-AA9463F72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39</xdr:row>
      <xdr:rowOff>0</xdr:rowOff>
    </xdr:from>
    <xdr:to>
      <xdr:col>15</xdr:col>
      <xdr:colOff>0</xdr:colOff>
      <xdr:row>39</xdr:row>
      <xdr:rowOff>0</xdr:rowOff>
    </xdr:to>
    <xdr:sp macro="" textlink="">
      <xdr:nvSpPr>
        <xdr:cNvPr id="8" name="Text 21">
          <a:extLst>
            <a:ext uri="{FF2B5EF4-FFF2-40B4-BE49-F238E27FC236}">
              <a16:creationId xmlns:a16="http://schemas.microsoft.com/office/drawing/2014/main" id="{BD434BEA-0789-FDCD-2079-1248623E9720}"/>
            </a:ext>
          </a:extLst>
        </xdr:cNvPr>
        <xdr:cNvSpPr txBox="1">
          <a:spLocks noChangeArrowheads="1"/>
        </xdr:cNvSpPr>
      </xdr:nvSpPr>
      <xdr:spPr bwMode="auto">
        <a:xfrm>
          <a:off x="7600950" y="4991100"/>
          <a:ext cx="0" cy="0"/>
        </a:xfrm>
        <a:prstGeom prst="rect">
          <a:avLst/>
        </a:prstGeom>
        <a:solidFill>
          <a:srgbClr val="FFFFFF"/>
        </a:solidFill>
        <a:ln w="1">
          <a:noFill/>
          <a:miter lim="800000"/>
          <a:headEnd/>
          <a:tailEnd/>
        </a:ln>
      </xdr:spPr>
      <xdr:txBody>
        <a:bodyPr vertOverflow="clip" wrap="square" lIns="73152" tIns="0" rIns="0" bIns="59436" anchor="b" upright="1"/>
        <a:lstStyle/>
        <a:p>
          <a:pPr algn="l" rtl="0">
            <a:defRPr sz="1000"/>
          </a:pPr>
          <a:r>
            <a:rPr lang="en-GB" sz="3600" b="1" i="0" u="none" strike="noStrike" baseline="0">
              <a:solidFill>
                <a:srgbClr val="000000"/>
              </a:solidFill>
              <a:latin typeface="Helvetica"/>
              <a:cs typeface="Helvetica"/>
            </a:rPr>
            <a:t>1.3</a:t>
          </a:r>
        </a:p>
      </xdr:txBody>
    </xdr:sp>
    <xdr:clientData/>
  </xdr:twoCellAnchor>
  <xdr:twoCellAnchor>
    <xdr:from>
      <xdr:col>15</xdr:col>
      <xdr:colOff>0</xdr:colOff>
      <xdr:row>39</xdr:row>
      <xdr:rowOff>0</xdr:rowOff>
    </xdr:from>
    <xdr:to>
      <xdr:col>15</xdr:col>
      <xdr:colOff>0</xdr:colOff>
      <xdr:row>39</xdr:row>
      <xdr:rowOff>0</xdr:rowOff>
    </xdr:to>
    <xdr:graphicFrame macro="">
      <xdr:nvGraphicFramePr>
        <xdr:cNvPr id="2583203" name="Chart 22">
          <a:extLst>
            <a:ext uri="{FF2B5EF4-FFF2-40B4-BE49-F238E27FC236}">
              <a16:creationId xmlns:a16="http://schemas.microsoft.com/office/drawing/2014/main" id="{9D46BF71-D7E7-622D-A6F1-0CF307993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xdr:colOff>
      <xdr:row>8</xdr:row>
      <xdr:rowOff>19050</xdr:rowOff>
    </xdr:from>
    <xdr:to>
      <xdr:col>5</xdr:col>
      <xdr:colOff>0</xdr:colOff>
      <xdr:row>8</xdr:row>
      <xdr:rowOff>19050</xdr:rowOff>
    </xdr:to>
    <xdr:sp macro="" textlink="">
      <xdr:nvSpPr>
        <xdr:cNvPr id="2583204" name="Line 23">
          <a:extLst>
            <a:ext uri="{FF2B5EF4-FFF2-40B4-BE49-F238E27FC236}">
              <a16:creationId xmlns:a16="http://schemas.microsoft.com/office/drawing/2014/main" id="{A1F6B7CA-E9D4-205C-D0F3-13C9B96CE5D1}"/>
            </a:ext>
          </a:extLst>
        </xdr:cNvPr>
        <xdr:cNvSpPr>
          <a:spLocks noChangeShapeType="1"/>
        </xdr:cNvSpPr>
      </xdr:nvSpPr>
      <xdr:spPr bwMode="auto">
        <a:xfrm>
          <a:off x="1952625" y="1219200"/>
          <a:ext cx="1666875"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8</xdr:row>
      <xdr:rowOff>0</xdr:rowOff>
    </xdr:from>
    <xdr:to>
      <xdr:col>10</xdr:col>
      <xdr:colOff>0</xdr:colOff>
      <xdr:row>8</xdr:row>
      <xdr:rowOff>0</xdr:rowOff>
    </xdr:to>
    <xdr:sp macro="" textlink="">
      <xdr:nvSpPr>
        <xdr:cNvPr id="2583205" name="Line 24">
          <a:extLst>
            <a:ext uri="{FF2B5EF4-FFF2-40B4-BE49-F238E27FC236}">
              <a16:creationId xmlns:a16="http://schemas.microsoft.com/office/drawing/2014/main" id="{900D2F9F-FAFE-1ABE-828E-37F814AEFF69}"/>
            </a:ext>
          </a:extLst>
        </xdr:cNvPr>
        <xdr:cNvSpPr>
          <a:spLocks noChangeShapeType="1"/>
        </xdr:cNvSpPr>
      </xdr:nvSpPr>
      <xdr:spPr bwMode="auto">
        <a:xfrm>
          <a:off x="5372100" y="1200150"/>
          <a:ext cx="167640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8</xdr:row>
      <xdr:rowOff>0</xdr:rowOff>
    </xdr:from>
    <xdr:to>
      <xdr:col>13</xdr:col>
      <xdr:colOff>428625</xdr:colOff>
      <xdr:row>8</xdr:row>
      <xdr:rowOff>0</xdr:rowOff>
    </xdr:to>
    <xdr:sp macro="" textlink="">
      <xdr:nvSpPr>
        <xdr:cNvPr id="2583206" name="Line 26">
          <a:extLst>
            <a:ext uri="{FF2B5EF4-FFF2-40B4-BE49-F238E27FC236}">
              <a16:creationId xmlns:a16="http://schemas.microsoft.com/office/drawing/2014/main" id="{56F4EE13-1A78-C7A9-2DDB-112EA9C1680E}"/>
            </a:ext>
          </a:extLst>
        </xdr:cNvPr>
        <xdr:cNvSpPr>
          <a:spLocks noChangeShapeType="1"/>
        </xdr:cNvSpPr>
      </xdr:nvSpPr>
      <xdr:spPr bwMode="auto">
        <a:xfrm>
          <a:off x="8810625" y="1200150"/>
          <a:ext cx="41910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5</xdr:row>
      <xdr:rowOff>47625</xdr:rowOff>
    </xdr:from>
    <xdr:to>
      <xdr:col>6</xdr:col>
      <xdr:colOff>561975</xdr:colOff>
      <xdr:row>5</xdr:row>
      <xdr:rowOff>47625</xdr:rowOff>
    </xdr:to>
    <xdr:sp macro="" textlink="">
      <xdr:nvSpPr>
        <xdr:cNvPr id="2583207" name="Line 27">
          <a:extLst>
            <a:ext uri="{FF2B5EF4-FFF2-40B4-BE49-F238E27FC236}">
              <a16:creationId xmlns:a16="http://schemas.microsoft.com/office/drawing/2014/main" id="{0E4F9418-675A-3ED3-7DFB-A858C6417C87}"/>
            </a:ext>
          </a:extLst>
        </xdr:cNvPr>
        <xdr:cNvSpPr>
          <a:spLocks noChangeShapeType="1"/>
        </xdr:cNvSpPr>
      </xdr:nvSpPr>
      <xdr:spPr bwMode="auto">
        <a:xfrm>
          <a:off x="1943100" y="752475"/>
          <a:ext cx="3076575"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19050</xdr:colOff>
      <xdr:row>5</xdr:row>
      <xdr:rowOff>47625</xdr:rowOff>
    </xdr:from>
    <xdr:to>
      <xdr:col>11</xdr:col>
      <xdr:colOff>590550</xdr:colOff>
      <xdr:row>5</xdr:row>
      <xdr:rowOff>47625</xdr:rowOff>
    </xdr:to>
    <xdr:sp macro="" textlink="">
      <xdr:nvSpPr>
        <xdr:cNvPr id="2583208" name="Line 28">
          <a:extLst>
            <a:ext uri="{FF2B5EF4-FFF2-40B4-BE49-F238E27FC236}">
              <a16:creationId xmlns:a16="http://schemas.microsoft.com/office/drawing/2014/main" id="{5FA06AED-12E9-5F03-4F4E-B40D24EE8FC5}"/>
            </a:ext>
          </a:extLst>
        </xdr:cNvPr>
        <xdr:cNvSpPr>
          <a:spLocks noChangeShapeType="1"/>
        </xdr:cNvSpPr>
      </xdr:nvSpPr>
      <xdr:spPr bwMode="auto">
        <a:xfrm>
          <a:off x="5391150" y="752475"/>
          <a:ext cx="308610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19050</xdr:colOff>
      <xdr:row>5</xdr:row>
      <xdr:rowOff>47625</xdr:rowOff>
    </xdr:from>
    <xdr:to>
      <xdr:col>15</xdr:col>
      <xdr:colOff>590550</xdr:colOff>
      <xdr:row>5</xdr:row>
      <xdr:rowOff>47625</xdr:rowOff>
    </xdr:to>
    <xdr:sp macro="" textlink="">
      <xdr:nvSpPr>
        <xdr:cNvPr id="2583209" name="Line 29">
          <a:extLst>
            <a:ext uri="{FF2B5EF4-FFF2-40B4-BE49-F238E27FC236}">
              <a16:creationId xmlns:a16="http://schemas.microsoft.com/office/drawing/2014/main" id="{118C88B2-DDF3-10C8-FA3D-EA0FB0F5C56E}"/>
            </a:ext>
          </a:extLst>
        </xdr:cNvPr>
        <xdr:cNvSpPr>
          <a:spLocks noChangeShapeType="1"/>
        </xdr:cNvSpPr>
      </xdr:nvSpPr>
      <xdr:spPr bwMode="auto">
        <a:xfrm>
          <a:off x="8820150" y="752475"/>
          <a:ext cx="243840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c:userShapes xmlns:c="http://schemas.openxmlformats.org/drawingml/2006/chart">
  <cdr:relSizeAnchor xmlns:cdr="http://schemas.openxmlformats.org/drawingml/2006/chartDrawing">
    <cdr:from>
      <cdr:x>0.06494</cdr:x>
      <cdr:y>0.55199</cdr:y>
    </cdr:from>
    <cdr:to>
      <cdr:x>0.71427</cdr:x>
      <cdr:y>0.83761</cdr:y>
    </cdr:to>
    <cdr:sp macro="" textlink="">
      <cdr:nvSpPr>
        <cdr:cNvPr id="2049" name="Text 1"/>
        <cdr:cNvSpPr txBox="1">
          <a:spLocks xmlns:a="http://schemas.openxmlformats.org/drawingml/2006/main" noChangeArrowheads="1"/>
        </cdr:cNvSpPr>
      </cdr:nvSpPr>
      <cdr:spPr bwMode="auto">
        <a:xfrm xmlns:a="http://schemas.openxmlformats.org/drawingml/2006/main">
          <a:off x="50800" y="408018"/>
          <a:ext cx="476238" cy="20948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1.1</a:t>
          </a:r>
        </a:p>
      </cdr:txBody>
    </cdr:sp>
  </cdr:relSizeAnchor>
</c:userShapes>
</file>

<file path=xl/drawings/drawing8.xml><?xml version="1.0" encoding="utf-8"?>
<c:userShapes xmlns:c="http://schemas.openxmlformats.org/drawingml/2006/chart">
  <cdr:relSizeAnchor xmlns:cdr="http://schemas.openxmlformats.org/drawingml/2006/chartDrawing">
    <cdr:from>
      <cdr:x>0.06494</cdr:x>
      <cdr:y>0.55199</cdr:y>
    </cdr:from>
    <cdr:to>
      <cdr:x>0.71427</cdr:x>
      <cdr:y>0.83761</cdr:y>
    </cdr:to>
    <cdr:sp macro="" textlink="">
      <cdr:nvSpPr>
        <cdr:cNvPr id="3073" name="Text 1"/>
        <cdr:cNvSpPr txBox="1">
          <a:spLocks xmlns:a="http://schemas.openxmlformats.org/drawingml/2006/main" noChangeArrowheads="1"/>
        </cdr:cNvSpPr>
      </cdr:nvSpPr>
      <cdr:spPr bwMode="auto">
        <a:xfrm xmlns:a="http://schemas.openxmlformats.org/drawingml/2006/main">
          <a:off x="50800" y="408018"/>
          <a:ext cx="476238" cy="20948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1.1</a:t>
          </a:r>
        </a:p>
      </cdr:txBody>
    </cdr:sp>
  </cdr:relSizeAnchor>
</c:userShapes>
</file>

<file path=xl/drawings/drawing9.xml><?xml version="1.0" encoding="utf-8"?>
<c:userShapes xmlns:c="http://schemas.openxmlformats.org/drawingml/2006/chart">
  <cdr:relSizeAnchor xmlns:cdr="http://schemas.openxmlformats.org/drawingml/2006/chartDrawing">
    <cdr:from>
      <cdr:x>0.06494</cdr:x>
      <cdr:y>0.55003</cdr:y>
    </cdr:from>
    <cdr:to>
      <cdr:x>0.35056</cdr:x>
      <cdr:y>0.65401</cdr:y>
    </cdr:to>
    <cdr:sp macro="" textlink="">
      <cdr:nvSpPr>
        <cdr:cNvPr id="4097" name="Text 1"/>
        <cdr:cNvSpPr txBox="1">
          <a:spLocks xmlns:a="http://schemas.openxmlformats.org/drawingml/2006/main" noChangeArrowheads="1"/>
        </cdr:cNvSpPr>
      </cdr:nvSpPr>
      <cdr:spPr bwMode="auto">
        <a:xfrm xmlns:a="http://schemas.openxmlformats.org/drawingml/2006/main">
          <a:off x="50800" y="406583"/>
          <a:ext cx="209481" cy="7626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1.1</a:t>
          </a:r>
        </a:p>
      </cdr:txBody>
    </cdr:sp>
  </cdr:relSizeAnchor>
</c:userShapes>
</file>

<file path=xl/drawings/drawing10.xml><?xml version="1.0" encoding="utf-8"?>
<c:userShapes xmlns:c="http://schemas.openxmlformats.org/drawingml/2006/chart">
  <cdr:relSizeAnchor xmlns:cdr="http://schemas.openxmlformats.org/drawingml/2006/chartDrawing">
    <cdr:from>
      <cdr:x>0.06494</cdr:x>
      <cdr:y>0.55003</cdr:y>
    </cdr:from>
    <cdr:to>
      <cdr:x>0.35056</cdr:x>
      <cdr:y>0.65401</cdr:y>
    </cdr:to>
    <cdr:sp macro="" textlink="">
      <cdr:nvSpPr>
        <cdr:cNvPr id="5121" name="Text 1"/>
        <cdr:cNvSpPr txBox="1">
          <a:spLocks xmlns:a="http://schemas.openxmlformats.org/drawingml/2006/main" noChangeArrowheads="1"/>
        </cdr:cNvSpPr>
      </cdr:nvSpPr>
      <cdr:spPr bwMode="auto">
        <a:xfrm xmlns:a="http://schemas.openxmlformats.org/drawingml/2006/main">
          <a:off x="50800" y="406583"/>
          <a:ext cx="209481" cy="7626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1.1</a:t>
          </a:r>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7"/>
  <sheetViews>
    <sheetView tabSelected="1" zoomScaleNormal="100" workbookViewId="0">
      <selection activeCell="Q22" sqref="Q22"/>
    </sheetView>
  </sheetViews>
  <sheetFormatPr defaultRowHeight="14.4" x14ac:dyDescent="0.3"/>
  <cols>
    <col min="1" max="1" width="1.109375" customWidth="1"/>
    <col min="2" max="2" width="19.44140625" style="78" customWidth="1"/>
    <col min="3" max="3" width="1.109375" customWidth="1"/>
    <col min="4" max="4" width="9.109375" style="78" customWidth="1"/>
    <col min="17" max="17" width="13.109375" customWidth="1"/>
    <col min="26" max="39" width="9.109375" style="79" customWidth="1"/>
  </cols>
  <sheetData>
    <row r="1" spans="1:25" ht="42" customHeight="1" x14ac:dyDescent="0.3">
      <c r="A1" s="79"/>
      <c r="B1" s="81"/>
      <c r="C1" s="79"/>
      <c r="D1" s="81"/>
      <c r="E1" s="79"/>
      <c r="F1" s="79"/>
      <c r="G1" s="79"/>
      <c r="H1" s="79"/>
      <c r="I1" s="79"/>
      <c r="J1" s="79"/>
      <c r="K1" s="79"/>
      <c r="L1" s="79"/>
      <c r="M1" s="79"/>
      <c r="N1" s="79"/>
      <c r="O1" s="79"/>
      <c r="P1" s="79"/>
      <c r="Q1" s="79"/>
      <c r="R1" s="79"/>
      <c r="S1" s="79"/>
      <c r="T1" s="79"/>
      <c r="U1" s="79"/>
      <c r="V1" s="79"/>
      <c r="W1" s="79"/>
      <c r="X1" s="79"/>
      <c r="Y1" s="79"/>
    </row>
    <row r="2" spans="1:25" ht="6" customHeight="1" x14ac:dyDescent="0.3">
      <c r="A2" s="79"/>
      <c r="B2" s="81"/>
      <c r="C2" s="79"/>
      <c r="D2" s="81"/>
      <c r="E2" s="79"/>
      <c r="F2" s="79"/>
      <c r="G2" s="79"/>
      <c r="H2" s="79"/>
      <c r="I2" s="79"/>
      <c r="J2" s="79"/>
      <c r="K2" s="79"/>
      <c r="L2" s="79"/>
      <c r="M2" s="79"/>
      <c r="N2" s="79"/>
      <c r="O2" s="79"/>
      <c r="P2" s="79"/>
      <c r="Q2" s="79"/>
      <c r="R2" s="79"/>
      <c r="S2" s="79"/>
      <c r="T2" s="79"/>
      <c r="U2" s="79"/>
      <c r="V2" s="79"/>
      <c r="W2" s="79"/>
      <c r="X2" s="79"/>
      <c r="Y2" s="79"/>
    </row>
    <row r="3" spans="1:25" ht="17.399999999999999" x14ac:dyDescent="0.3">
      <c r="A3" s="80" t="s">
        <v>0</v>
      </c>
      <c r="B3" s="81"/>
      <c r="C3" s="79"/>
      <c r="D3" s="81"/>
      <c r="E3" s="79"/>
      <c r="F3" s="79"/>
      <c r="G3" s="79"/>
      <c r="H3" s="79"/>
      <c r="I3" s="79"/>
      <c r="J3" s="79"/>
      <c r="K3" s="79"/>
      <c r="L3" s="79"/>
      <c r="M3" s="79"/>
      <c r="N3" s="79"/>
      <c r="O3" s="79"/>
      <c r="P3" s="79"/>
      <c r="Q3" s="79"/>
      <c r="R3" s="79"/>
      <c r="S3" s="79"/>
      <c r="T3" s="79"/>
      <c r="U3" s="79"/>
      <c r="V3" s="79"/>
      <c r="W3" s="79"/>
      <c r="X3" s="79"/>
      <c r="Y3" s="79"/>
    </row>
    <row r="4" spans="1:25" ht="6" customHeight="1" thickBot="1" x14ac:dyDescent="0.35">
      <c r="A4" s="79"/>
      <c r="B4" s="81"/>
      <c r="C4" s="79"/>
      <c r="D4" s="81"/>
      <c r="E4" s="79"/>
      <c r="F4" s="79"/>
      <c r="G4" s="79"/>
      <c r="H4" s="79"/>
      <c r="I4" s="79"/>
      <c r="J4" s="79"/>
      <c r="K4" s="79"/>
      <c r="L4" s="79"/>
      <c r="M4" s="79"/>
      <c r="N4" s="342"/>
      <c r="O4" s="342"/>
      <c r="P4" s="342"/>
      <c r="Q4" s="342"/>
      <c r="R4" s="79"/>
      <c r="S4" s="79"/>
      <c r="T4" s="79"/>
      <c r="U4" s="79"/>
      <c r="V4" s="79"/>
      <c r="W4" s="79"/>
      <c r="X4" s="79"/>
      <c r="Y4" s="79"/>
    </row>
    <row r="5" spans="1:25" ht="6" customHeight="1" thickTop="1" x14ac:dyDescent="0.3">
      <c r="A5" s="336"/>
      <c r="B5" s="337"/>
      <c r="C5" s="336"/>
      <c r="D5" s="337"/>
      <c r="E5" s="336"/>
      <c r="F5" s="336"/>
      <c r="G5" s="336"/>
      <c r="H5" s="336"/>
      <c r="I5" s="336"/>
      <c r="J5" s="336"/>
      <c r="K5" s="336"/>
      <c r="L5" s="336"/>
      <c r="M5" s="336"/>
      <c r="N5" s="79"/>
      <c r="O5" s="79"/>
      <c r="P5" s="79"/>
      <c r="Q5" s="79"/>
      <c r="R5" s="79"/>
      <c r="S5" s="79"/>
      <c r="T5" s="79"/>
      <c r="U5" s="79"/>
      <c r="V5" s="79"/>
      <c r="W5" s="79"/>
      <c r="X5" s="79"/>
      <c r="Y5" s="79"/>
    </row>
    <row r="6" spans="1:25" ht="16.5" customHeight="1" x14ac:dyDescent="0.3">
      <c r="A6" s="335"/>
      <c r="B6" s="338" t="s">
        <v>1</v>
      </c>
      <c r="C6" s="333"/>
      <c r="D6" s="338" t="s">
        <v>2</v>
      </c>
      <c r="E6" s="339"/>
      <c r="F6" s="339"/>
      <c r="G6" s="339"/>
      <c r="H6" s="340"/>
      <c r="I6" s="339"/>
      <c r="J6" s="339"/>
      <c r="K6" s="339"/>
      <c r="L6" s="339"/>
      <c r="M6" s="339"/>
      <c r="N6" s="339"/>
      <c r="O6" s="339"/>
      <c r="P6" s="339"/>
      <c r="Q6" s="339"/>
      <c r="R6" s="157"/>
      <c r="S6" s="157"/>
      <c r="T6" s="157"/>
      <c r="U6" s="79"/>
      <c r="V6" s="79"/>
      <c r="W6" s="79"/>
      <c r="X6" s="79"/>
      <c r="Y6" s="79"/>
    </row>
    <row r="7" spans="1:25" ht="6" customHeight="1" x14ac:dyDescent="0.3">
      <c r="A7" s="79"/>
      <c r="B7" s="171"/>
      <c r="C7" s="333"/>
      <c r="D7" s="171"/>
      <c r="E7" s="157"/>
      <c r="F7" s="157"/>
      <c r="G7" s="157"/>
      <c r="H7" s="157"/>
      <c r="I7" s="157"/>
      <c r="J7" s="157"/>
      <c r="K7" s="157"/>
      <c r="L7" s="157"/>
      <c r="M7" s="157"/>
      <c r="N7" s="157"/>
      <c r="O7" s="157"/>
      <c r="P7" s="157"/>
      <c r="Q7" s="157"/>
      <c r="R7" s="157"/>
      <c r="S7" s="157"/>
      <c r="T7" s="157"/>
      <c r="U7" s="79"/>
      <c r="V7" s="79"/>
      <c r="W7" s="79"/>
      <c r="X7" s="79"/>
      <c r="Y7" s="79"/>
    </row>
    <row r="8" spans="1:25" x14ac:dyDescent="0.3">
      <c r="A8" s="79"/>
      <c r="B8" s="341" t="s">
        <v>3</v>
      </c>
      <c r="C8" s="333"/>
      <c r="D8" s="171" t="s">
        <v>415</v>
      </c>
      <c r="E8" s="157"/>
      <c r="F8" s="157"/>
      <c r="G8" s="157"/>
      <c r="H8" s="157"/>
      <c r="I8" s="157"/>
      <c r="J8" s="157"/>
      <c r="K8" s="157"/>
      <c r="L8" s="157"/>
      <c r="M8" s="157"/>
      <c r="N8" s="157"/>
      <c r="O8" s="157"/>
      <c r="P8" s="157"/>
      <c r="Q8" s="157"/>
      <c r="R8" s="157"/>
      <c r="S8" s="157"/>
      <c r="T8" s="157"/>
      <c r="U8" s="79"/>
      <c r="V8" s="79"/>
      <c r="W8" s="79"/>
      <c r="X8" s="79"/>
      <c r="Y8" s="79"/>
    </row>
    <row r="9" spans="1:25" x14ac:dyDescent="0.3">
      <c r="A9" s="79"/>
      <c r="B9" s="341" t="s">
        <v>4</v>
      </c>
      <c r="C9" s="333"/>
      <c r="D9" s="171" t="s">
        <v>416</v>
      </c>
      <c r="E9" s="157"/>
      <c r="F9" s="157"/>
      <c r="G9" s="157"/>
      <c r="H9" s="157"/>
      <c r="I9" s="157"/>
      <c r="J9" s="157"/>
      <c r="K9" s="157"/>
      <c r="L9" s="157"/>
      <c r="M9" s="157"/>
      <c r="N9" s="157"/>
      <c r="O9" s="157"/>
      <c r="P9" s="157"/>
      <c r="Q9" s="157"/>
      <c r="R9" s="157"/>
      <c r="S9" s="157"/>
      <c r="T9" s="157"/>
      <c r="U9" s="79"/>
      <c r="V9" s="79"/>
      <c r="W9" s="79"/>
      <c r="X9" s="79"/>
      <c r="Y9" s="79"/>
    </row>
    <row r="10" spans="1:25" x14ac:dyDescent="0.3">
      <c r="A10" s="79"/>
      <c r="B10" s="341" t="s">
        <v>5</v>
      </c>
      <c r="C10" s="333"/>
      <c r="D10" s="171" t="s">
        <v>417</v>
      </c>
      <c r="E10" s="157"/>
      <c r="F10" s="157"/>
      <c r="G10" s="157"/>
      <c r="H10" s="157"/>
      <c r="I10" s="157"/>
      <c r="J10" s="157"/>
      <c r="K10" s="157"/>
      <c r="L10" s="157"/>
      <c r="M10" s="157"/>
      <c r="N10" s="157"/>
      <c r="O10" s="157"/>
      <c r="P10" s="157"/>
      <c r="Q10" s="157"/>
      <c r="R10" s="157"/>
      <c r="S10" s="157"/>
      <c r="T10" s="157"/>
      <c r="U10" s="79"/>
      <c r="V10" s="79"/>
      <c r="W10" s="79"/>
      <c r="X10" s="79"/>
      <c r="Y10" s="79"/>
    </row>
    <row r="11" spans="1:25" x14ac:dyDescent="0.3">
      <c r="A11" s="79"/>
      <c r="B11" s="341" t="s">
        <v>6</v>
      </c>
      <c r="C11" s="333"/>
      <c r="D11" s="171" t="s">
        <v>418</v>
      </c>
      <c r="E11" s="157"/>
      <c r="F11" s="157"/>
      <c r="G11" s="157"/>
      <c r="H11" s="157"/>
      <c r="I11" s="157"/>
      <c r="J11" s="157"/>
      <c r="K11" s="157"/>
      <c r="L11" s="157"/>
      <c r="M11" s="157"/>
      <c r="N11" s="157"/>
      <c r="O11" s="157"/>
      <c r="P11" s="157"/>
      <c r="Q11" s="157"/>
      <c r="R11" s="157"/>
      <c r="S11" s="157"/>
      <c r="T11" s="157"/>
      <c r="U11" s="79"/>
      <c r="V11" s="79"/>
      <c r="W11" s="79"/>
      <c r="X11" s="79"/>
      <c r="Y11" s="79"/>
    </row>
    <row r="12" spans="1:25" x14ac:dyDescent="0.3">
      <c r="A12" s="79"/>
      <c r="B12" s="341" t="s">
        <v>7</v>
      </c>
      <c r="C12" s="333"/>
      <c r="D12" s="171" t="s">
        <v>419</v>
      </c>
      <c r="E12" s="157"/>
      <c r="F12" s="157"/>
      <c r="G12" s="157"/>
      <c r="H12" s="157"/>
      <c r="I12" s="157"/>
      <c r="J12" s="157"/>
      <c r="K12" s="157"/>
      <c r="L12" s="157"/>
      <c r="M12" s="157"/>
      <c r="N12" s="157"/>
      <c r="O12" s="157"/>
      <c r="P12" s="157"/>
      <c r="Q12" s="157"/>
      <c r="R12" s="157"/>
      <c r="S12" s="157"/>
      <c r="T12" s="157"/>
      <c r="U12" s="79"/>
      <c r="V12" s="79"/>
      <c r="W12" s="79"/>
      <c r="X12" s="79"/>
      <c r="Y12" s="79"/>
    </row>
    <row r="13" spans="1:25" x14ac:dyDescent="0.3">
      <c r="A13" s="79"/>
      <c r="B13" s="341" t="s">
        <v>8</v>
      </c>
      <c r="C13" s="333"/>
      <c r="D13" s="171" t="s">
        <v>420</v>
      </c>
      <c r="E13" s="157"/>
      <c r="F13" s="157"/>
      <c r="G13" s="157"/>
      <c r="H13" s="157"/>
      <c r="I13" s="157"/>
      <c r="J13" s="157"/>
      <c r="K13" s="157"/>
      <c r="L13" s="157"/>
      <c r="M13" s="157"/>
      <c r="N13" s="157"/>
      <c r="O13" s="157"/>
      <c r="P13" s="157"/>
      <c r="Q13" s="157"/>
      <c r="R13" s="157"/>
      <c r="S13" s="157"/>
      <c r="T13" s="157"/>
      <c r="U13" s="79"/>
      <c r="V13" s="79"/>
      <c r="W13" s="79"/>
      <c r="X13" s="79"/>
      <c r="Y13" s="79"/>
    </row>
    <row r="14" spans="1:25" x14ac:dyDescent="0.3">
      <c r="A14" s="79"/>
      <c r="B14" s="341" t="s">
        <v>9</v>
      </c>
      <c r="C14" s="333"/>
      <c r="D14" s="171" t="s">
        <v>421</v>
      </c>
      <c r="E14" s="157"/>
      <c r="F14" s="157"/>
      <c r="G14" s="157"/>
      <c r="H14" s="157"/>
      <c r="I14" s="157"/>
      <c r="J14" s="157"/>
      <c r="K14" s="157"/>
      <c r="L14" s="157"/>
      <c r="M14" s="157"/>
      <c r="N14" s="157"/>
      <c r="O14" s="157"/>
      <c r="P14" s="157"/>
      <c r="Q14" s="157"/>
      <c r="R14" s="157"/>
      <c r="S14" s="157"/>
      <c r="T14" s="157"/>
      <c r="U14" s="79"/>
      <c r="V14" s="79"/>
      <c r="W14" s="79"/>
      <c r="X14" s="79"/>
      <c r="Y14" s="79"/>
    </row>
    <row r="15" spans="1:25" x14ac:dyDescent="0.3">
      <c r="A15" s="79"/>
      <c r="B15" s="341" t="s">
        <v>10</v>
      </c>
      <c r="C15" s="333"/>
      <c r="D15" s="171" t="s">
        <v>422</v>
      </c>
      <c r="E15" s="157"/>
      <c r="F15" s="157"/>
      <c r="G15" s="157"/>
      <c r="H15" s="157"/>
      <c r="I15" s="157"/>
      <c r="J15" s="157"/>
      <c r="K15" s="157"/>
      <c r="L15" s="157"/>
      <c r="M15" s="157"/>
      <c r="N15" s="157"/>
      <c r="O15" s="157"/>
      <c r="P15" s="157"/>
      <c r="Q15" s="157"/>
      <c r="R15" s="157"/>
      <c r="S15" s="157"/>
      <c r="T15" s="157"/>
      <c r="U15" s="79"/>
      <c r="V15" s="79"/>
      <c r="W15" s="79"/>
      <c r="X15" s="79"/>
      <c r="Y15" s="79"/>
    </row>
    <row r="16" spans="1:25" x14ac:dyDescent="0.3">
      <c r="A16" s="79"/>
      <c r="B16" s="341" t="s">
        <v>11</v>
      </c>
      <c r="C16" s="333"/>
      <c r="D16" s="171" t="s">
        <v>423</v>
      </c>
      <c r="E16" s="157"/>
      <c r="F16" s="157"/>
      <c r="G16" s="157"/>
      <c r="H16" s="157"/>
      <c r="I16" s="157"/>
      <c r="J16" s="157"/>
      <c r="K16" s="157"/>
      <c r="L16" s="157"/>
      <c r="M16" s="157"/>
      <c r="N16" s="157"/>
      <c r="O16" s="157"/>
      <c r="P16" s="157"/>
      <c r="Q16" s="157"/>
      <c r="R16" s="157"/>
      <c r="S16" s="157"/>
      <c r="T16" s="157"/>
      <c r="U16" s="79"/>
      <c r="V16" s="79"/>
      <c r="W16" s="79"/>
      <c r="X16" s="79"/>
      <c r="Y16" s="79"/>
    </row>
    <row r="17" spans="1:25" x14ac:dyDescent="0.3">
      <c r="A17" s="79"/>
      <c r="B17" s="341" t="s">
        <v>12</v>
      </c>
      <c r="C17" s="333"/>
      <c r="D17" s="171" t="s">
        <v>424</v>
      </c>
      <c r="E17" s="157"/>
      <c r="F17" s="157"/>
      <c r="G17" s="157"/>
      <c r="H17" s="157"/>
      <c r="I17" s="157"/>
      <c r="J17" s="157"/>
      <c r="K17" s="157"/>
      <c r="L17" s="157"/>
      <c r="M17" s="157"/>
      <c r="N17" s="157"/>
      <c r="O17" s="157"/>
      <c r="P17" s="157"/>
      <c r="Q17" s="157"/>
      <c r="R17" s="157"/>
      <c r="S17" s="157"/>
      <c r="T17" s="157"/>
      <c r="U17" s="79"/>
      <c r="V17" s="79"/>
      <c r="W17" s="79"/>
      <c r="X17" s="79"/>
      <c r="Y17" s="79"/>
    </row>
    <row r="18" spans="1:25" x14ac:dyDescent="0.3">
      <c r="A18" s="79"/>
      <c r="B18" s="341" t="s">
        <v>13</v>
      </c>
      <c r="C18" s="333"/>
      <c r="D18" s="171" t="s">
        <v>425</v>
      </c>
      <c r="E18" s="157"/>
      <c r="F18" s="157"/>
      <c r="G18" s="157"/>
      <c r="H18" s="157"/>
      <c r="I18" s="157"/>
      <c r="J18" s="157"/>
      <c r="K18" s="157"/>
      <c r="L18" s="157"/>
      <c r="M18" s="157"/>
      <c r="N18" s="157"/>
      <c r="O18" s="157"/>
      <c r="P18" s="157"/>
      <c r="Q18" s="157"/>
      <c r="R18" s="157"/>
      <c r="S18" s="157"/>
      <c r="T18" s="157"/>
      <c r="U18" s="79"/>
      <c r="V18" s="79"/>
      <c r="W18" s="79"/>
      <c r="X18" s="79"/>
      <c r="Y18" s="79"/>
    </row>
    <row r="19" spans="1:25" x14ac:dyDescent="0.3">
      <c r="A19" s="79"/>
      <c r="B19" s="341" t="s">
        <v>14</v>
      </c>
      <c r="C19" s="333"/>
      <c r="D19" s="171" t="s">
        <v>426</v>
      </c>
      <c r="E19" s="157"/>
      <c r="F19" s="157"/>
      <c r="G19" s="157"/>
      <c r="H19" s="157"/>
      <c r="I19" s="157"/>
      <c r="J19" s="157"/>
      <c r="K19" s="157"/>
      <c r="L19" s="157"/>
      <c r="M19" s="157"/>
      <c r="N19" s="157"/>
      <c r="O19" s="157"/>
      <c r="P19" s="157"/>
      <c r="Q19" s="157"/>
      <c r="R19" s="157"/>
      <c r="S19" s="157"/>
      <c r="T19" s="157"/>
      <c r="U19" s="79"/>
      <c r="V19" s="79"/>
      <c r="W19" s="79"/>
      <c r="X19" s="79"/>
      <c r="Y19" s="79"/>
    </row>
    <row r="20" spans="1:25" x14ac:dyDescent="0.3">
      <c r="A20" s="79"/>
      <c r="B20" s="341" t="s">
        <v>15</v>
      </c>
      <c r="C20" s="333"/>
      <c r="D20" s="171" t="s">
        <v>427</v>
      </c>
      <c r="E20" s="157"/>
      <c r="F20" s="157"/>
      <c r="G20" s="157"/>
      <c r="H20" s="157"/>
      <c r="I20" s="157"/>
      <c r="J20" s="157"/>
      <c r="K20" s="157"/>
      <c r="L20" s="157"/>
      <c r="M20" s="157"/>
      <c r="N20" s="157"/>
      <c r="O20" s="157"/>
      <c r="P20" s="157"/>
      <c r="Q20" s="157"/>
      <c r="R20" s="157"/>
      <c r="S20" s="157"/>
      <c r="T20" s="157"/>
      <c r="U20" s="79"/>
      <c r="V20" s="79"/>
      <c r="W20" s="79"/>
      <c r="X20" s="79"/>
      <c r="Y20" s="79"/>
    </row>
    <row r="21" spans="1:25" x14ac:dyDescent="0.3">
      <c r="A21" s="79"/>
      <c r="B21" s="341" t="s">
        <v>16</v>
      </c>
      <c r="C21" s="333"/>
      <c r="D21" s="171" t="s">
        <v>428</v>
      </c>
      <c r="E21" s="157"/>
      <c r="F21" s="157"/>
      <c r="G21" s="157"/>
      <c r="H21" s="157"/>
      <c r="I21" s="157"/>
      <c r="J21" s="157"/>
      <c r="K21" s="157"/>
      <c r="L21" s="157"/>
      <c r="M21" s="157"/>
      <c r="N21" s="157"/>
      <c r="O21" s="157"/>
      <c r="P21" s="157"/>
      <c r="Q21" s="157"/>
      <c r="R21" s="157"/>
      <c r="S21" s="157"/>
      <c r="T21" s="157"/>
      <c r="U21" s="79"/>
      <c r="V21" s="79"/>
      <c r="W21" s="79"/>
      <c r="X21" s="79"/>
      <c r="Y21" s="79"/>
    </row>
    <row r="22" spans="1:25" x14ac:dyDescent="0.3">
      <c r="A22" s="79"/>
      <c r="B22" s="341" t="s">
        <v>17</v>
      </c>
      <c r="C22" s="333"/>
      <c r="D22" s="171" t="s">
        <v>429</v>
      </c>
      <c r="E22" s="157"/>
      <c r="F22" s="157"/>
      <c r="G22" s="157"/>
      <c r="H22" s="157"/>
      <c r="I22" s="157"/>
      <c r="J22" s="157"/>
      <c r="K22" s="157"/>
      <c r="L22" s="157"/>
      <c r="M22" s="157"/>
      <c r="N22" s="157"/>
      <c r="O22" s="157"/>
      <c r="P22" s="157"/>
      <c r="Q22" s="157"/>
      <c r="R22" s="157"/>
      <c r="S22" s="157"/>
      <c r="T22" s="157"/>
      <c r="U22" s="79"/>
      <c r="V22" s="79"/>
      <c r="W22" s="79"/>
      <c r="X22" s="79"/>
      <c r="Y22" s="79"/>
    </row>
    <row r="23" spans="1:25" x14ac:dyDescent="0.3">
      <c r="A23" s="79"/>
      <c r="B23" s="341" t="s">
        <v>18</v>
      </c>
      <c r="C23" s="333"/>
      <c r="D23" s="171" t="s">
        <v>430</v>
      </c>
      <c r="E23" s="157"/>
      <c r="F23" s="157"/>
      <c r="G23" s="157"/>
      <c r="H23" s="157"/>
      <c r="I23" s="157"/>
      <c r="J23" s="157"/>
      <c r="K23" s="157"/>
      <c r="L23" s="157"/>
      <c r="M23" s="157"/>
      <c r="N23" s="157"/>
      <c r="O23" s="157"/>
      <c r="P23" s="157"/>
      <c r="Q23" s="157"/>
      <c r="R23" s="157"/>
      <c r="S23" s="157"/>
      <c r="T23" s="157"/>
      <c r="U23" s="79"/>
      <c r="V23" s="79"/>
      <c r="W23" s="79"/>
      <c r="X23" s="79"/>
      <c r="Y23" s="79"/>
    </row>
    <row r="24" spans="1:25" ht="6" customHeight="1" x14ac:dyDescent="0.3">
      <c r="A24" s="79"/>
      <c r="B24" s="155"/>
      <c r="C24" s="334"/>
      <c r="D24" s="175"/>
      <c r="E24" s="79"/>
      <c r="F24" s="79"/>
      <c r="G24" s="79"/>
      <c r="H24" s="79"/>
      <c r="I24" s="79"/>
      <c r="J24" s="79"/>
      <c r="K24" s="79"/>
      <c r="L24" s="79"/>
      <c r="M24" s="79"/>
      <c r="N24" s="79"/>
      <c r="O24" s="79"/>
      <c r="P24" s="79"/>
      <c r="Q24" s="79"/>
      <c r="R24" s="79"/>
      <c r="S24" s="79"/>
      <c r="T24" s="79"/>
      <c r="U24" s="79"/>
      <c r="V24" s="79"/>
      <c r="W24" s="79"/>
      <c r="X24" s="79"/>
      <c r="Y24" s="79"/>
    </row>
    <row r="25" spans="1:25" x14ac:dyDescent="0.3">
      <c r="A25" s="79"/>
      <c r="B25" s="341" t="s">
        <v>19</v>
      </c>
      <c r="C25" s="171"/>
      <c r="D25" s="171" t="s">
        <v>20</v>
      </c>
      <c r="E25" s="79"/>
      <c r="F25" s="79"/>
      <c r="G25" s="79"/>
      <c r="H25" s="79"/>
      <c r="I25" s="79"/>
      <c r="J25" s="79"/>
      <c r="K25" s="79"/>
      <c r="L25" s="79"/>
      <c r="M25" s="79"/>
      <c r="N25" s="79"/>
      <c r="O25" s="79"/>
      <c r="P25" s="79"/>
      <c r="Q25" s="79"/>
      <c r="R25" s="79"/>
      <c r="S25" s="79"/>
      <c r="T25" s="79"/>
      <c r="U25" s="79"/>
      <c r="V25" s="79"/>
      <c r="W25" s="79"/>
      <c r="X25" s="79"/>
      <c r="Y25" s="79"/>
    </row>
    <row r="26" spans="1:25" x14ac:dyDescent="0.3">
      <c r="A26" s="79"/>
      <c r="B26" s="155"/>
      <c r="C26" s="79"/>
      <c r="D26" s="81"/>
      <c r="E26" s="79"/>
      <c r="F26" s="79"/>
      <c r="G26" s="79"/>
      <c r="H26" s="79"/>
      <c r="I26" s="79"/>
      <c r="J26" s="79"/>
      <c r="K26" s="79"/>
      <c r="L26" s="79"/>
      <c r="M26" s="79"/>
      <c r="N26" s="79"/>
      <c r="O26" s="79"/>
      <c r="P26" s="79"/>
      <c r="Q26" s="79"/>
      <c r="R26" s="79"/>
      <c r="S26" s="79"/>
      <c r="T26" s="79"/>
      <c r="U26" s="79"/>
      <c r="V26" s="79"/>
      <c r="W26" s="79"/>
      <c r="X26" s="79"/>
      <c r="Y26" s="79"/>
    </row>
    <row r="27" spans="1:25" x14ac:dyDescent="0.3">
      <c r="A27" s="79"/>
      <c r="B27" s="155"/>
      <c r="C27" s="79"/>
      <c r="D27" s="81"/>
      <c r="E27" s="79"/>
      <c r="F27" s="79"/>
      <c r="G27" s="79"/>
      <c r="H27" s="79"/>
      <c r="I27" s="79"/>
      <c r="J27" s="79"/>
      <c r="K27" s="79"/>
      <c r="L27" s="79"/>
      <c r="M27" s="79"/>
      <c r="N27" s="79"/>
      <c r="O27" s="79"/>
      <c r="P27" s="79"/>
      <c r="Q27" s="79"/>
      <c r="R27" s="79"/>
      <c r="S27" s="79"/>
      <c r="T27" s="79"/>
      <c r="U27" s="79"/>
      <c r="V27" s="79"/>
      <c r="W27" s="79"/>
      <c r="X27" s="79"/>
      <c r="Y27" s="79"/>
    </row>
    <row r="28" spans="1:25" x14ac:dyDescent="0.3">
      <c r="A28" s="152" t="s">
        <v>21</v>
      </c>
      <c r="B28" s="81"/>
      <c r="C28" s="79"/>
      <c r="D28" s="81"/>
      <c r="E28" s="79"/>
      <c r="F28" s="79"/>
      <c r="G28" s="79"/>
      <c r="H28" s="79"/>
      <c r="I28" s="79"/>
      <c r="J28" s="79"/>
      <c r="K28" s="79"/>
      <c r="L28" s="79"/>
      <c r="M28" s="79"/>
      <c r="N28" s="79"/>
      <c r="O28" s="79"/>
      <c r="P28" s="79"/>
      <c r="Q28" s="79"/>
      <c r="R28" s="79"/>
      <c r="S28" s="79"/>
      <c r="T28" s="79"/>
      <c r="U28" s="79"/>
      <c r="V28" s="79"/>
      <c r="W28" s="79"/>
      <c r="X28" s="79"/>
      <c r="Y28" s="79"/>
    </row>
    <row r="29" spans="1:25" x14ac:dyDescent="0.3">
      <c r="A29" s="79"/>
      <c r="B29" s="81"/>
      <c r="C29" s="79"/>
      <c r="D29" s="81"/>
      <c r="E29" s="79"/>
      <c r="F29" s="79"/>
      <c r="G29" s="79"/>
      <c r="H29" s="79"/>
      <c r="I29" s="79"/>
      <c r="J29" s="79"/>
      <c r="K29" s="79"/>
      <c r="L29" s="79"/>
      <c r="M29" s="79"/>
      <c r="N29" s="79"/>
      <c r="O29" s="79"/>
      <c r="P29" s="79"/>
      <c r="Q29" s="79"/>
      <c r="R29" s="79"/>
      <c r="S29" s="79"/>
      <c r="T29" s="79"/>
      <c r="U29" s="79"/>
      <c r="V29" s="79"/>
      <c r="W29" s="79"/>
      <c r="X29" s="79"/>
      <c r="Y29" s="79"/>
    </row>
    <row r="30" spans="1:25" x14ac:dyDescent="0.3">
      <c r="A30" s="79"/>
      <c r="B30" s="81"/>
      <c r="C30" s="79"/>
      <c r="D30" s="81"/>
      <c r="E30" s="79"/>
      <c r="F30" s="79"/>
      <c r="G30" s="79"/>
      <c r="H30" s="79"/>
      <c r="I30" s="79"/>
      <c r="J30" s="79"/>
      <c r="K30" s="79"/>
      <c r="L30" s="79"/>
      <c r="M30" s="79"/>
      <c r="N30" s="79"/>
      <c r="O30" s="79"/>
      <c r="P30" s="79"/>
      <c r="Q30" s="79"/>
      <c r="R30" s="79"/>
      <c r="S30" s="79"/>
      <c r="T30" s="79"/>
      <c r="U30" s="79"/>
      <c r="V30" s="79"/>
      <c r="W30" s="79"/>
      <c r="X30" s="79"/>
      <c r="Y30" s="79"/>
    </row>
    <row r="31" spans="1:25" x14ac:dyDescent="0.3">
      <c r="A31" s="79"/>
      <c r="B31" s="81"/>
      <c r="C31" s="79"/>
      <c r="D31" s="81"/>
      <c r="E31" s="79"/>
      <c r="F31" s="79"/>
      <c r="G31" s="79"/>
      <c r="H31" s="79"/>
      <c r="I31" s="79"/>
      <c r="J31" s="79"/>
      <c r="K31" s="79"/>
      <c r="L31" s="79"/>
      <c r="M31" s="79"/>
      <c r="N31" s="79"/>
      <c r="O31" s="79"/>
      <c r="P31" s="79"/>
      <c r="Q31" s="79"/>
      <c r="R31" s="79"/>
      <c r="S31" s="79"/>
      <c r="T31" s="79"/>
      <c r="U31" s="79"/>
      <c r="V31" s="79"/>
      <c r="W31" s="79"/>
      <c r="X31" s="79"/>
      <c r="Y31" s="79"/>
    </row>
    <row r="32" spans="1:25" x14ac:dyDescent="0.3">
      <c r="A32" s="79"/>
      <c r="B32" s="81"/>
      <c r="C32" s="79"/>
      <c r="D32" s="81"/>
      <c r="E32" s="79"/>
      <c r="F32" s="79"/>
      <c r="G32" s="79"/>
      <c r="H32" s="79"/>
      <c r="I32" s="79"/>
      <c r="J32" s="79"/>
      <c r="K32" s="79"/>
      <c r="L32" s="79"/>
      <c r="M32" s="79"/>
      <c r="N32" s="79"/>
      <c r="O32" s="79"/>
      <c r="P32" s="79"/>
      <c r="Q32" s="79"/>
      <c r="R32" s="79"/>
      <c r="S32" s="79"/>
      <c r="T32" s="79"/>
      <c r="U32" s="79"/>
      <c r="V32" s="79"/>
      <c r="W32" s="79"/>
      <c r="X32" s="79"/>
      <c r="Y32" s="79"/>
    </row>
    <row r="33" spans="1:25" x14ac:dyDescent="0.3">
      <c r="A33" s="79"/>
      <c r="B33" s="81"/>
      <c r="C33" s="79"/>
      <c r="D33" s="81"/>
      <c r="E33" s="79"/>
      <c r="F33" s="79"/>
      <c r="G33" s="79"/>
      <c r="H33" s="79"/>
      <c r="I33" s="79"/>
      <c r="J33" s="79"/>
      <c r="K33" s="79"/>
      <c r="L33" s="79"/>
      <c r="M33" s="79"/>
      <c r="N33" s="79"/>
      <c r="O33" s="79"/>
      <c r="P33" s="79"/>
      <c r="Q33" s="79"/>
      <c r="R33" s="79"/>
      <c r="S33" s="79"/>
      <c r="T33" s="79"/>
      <c r="U33" s="79"/>
      <c r="V33" s="79"/>
      <c r="W33" s="79"/>
      <c r="X33" s="79"/>
      <c r="Y33" s="79"/>
    </row>
    <row r="34" spans="1:25" x14ac:dyDescent="0.3">
      <c r="A34" s="79"/>
      <c r="B34" s="81"/>
      <c r="C34" s="79"/>
      <c r="D34" s="81"/>
      <c r="E34" s="79"/>
      <c r="F34" s="79"/>
      <c r="G34" s="79"/>
      <c r="H34" s="79"/>
      <c r="I34" s="79"/>
      <c r="J34" s="79"/>
      <c r="K34" s="79"/>
      <c r="L34" s="79"/>
      <c r="M34" s="79"/>
      <c r="N34" s="79"/>
      <c r="O34" s="79"/>
      <c r="P34" s="79"/>
      <c r="Q34" s="79"/>
      <c r="R34" s="79"/>
      <c r="S34" s="79"/>
      <c r="T34" s="79"/>
      <c r="U34" s="79"/>
      <c r="V34" s="79"/>
      <c r="W34" s="79"/>
      <c r="X34" s="79"/>
      <c r="Y34" s="79"/>
    </row>
    <row r="35" spans="1:25" x14ac:dyDescent="0.3">
      <c r="A35" s="79"/>
      <c r="B35" s="81"/>
      <c r="C35" s="79"/>
      <c r="D35" s="81"/>
      <c r="E35" s="79"/>
      <c r="F35" s="79"/>
      <c r="G35" s="79"/>
      <c r="H35" s="79"/>
      <c r="I35" s="79"/>
      <c r="J35" s="79"/>
      <c r="K35" s="79"/>
      <c r="L35" s="79"/>
      <c r="M35" s="79"/>
      <c r="N35" s="79"/>
      <c r="O35" s="79"/>
      <c r="P35" s="79"/>
      <c r="Q35" s="79"/>
      <c r="R35" s="79"/>
      <c r="S35" s="79"/>
      <c r="T35" s="79"/>
      <c r="U35" s="79"/>
      <c r="V35" s="79"/>
      <c r="W35" s="79"/>
      <c r="X35" s="79"/>
      <c r="Y35" s="79"/>
    </row>
    <row r="36" spans="1:25" x14ac:dyDescent="0.3">
      <c r="A36" s="79"/>
      <c r="B36" s="81"/>
      <c r="C36" s="79"/>
      <c r="D36" s="81"/>
      <c r="E36" s="79"/>
      <c r="F36" s="79"/>
      <c r="G36" s="79"/>
      <c r="H36" s="79"/>
      <c r="I36" s="79"/>
      <c r="J36" s="79"/>
      <c r="K36" s="79"/>
      <c r="L36" s="79"/>
      <c r="M36" s="79"/>
      <c r="N36" s="79"/>
      <c r="O36" s="79"/>
      <c r="P36" s="79"/>
      <c r="Q36" s="79"/>
      <c r="R36" s="79"/>
      <c r="S36" s="79"/>
      <c r="T36" s="79"/>
      <c r="U36" s="79"/>
      <c r="V36" s="79"/>
      <c r="W36" s="79"/>
      <c r="X36" s="79"/>
      <c r="Y36" s="79"/>
    </row>
    <row r="37" spans="1:25" x14ac:dyDescent="0.3">
      <c r="A37" s="79"/>
      <c r="B37" s="81"/>
      <c r="C37" s="79"/>
      <c r="D37" s="81"/>
      <c r="E37" s="79"/>
      <c r="F37" s="79"/>
      <c r="G37" s="79"/>
      <c r="H37" s="79"/>
      <c r="I37" s="79"/>
      <c r="J37" s="79"/>
      <c r="K37" s="79"/>
      <c r="L37" s="79"/>
      <c r="M37" s="79"/>
      <c r="N37" s="79"/>
      <c r="O37" s="79"/>
      <c r="P37" s="79"/>
      <c r="Q37" s="79"/>
      <c r="R37" s="79"/>
      <c r="S37" s="79"/>
      <c r="T37" s="79"/>
      <c r="U37" s="79"/>
      <c r="V37" s="79"/>
      <c r="W37" s="79"/>
      <c r="X37" s="79"/>
      <c r="Y37" s="79"/>
    </row>
    <row r="38" spans="1:25" x14ac:dyDescent="0.3">
      <c r="A38" s="79"/>
      <c r="B38" s="81"/>
      <c r="C38" s="79"/>
      <c r="D38" s="81"/>
      <c r="E38" s="79"/>
      <c r="F38" s="79"/>
      <c r="G38" s="79"/>
      <c r="H38" s="79"/>
      <c r="I38" s="79"/>
      <c r="J38" s="79"/>
      <c r="K38" s="79"/>
      <c r="L38" s="79"/>
      <c r="M38" s="79"/>
      <c r="N38" s="79"/>
      <c r="O38" s="79"/>
      <c r="P38" s="79"/>
      <c r="Q38" s="79"/>
      <c r="R38" s="79"/>
      <c r="S38" s="79"/>
      <c r="T38" s="79"/>
      <c r="U38" s="79"/>
      <c r="V38" s="79"/>
      <c r="W38" s="79"/>
      <c r="X38" s="79"/>
      <c r="Y38" s="79"/>
    </row>
    <row r="39" spans="1:25" x14ac:dyDescent="0.3">
      <c r="A39" s="79"/>
      <c r="B39" s="81"/>
      <c r="C39" s="79"/>
      <c r="D39" s="81"/>
      <c r="E39" s="79"/>
      <c r="F39" s="79"/>
      <c r="G39" s="79"/>
      <c r="H39" s="79"/>
      <c r="I39" s="79"/>
      <c r="J39" s="79"/>
      <c r="K39" s="79"/>
      <c r="L39" s="79"/>
      <c r="M39" s="79"/>
      <c r="N39" s="79"/>
      <c r="O39" s="79"/>
      <c r="P39" s="79"/>
      <c r="Q39" s="79"/>
      <c r="R39" s="79"/>
      <c r="S39" s="79"/>
      <c r="T39" s="79"/>
      <c r="U39" s="79"/>
      <c r="V39" s="79"/>
      <c r="W39" s="79"/>
      <c r="X39" s="79"/>
      <c r="Y39" s="79"/>
    </row>
    <row r="40" spans="1:25" x14ac:dyDescent="0.3">
      <c r="A40" s="79"/>
      <c r="B40" s="81"/>
      <c r="C40" s="79"/>
      <c r="D40" s="81"/>
      <c r="E40" s="79"/>
      <c r="F40" s="79"/>
      <c r="G40" s="79"/>
      <c r="H40" s="79"/>
      <c r="I40" s="79"/>
      <c r="J40" s="79"/>
      <c r="K40" s="79"/>
      <c r="L40" s="79"/>
      <c r="M40" s="79"/>
      <c r="N40" s="79"/>
      <c r="O40" s="79"/>
      <c r="P40" s="79"/>
      <c r="Q40" s="79"/>
      <c r="R40" s="79"/>
      <c r="S40" s="79"/>
      <c r="T40" s="79"/>
      <c r="U40" s="79"/>
      <c r="V40" s="79"/>
      <c r="W40" s="79"/>
      <c r="X40" s="79"/>
      <c r="Y40" s="79"/>
    </row>
    <row r="41" spans="1:25" x14ac:dyDescent="0.3">
      <c r="A41" s="79"/>
      <c r="B41" s="81"/>
      <c r="C41" s="79"/>
      <c r="D41" s="81"/>
      <c r="E41" s="79"/>
      <c r="F41" s="79"/>
      <c r="G41" s="79"/>
      <c r="H41" s="79"/>
      <c r="I41" s="79"/>
      <c r="J41" s="79"/>
      <c r="K41" s="79"/>
      <c r="L41" s="79"/>
      <c r="M41" s="79"/>
      <c r="N41" s="79"/>
      <c r="O41" s="79"/>
      <c r="P41" s="79"/>
      <c r="Q41" s="79"/>
      <c r="R41" s="79"/>
      <c r="S41" s="79"/>
      <c r="T41" s="79"/>
      <c r="U41" s="79"/>
      <c r="V41" s="79"/>
      <c r="W41" s="79"/>
      <c r="X41" s="79"/>
      <c r="Y41" s="79"/>
    </row>
    <row r="42" spans="1:25" x14ac:dyDescent="0.3">
      <c r="A42" s="79"/>
      <c r="B42" s="81"/>
      <c r="C42" s="79"/>
      <c r="D42" s="81"/>
      <c r="E42" s="79"/>
      <c r="F42" s="79"/>
      <c r="G42" s="79"/>
      <c r="H42" s="79"/>
      <c r="I42" s="79"/>
      <c r="J42" s="79"/>
      <c r="K42" s="79"/>
      <c r="L42" s="79"/>
      <c r="M42" s="79"/>
      <c r="N42" s="79"/>
      <c r="O42" s="79"/>
      <c r="P42" s="79"/>
      <c r="Q42" s="79"/>
      <c r="R42" s="79"/>
      <c r="S42" s="79"/>
      <c r="T42" s="79"/>
      <c r="U42" s="79"/>
      <c r="V42" s="79"/>
      <c r="W42" s="79"/>
      <c r="X42" s="79"/>
      <c r="Y42" s="79"/>
    </row>
    <row r="43" spans="1:25" x14ac:dyDescent="0.3">
      <c r="A43" s="79"/>
      <c r="B43" s="81"/>
      <c r="C43" s="79"/>
      <c r="D43" s="81"/>
      <c r="E43" s="79"/>
      <c r="F43" s="79"/>
      <c r="G43" s="79"/>
      <c r="H43" s="79"/>
      <c r="I43" s="79"/>
      <c r="J43" s="79"/>
      <c r="K43" s="79"/>
      <c r="L43" s="79"/>
      <c r="M43" s="79"/>
      <c r="N43" s="79"/>
      <c r="O43" s="79"/>
      <c r="P43" s="79"/>
      <c r="Q43" s="79"/>
      <c r="R43" s="79"/>
      <c r="S43" s="79"/>
      <c r="T43" s="79"/>
      <c r="U43" s="79"/>
      <c r="V43" s="79"/>
      <c r="W43" s="79"/>
      <c r="X43" s="79"/>
      <c r="Y43" s="79"/>
    </row>
    <row r="44" spans="1:25" x14ac:dyDescent="0.3">
      <c r="A44" s="79"/>
      <c r="B44" s="81"/>
      <c r="C44" s="79"/>
      <c r="D44" s="81"/>
      <c r="E44" s="79"/>
      <c r="F44" s="79"/>
      <c r="G44" s="79"/>
      <c r="H44" s="79"/>
      <c r="I44" s="79"/>
      <c r="J44" s="79"/>
      <c r="K44" s="79"/>
      <c r="L44" s="79"/>
      <c r="M44" s="79"/>
      <c r="N44" s="79"/>
      <c r="O44" s="79"/>
      <c r="P44" s="79"/>
      <c r="Q44" s="79"/>
      <c r="R44" s="79"/>
      <c r="S44" s="79"/>
      <c r="T44" s="79"/>
      <c r="U44" s="79"/>
      <c r="V44" s="79"/>
      <c r="W44" s="79"/>
      <c r="X44" s="79"/>
      <c r="Y44" s="79"/>
    </row>
    <row r="45" spans="1:25" x14ac:dyDescent="0.3">
      <c r="A45" s="79"/>
      <c r="B45" s="81"/>
      <c r="C45" s="79"/>
      <c r="D45" s="81"/>
      <c r="E45" s="79"/>
      <c r="F45" s="79"/>
      <c r="G45" s="79"/>
      <c r="H45" s="79"/>
      <c r="I45" s="79"/>
      <c r="J45" s="79"/>
      <c r="K45" s="79"/>
      <c r="L45" s="79"/>
      <c r="M45" s="79"/>
      <c r="N45" s="79"/>
      <c r="O45" s="79"/>
      <c r="P45" s="79"/>
      <c r="Q45" s="79"/>
      <c r="R45" s="79"/>
      <c r="S45" s="79"/>
      <c r="T45" s="79"/>
      <c r="U45" s="79"/>
      <c r="V45" s="79"/>
      <c r="W45" s="79"/>
      <c r="X45" s="79"/>
      <c r="Y45" s="79"/>
    </row>
    <row r="46" spans="1:25" x14ac:dyDescent="0.3">
      <c r="A46" s="79"/>
      <c r="B46" s="81"/>
      <c r="C46" s="79"/>
      <c r="D46" s="81"/>
      <c r="E46" s="79"/>
      <c r="F46" s="79"/>
      <c r="G46" s="79"/>
      <c r="H46" s="79"/>
      <c r="I46" s="79"/>
      <c r="J46" s="79"/>
      <c r="K46" s="79"/>
      <c r="L46" s="79"/>
      <c r="M46" s="79"/>
      <c r="N46" s="79"/>
      <c r="O46" s="79"/>
      <c r="P46" s="79"/>
      <c r="Q46" s="79"/>
      <c r="R46" s="79"/>
      <c r="S46" s="79"/>
      <c r="T46" s="79"/>
      <c r="U46" s="79"/>
      <c r="V46" s="79"/>
      <c r="W46" s="79"/>
      <c r="X46" s="79"/>
      <c r="Y46" s="79"/>
    </row>
    <row r="47" spans="1:25" x14ac:dyDescent="0.3">
      <c r="A47" s="79"/>
      <c r="B47" s="81"/>
      <c r="C47" s="79"/>
      <c r="D47" s="81"/>
      <c r="E47" s="79"/>
      <c r="F47" s="79"/>
      <c r="G47" s="79"/>
      <c r="H47" s="79"/>
      <c r="I47" s="79"/>
      <c r="J47" s="79"/>
      <c r="K47" s="79"/>
      <c r="L47" s="79"/>
      <c r="M47" s="79"/>
      <c r="N47" s="79"/>
      <c r="O47" s="79"/>
      <c r="P47" s="79"/>
      <c r="Q47" s="79"/>
      <c r="R47" s="79"/>
      <c r="S47" s="79"/>
      <c r="T47" s="79"/>
      <c r="U47" s="79"/>
      <c r="V47" s="79"/>
      <c r="W47" s="79"/>
      <c r="X47" s="79"/>
      <c r="Y47" s="79"/>
    </row>
    <row r="48" spans="1:25" x14ac:dyDescent="0.3">
      <c r="A48" s="79"/>
      <c r="B48" s="81"/>
      <c r="C48" s="79"/>
      <c r="D48" s="81"/>
      <c r="E48" s="79"/>
      <c r="F48" s="79"/>
      <c r="G48" s="79"/>
      <c r="H48" s="79"/>
      <c r="I48" s="79"/>
      <c r="J48" s="79"/>
      <c r="K48" s="79"/>
      <c r="L48" s="79"/>
      <c r="M48" s="79"/>
      <c r="N48" s="79"/>
      <c r="O48" s="79"/>
      <c r="P48" s="79"/>
      <c r="Q48" s="79"/>
      <c r="R48" s="79"/>
      <c r="S48" s="79"/>
      <c r="T48" s="79"/>
      <c r="U48" s="79"/>
      <c r="V48" s="79"/>
      <c r="W48" s="79"/>
      <c r="X48" s="79"/>
      <c r="Y48" s="79"/>
    </row>
    <row r="49" spans="1:25" x14ac:dyDescent="0.3">
      <c r="A49" s="79"/>
      <c r="B49" s="81"/>
      <c r="C49" s="79"/>
      <c r="D49" s="81"/>
      <c r="E49" s="79"/>
      <c r="F49" s="79"/>
      <c r="G49" s="79"/>
      <c r="H49" s="79"/>
      <c r="I49" s="79"/>
      <c r="J49" s="79"/>
      <c r="K49" s="79"/>
      <c r="L49" s="79"/>
      <c r="M49" s="79"/>
      <c r="N49" s="79"/>
      <c r="O49" s="79"/>
      <c r="P49" s="79"/>
      <c r="Q49" s="79"/>
      <c r="R49" s="79"/>
      <c r="S49" s="79"/>
      <c r="T49" s="79"/>
      <c r="U49" s="79"/>
      <c r="V49" s="79"/>
      <c r="W49" s="79"/>
      <c r="X49" s="79"/>
      <c r="Y49" s="79"/>
    </row>
    <row r="50" spans="1:25" x14ac:dyDescent="0.3">
      <c r="A50" s="79"/>
      <c r="B50" s="81"/>
      <c r="C50" s="79"/>
      <c r="D50" s="81"/>
      <c r="E50" s="79"/>
      <c r="F50" s="79"/>
      <c r="G50" s="79"/>
      <c r="H50" s="79"/>
      <c r="I50" s="79"/>
      <c r="J50" s="79"/>
      <c r="K50" s="79"/>
      <c r="L50" s="79"/>
      <c r="M50" s="79"/>
      <c r="N50" s="79"/>
      <c r="O50" s="79"/>
      <c r="P50" s="79"/>
      <c r="Q50" s="79"/>
      <c r="R50" s="79"/>
      <c r="S50" s="79"/>
      <c r="T50" s="79"/>
      <c r="U50" s="79"/>
      <c r="V50" s="79"/>
      <c r="W50" s="79"/>
      <c r="X50" s="79"/>
      <c r="Y50" s="79"/>
    </row>
    <row r="51" spans="1:25" x14ac:dyDescent="0.3">
      <c r="A51" s="79"/>
      <c r="B51" s="81"/>
      <c r="C51" s="79"/>
      <c r="D51" s="81"/>
      <c r="E51" s="79"/>
      <c r="F51" s="79"/>
      <c r="G51" s="79"/>
      <c r="H51" s="79"/>
      <c r="I51" s="79"/>
      <c r="J51" s="79"/>
      <c r="K51" s="79"/>
      <c r="L51" s="79"/>
      <c r="M51" s="79"/>
      <c r="N51" s="79"/>
      <c r="O51" s="79"/>
      <c r="P51" s="79"/>
      <c r="Q51" s="79"/>
      <c r="R51" s="79"/>
      <c r="S51" s="79"/>
      <c r="T51" s="79"/>
      <c r="U51" s="79"/>
      <c r="V51" s="79"/>
      <c r="W51" s="79"/>
      <c r="X51" s="79"/>
      <c r="Y51" s="79"/>
    </row>
    <row r="52" spans="1:25" x14ac:dyDescent="0.3">
      <c r="A52" s="79"/>
      <c r="B52" s="81"/>
      <c r="C52" s="79"/>
      <c r="D52" s="81"/>
      <c r="E52" s="79"/>
      <c r="F52" s="79"/>
      <c r="G52" s="79"/>
      <c r="H52" s="79"/>
      <c r="I52" s="79"/>
      <c r="J52" s="79"/>
      <c r="K52" s="79"/>
      <c r="L52" s="79"/>
      <c r="M52" s="79"/>
      <c r="N52" s="79"/>
      <c r="O52" s="79"/>
      <c r="P52" s="79"/>
      <c r="Q52" s="79"/>
      <c r="R52" s="79"/>
      <c r="S52" s="79"/>
      <c r="T52" s="79"/>
      <c r="U52" s="79"/>
      <c r="V52" s="79"/>
      <c r="W52" s="79"/>
      <c r="X52" s="79"/>
      <c r="Y52" s="79"/>
    </row>
    <row r="53" spans="1:25" x14ac:dyDescent="0.3">
      <c r="A53" s="79"/>
      <c r="B53" s="81"/>
      <c r="C53" s="79"/>
      <c r="D53" s="81"/>
      <c r="E53" s="79"/>
      <c r="F53" s="79"/>
      <c r="G53" s="79"/>
      <c r="H53" s="79"/>
      <c r="I53" s="79"/>
      <c r="J53" s="79"/>
      <c r="K53" s="79"/>
      <c r="L53" s="79"/>
      <c r="M53" s="79"/>
      <c r="N53" s="79"/>
      <c r="O53" s="79"/>
      <c r="P53" s="79"/>
      <c r="Q53" s="79"/>
      <c r="R53" s="79"/>
      <c r="S53" s="79"/>
      <c r="T53" s="79"/>
      <c r="U53" s="79"/>
      <c r="V53" s="79"/>
      <c r="W53" s="79"/>
      <c r="X53" s="79"/>
      <c r="Y53" s="79"/>
    </row>
    <row r="54" spans="1:25" x14ac:dyDescent="0.3">
      <c r="A54" s="79"/>
      <c r="B54" s="81"/>
      <c r="C54" s="79"/>
      <c r="D54" s="81"/>
      <c r="E54" s="79"/>
      <c r="F54" s="79"/>
      <c r="G54" s="79"/>
      <c r="H54" s="79"/>
      <c r="I54" s="79"/>
      <c r="J54" s="79"/>
      <c r="K54" s="79"/>
      <c r="L54" s="79"/>
      <c r="M54" s="79"/>
      <c r="N54" s="79"/>
      <c r="O54" s="79"/>
      <c r="P54" s="79"/>
      <c r="Q54" s="79"/>
      <c r="R54" s="79"/>
      <c r="S54" s="79"/>
      <c r="T54" s="79"/>
      <c r="U54" s="79"/>
      <c r="V54" s="79"/>
      <c r="W54" s="79"/>
      <c r="X54" s="79"/>
      <c r="Y54" s="79"/>
    </row>
    <row r="55" spans="1:25" x14ac:dyDescent="0.3">
      <c r="A55" s="79"/>
      <c r="B55" s="81"/>
      <c r="C55" s="79"/>
      <c r="D55" s="81"/>
      <c r="E55" s="79"/>
      <c r="F55" s="79"/>
      <c r="G55" s="79"/>
      <c r="H55" s="79"/>
      <c r="I55" s="79"/>
      <c r="J55" s="79"/>
      <c r="K55" s="79"/>
      <c r="L55" s="79"/>
      <c r="M55" s="79"/>
      <c r="N55" s="79"/>
      <c r="O55" s="79"/>
      <c r="P55" s="79"/>
      <c r="Q55" s="79"/>
      <c r="R55" s="79"/>
      <c r="S55" s="79"/>
      <c r="T55" s="79"/>
      <c r="U55" s="79"/>
      <c r="V55" s="79"/>
      <c r="W55" s="79"/>
      <c r="X55" s="79"/>
      <c r="Y55" s="79"/>
    </row>
    <row r="56" spans="1:25" x14ac:dyDescent="0.3">
      <c r="A56" s="79"/>
      <c r="B56" s="81"/>
      <c r="C56" s="79"/>
      <c r="D56" s="81"/>
      <c r="E56" s="79"/>
      <c r="F56" s="79"/>
      <c r="G56" s="79"/>
      <c r="H56" s="79"/>
      <c r="I56" s="79"/>
      <c r="J56" s="79"/>
      <c r="K56" s="79"/>
      <c r="L56" s="79"/>
      <c r="M56" s="79"/>
      <c r="N56" s="79"/>
      <c r="O56" s="79"/>
      <c r="P56" s="79"/>
      <c r="Q56" s="79"/>
      <c r="R56" s="79"/>
      <c r="S56" s="79"/>
      <c r="T56" s="79"/>
      <c r="U56" s="79"/>
      <c r="V56" s="79"/>
      <c r="W56" s="79"/>
      <c r="X56" s="79"/>
      <c r="Y56" s="79"/>
    </row>
    <row r="57" spans="1:25" x14ac:dyDescent="0.3">
      <c r="A57" s="79"/>
      <c r="B57" s="81"/>
      <c r="C57" s="79"/>
      <c r="D57" s="81"/>
      <c r="E57" s="79"/>
      <c r="F57" s="79"/>
      <c r="G57" s="79"/>
      <c r="H57" s="79"/>
      <c r="I57" s="79"/>
      <c r="J57" s="79"/>
      <c r="K57" s="79"/>
      <c r="L57" s="79"/>
      <c r="M57" s="79"/>
      <c r="N57" s="79"/>
      <c r="O57" s="79"/>
      <c r="P57" s="79"/>
      <c r="Q57" s="79"/>
      <c r="R57" s="79"/>
      <c r="S57" s="79"/>
      <c r="T57" s="79"/>
      <c r="U57" s="79"/>
      <c r="V57" s="79"/>
      <c r="W57" s="79"/>
      <c r="X57" s="79"/>
      <c r="Y57" s="79"/>
    </row>
  </sheetData>
  <hyperlinks>
    <hyperlink ref="B8" location="'Table 1'!A1" display="Table 1" xr:uid="{00000000-0004-0000-0000-000000000000}"/>
    <hyperlink ref="B9" location="'Table 2'!A1" display="Table 2" xr:uid="{00000000-0004-0000-0000-000001000000}"/>
    <hyperlink ref="B10" location="'Table 3'!A1" display="Table 3" xr:uid="{00000000-0004-0000-0000-000002000000}"/>
    <hyperlink ref="B11" location="'Table 4'!A1" display="Table 4" xr:uid="{00000000-0004-0000-0000-000003000000}"/>
    <hyperlink ref="B12" location="'Table 5'!A1" display="Table 5" xr:uid="{00000000-0004-0000-0000-000004000000}"/>
    <hyperlink ref="B13" location="'Table 6'!A1" display="Table 6" xr:uid="{00000000-0004-0000-0000-000005000000}"/>
    <hyperlink ref="B14" location="'Table 7'!A1" display="Table 7" xr:uid="{00000000-0004-0000-0000-000006000000}"/>
    <hyperlink ref="B15" location="'Table 8'!A1" display="Table 8" xr:uid="{00000000-0004-0000-0000-000007000000}"/>
    <hyperlink ref="B16" location="'Table 9'!A1" display="Table 9" xr:uid="{00000000-0004-0000-0000-000008000000}"/>
    <hyperlink ref="B17" location="'Table 10'!A1" display="Table 10" xr:uid="{00000000-0004-0000-0000-000009000000}"/>
    <hyperlink ref="B18" location="'Table 11'!A1" display="Table 11" xr:uid="{00000000-0004-0000-0000-00000A000000}"/>
    <hyperlink ref="B19" location="'Table 12'!A1" display="Table 12" xr:uid="{00000000-0004-0000-0000-00000B000000}"/>
    <hyperlink ref="B20" location="'Table 13'!A1" display="Table 13" xr:uid="{00000000-0004-0000-0000-00000C000000}"/>
    <hyperlink ref="B21" location="'Table 14'!A1" display="Table 14" xr:uid="{00000000-0004-0000-0000-00000D000000}"/>
    <hyperlink ref="B22" location="'Table 15'!A1" display="Table 15" xr:uid="{00000000-0004-0000-0000-00000E000000}"/>
    <hyperlink ref="B25" location="'Background notes'!A1" display="Background notes" xr:uid="{00000000-0004-0000-0000-00000F000000}"/>
    <hyperlink ref="B23" location="'Table 16'!A1" display="Table 16" xr:uid="{00000000-0004-0000-0000-000010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10"/>
  <sheetViews>
    <sheetView workbookViewId="0">
      <selection activeCell="O9" sqref="O9:Q9"/>
    </sheetView>
  </sheetViews>
  <sheetFormatPr defaultColWidth="9.109375" defaultRowHeight="12.75" customHeight="1" x14ac:dyDescent="0.3"/>
  <cols>
    <col min="1" max="1" width="17.5546875" style="8" customWidth="1"/>
    <col min="2" max="9" width="8.5546875" style="8" customWidth="1"/>
    <col min="10" max="10" width="10.5546875" style="8" customWidth="1"/>
    <col min="11" max="253" width="9.109375" style="8"/>
    <col min="254" max="254" width="16.44140625" style="8" customWidth="1"/>
    <col min="255" max="16384" width="9.109375" style="8"/>
  </cols>
  <sheetData>
    <row r="1" spans="1:256" ht="16.5" customHeight="1" x14ac:dyDescent="0.3">
      <c r="A1" s="69" t="s">
        <v>22</v>
      </c>
      <c r="B1" s="69"/>
      <c r="C1" s="69"/>
      <c r="D1" s="69"/>
      <c r="E1" s="69"/>
      <c r="F1" s="69"/>
      <c r="G1" s="69"/>
      <c r="H1" s="69"/>
      <c r="I1" s="69"/>
      <c r="J1" s="69"/>
      <c r="K1" s="69"/>
      <c r="L1" s="69"/>
      <c r="M1" s="352" t="s">
        <v>23</v>
      </c>
      <c r="N1" s="352"/>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c r="HU1" s="69"/>
      <c r="HV1" s="69"/>
      <c r="HW1" s="69"/>
      <c r="HX1" s="69"/>
      <c r="HY1" s="69"/>
      <c r="HZ1" s="69"/>
      <c r="IA1" s="69"/>
      <c r="IB1" s="69"/>
      <c r="IC1" s="69"/>
      <c r="ID1" s="69"/>
      <c r="IE1" s="69"/>
      <c r="IF1" s="69"/>
      <c r="IG1" s="69"/>
      <c r="IH1" s="69"/>
      <c r="II1" s="69"/>
      <c r="IJ1" s="69"/>
      <c r="IK1" s="69"/>
      <c r="IL1" s="69"/>
      <c r="IM1" s="69"/>
      <c r="IN1" s="69"/>
      <c r="IO1" s="69"/>
      <c r="IP1" s="69"/>
      <c r="IQ1" s="69"/>
      <c r="IR1" s="69"/>
      <c r="IS1" s="69"/>
      <c r="IT1" s="69"/>
      <c r="IU1" s="69"/>
      <c r="IV1" s="69"/>
    </row>
    <row r="2" spans="1:256" ht="16.5" customHeight="1" x14ac:dyDescent="0.3">
      <c r="A2" s="486" t="s">
        <v>431</v>
      </c>
    </row>
    <row r="3" spans="1:256" ht="6" customHeight="1" x14ac:dyDescent="0.3">
      <c r="A3" s="70"/>
      <c r="B3" s="70"/>
      <c r="C3" s="70"/>
      <c r="D3" s="70"/>
      <c r="E3" s="70"/>
      <c r="F3" s="70"/>
      <c r="G3" s="71"/>
      <c r="H3" s="71"/>
      <c r="I3" s="71"/>
      <c r="J3" s="71"/>
    </row>
    <row r="4" spans="1:256" ht="15.6" x14ac:dyDescent="0.3">
      <c r="A4" s="158"/>
      <c r="B4" s="159">
        <v>2007</v>
      </c>
      <c r="C4" s="159">
        <v>2008</v>
      </c>
      <c r="D4" s="159">
        <v>2009</v>
      </c>
      <c r="E4" s="159">
        <v>2010</v>
      </c>
      <c r="F4" s="159">
        <v>2011</v>
      </c>
      <c r="G4" s="159">
        <v>2012</v>
      </c>
      <c r="H4" s="159">
        <v>2013</v>
      </c>
      <c r="I4" s="159">
        <v>2014</v>
      </c>
      <c r="J4" s="160" t="s">
        <v>24</v>
      </c>
      <c r="K4" s="161" t="s">
        <v>25</v>
      </c>
      <c r="L4" s="161" t="s">
        <v>26</v>
      </c>
      <c r="M4" s="161" t="s">
        <v>27</v>
      </c>
      <c r="N4" s="161" t="s">
        <v>28</v>
      </c>
      <c r="O4" s="161" t="s">
        <v>29</v>
      </c>
      <c r="P4" s="161" t="s">
        <v>30</v>
      </c>
      <c r="Q4" s="161" t="s">
        <v>439</v>
      </c>
    </row>
    <row r="5" spans="1:256" ht="9" customHeight="1" x14ac:dyDescent="0.3">
      <c r="A5" s="162"/>
      <c r="B5" s="162"/>
      <c r="C5" s="162"/>
      <c r="D5" s="162"/>
      <c r="E5" s="162"/>
      <c r="F5" s="162"/>
      <c r="G5" s="157"/>
      <c r="H5" s="157"/>
      <c r="I5" s="157"/>
      <c r="J5" s="157"/>
      <c r="K5" s="157"/>
      <c r="M5" s="153"/>
      <c r="N5" s="153"/>
    </row>
    <row r="6" spans="1:256" ht="12.75" customHeight="1" x14ac:dyDescent="0.3">
      <c r="A6" s="157"/>
      <c r="B6" s="492" t="s">
        <v>31</v>
      </c>
      <c r="C6" s="492"/>
      <c r="D6" s="492"/>
      <c r="E6" s="492"/>
      <c r="F6" s="492"/>
      <c r="G6" s="492"/>
      <c r="H6" s="492"/>
      <c r="I6" s="492"/>
      <c r="J6" s="492"/>
      <c r="K6" s="492"/>
      <c r="L6" s="492"/>
      <c r="M6" s="492"/>
      <c r="N6" s="492"/>
      <c r="O6" s="492"/>
    </row>
    <row r="7" spans="1:256" ht="19.5" customHeight="1" x14ac:dyDescent="0.3">
      <c r="A7" s="163" t="s">
        <v>32</v>
      </c>
      <c r="B7" s="162">
        <v>17</v>
      </c>
      <c r="C7" s="162">
        <v>21</v>
      </c>
      <c r="D7" s="162">
        <v>23</v>
      </c>
      <c r="E7" s="162">
        <v>22</v>
      </c>
      <c r="F7" s="162">
        <v>24</v>
      </c>
      <c r="G7" s="162">
        <v>25</v>
      </c>
      <c r="H7" s="162">
        <v>26</v>
      </c>
      <c r="I7" s="162">
        <v>29</v>
      </c>
      <c r="J7" s="162">
        <v>27</v>
      </c>
      <c r="K7" s="153">
        <v>29</v>
      </c>
      <c r="L7" s="153">
        <v>27</v>
      </c>
      <c r="M7" s="153">
        <v>24</v>
      </c>
      <c r="N7" s="153">
        <v>20</v>
      </c>
      <c r="O7" s="186">
        <v>22</v>
      </c>
      <c r="P7" s="8">
        <v>27</v>
      </c>
      <c r="Q7" s="8">
        <v>31</v>
      </c>
    </row>
    <row r="8" spans="1:256" ht="9" customHeight="1" x14ac:dyDescent="0.3">
      <c r="A8" s="158"/>
      <c r="B8" s="158"/>
      <c r="C8" s="158"/>
      <c r="D8" s="158"/>
      <c r="E8" s="158"/>
      <c r="F8" s="158"/>
      <c r="G8" s="158"/>
      <c r="H8" s="158"/>
      <c r="I8" s="158"/>
      <c r="J8" s="158"/>
      <c r="K8" s="157"/>
      <c r="L8" s="157"/>
      <c r="M8" s="153"/>
      <c r="N8" s="153"/>
    </row>
    <row r="9" spans="1:256" ht="33" customHeight="1" x14ac:dyDescent="0.3">
      <c r="A9" s="164" t="s">
        <v>33</v>
      </c>
      <c r="B9" s="165">
        <v>6059</v>
      </c>
      <c r="C9" s="165">
        <v>5545</v>
      </c>
      <c r="D9" s="165">
        <v>5271</v>
      </c>
      <c r="E9" s="165">
        <v>5222</v>
      </c>
      <c r="F9" s="165">
        <v>5116</v>
      </c>
      <c r="G9" s="165">
        <v>5531</v>
      </c>
      <c r="H9" s="165">
        <v>5425</v>
      </c>
      <c r="I9" s="165">
        <v>4993</v>
      </c>
      <c r="J9" s="165">
        <v>4760</v>
      </c>
      <c r="K9" s="165">
        <v>4641</v>
      </c>
      <c r="L9" s="165">
        <v>5013</v>
      </c>
      <c r="M9" s="165">
        <v>5092</v>
      </c>
      <c r="N9" s="165">
        <v>5072</v>
      </c>
      <c r="O9" s="165">
        <v>5170</v>
      </c>
      <c r="P9" s="165">
        <v>5306</v>
      </c>
      <c r="Q9" s="165">
        <v>4061</v>
      </c>
    </row>
    <row r="10" spans="1:256" ht="6" customHeight="1" x14ac:dyDescent="0.3">
      <c r="A10" s="72"/>
      <c r="B10" s="72"/>
      <c r="C10" s="72"/>
      <c r="D10" s="72"/>
      <c r="E10" s="72"/>
      <c r="F10" s="72"/>
      <c r="G10" s="72"/>
      <c r="H10" s="72"/>
      <c r="I10" s="72"/>
      <c r="J10" s="72"/>
      <c r="M10" s="2"/>
      <c r="N10" s="2"/>
    </row>
  </sheetData>
  <mergeCells count="1">
    <mergeCell ref="B6:O6"/>
  </mergeCells>
  <phoneticPr fontId="48" type="noConversion"/>
  <hyperlinks>
    <hyperlink ref="M1" location="Index!A1" display="Return to index" xr:uid="{00000000-0004-0000-01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zoomScale="130" zoomScaleNormal="130" workbookViewId="0">
      <selection activeCell="E28" sqref="E28"/>
    </sheetView>
  </sheetViews>
  <sheetFormatPr defaultColWidth="9.109375" defaultRowHeight="12.75" customHeight="1" x14ac:dyDescent="0.3"/>
  <cols>
    <col min="1" max="4" width="23.44140625" style="8" customWidth="1"/>
    <col min="5" max="16384" width="9.109375" style="8"/>
  </cols>
  <sheetData>
    <row r="1" spans="1:6" s="73" customFormat="1" ht="15" customHeight="1" x14ac:dyDescent="0.3">
      <c r="A1" s="73" t="s">
        <v>34</v>
      </c>
      <c r="F1" s="352" t="s">
        <v>23</v>
      </c>
    </row>
    <row r="2" spans="1:6" ht="15" customHeight="1" x14ac:dyDescent="0.3">
      <c r="A2" s="486" t="s">
        <v>432</v>
      </c>
      <c r="F2" s="55"/>
    </row>
    <row r="4" spans="1:6" ht="12.75" customHeight="1" x14ac:dyDescent="0.3">
      <c r="A4" s="2" t="s">
        <v>35</v>
      </c>
      <c r="B4" s="71"/>
      <c r="C4" s="71"/>
      <c r="D4" s="71"/>
    </row>
    <row r="5" spans="1:6" ht="12.75" customHeight="1" x14ac:dyDescent="0.3">
      <c r="A5" s="426" t="s">
        <v>36</v>
      </c>
      <c r="B5" s="166" t="s">
        <v>37</v>
      </c>
      <c r="C5" s="167" t="s">
        <v>38</v>
      </c>
      <c r="D5" s="166" t="s">
        <v>39</v>
      </c>
    </row>
    <row r="6" spans="1:6" ht="12.75" customHeight="1" x14ac:dyDescent="0.3">
      <c r="A6" s="168"/>
      <c r="B6" s="168"/>
      <c r="C6" s="169"/>
      <c r="D6" s="170"/>
    </row>
    <row r="7" spans="1:6" ht="12.75" customHeight="1" x14ac:dyDescent="0.3">
      <c r="A7" s="171">
        <v>1</v>
      </c>
      <c r="B7" s="153" t="s">
        <v>40</v>
      </c>
      <c r="C7" s="153" t="s">
        <v>40</v>
      </c>
      <c r="D7" s="155" t="s">
        <v>41</v>
      </c>
    </row>
    <row r="8" spans="1:6" ht="12.75" customHeight="1" x14ac:dyDescent="0.3">
      <c r="A8" s="171">
        <v>2</v>
      </c>
      <c r="B8" s="153" t="s">
        <v>42</v>
      </c>
      <c r="C8" s="153" t="s">
        <v>43</v>
      </c>
      <c r="D8" s="155" t="s">
        <v>41</v>
      </c>
    </row>
    <row r="9" spans="1:6" ht="12.75" customHeight="1" x14ac:dyDescent="0.3">
      <c r="A9" s="171">
        <v>3</v>
      </c>
      <c r="B9" s="153" t="s">
        <v>44</v>
      </c>
      <c r="C9" s="153" t="s">
        <v>45</v>
      </c>
      <c r="D9" s="155" t="s">
        <v>41</v>
      </c>
    </row>
    <row r="10" spans="1:6" ht="12.75" customHeight="1" x14ac:dyDescent="0.3">
      <c r="A10" s="171">
        <v>4</v>
      </c>
      <c r="B10" s="153" t="s">
        <v>46</v>
      </c>
      <c r="C10" s="153" t="s">
        <v>47</v>
      </c>
      <c r="D10" s="155" t="s">
        <v>41</v>
      </c>
    </row>
    <row r="11" spans="1:6" ht="12.75" customHeight="1" x14ac:dyDescent="0.3">
      <c r="A11" s="172"/>
      <c r="B11" s="156"/>
      <c r="C11" s="156"/>
      <c r="D11" s="173"/>
    </row>
    <row r="12" spans="1:6" ht="12.75" customHeight="1" x14ac:dyDescent="0.3">
      <c r="A12" s="174"/>
      <c r="B12" s="153"/>
      <c r="C12" s="153"/>
      <c r="D12" s="155"/>
    </row>
    <row r="13" spans="1:6" ht="12.75" customHeight="1" x14ac:dyDescent="0.3">
      <c r="A13" s="493" t="s">
        <v>48</v>
      </c>
      <c r="B13" s="493"/>
      <c r="C13" s="493"/>
      <c r="D13" s="427" t="s">
        <v>49</v>
      </c>
    </row>
    <row r="14" spans="1:6" ht="12.75" customHeight="1" x14ac:dyDescent="0.3">
      <c r="A14" s="156"/>
      <c r="B14" s="156"/>
      <c r="C14" s="156"/>
      <c r="D14" s="156"/>
    </row>
    <row r="16" spans="1:6" ht="12.75" customHeight="1" x14ac:dyDescent="0.3">
      <c r="A16" s="153" t="s">
        <v>50</v>
      </c>
    </row>
    <row r="18" spans="1:4" ht="12.75" customHeight="1" x14ac:dyDescent="0.3">
      <c r="A18" s="432" t="s">
        <v>51</v>
      </c>
      <c r="B18" s="432" t="s">
        <v>52</v>
      </c>
    </row>
    <row r="19" spans="1:4" ht="12.75" customHeight="1" x14ac:dyDescent="0.3">
      <c r="A19" s="153" t="s">
        <v>53</v>
      </c>
      <c r="B19" s="153">
        <v>30</v>
      </c>
      <c r="C19" s="497"/>
      <c r="D19" s="497"/>
    </row>
    <row r="20" spans="1:4" ht="12.75" customHeight="1" x14ac:dyDescent="0.3">
      <c r="A20" s="153" t="s">
        <v>54</v>
      </c>
      <c r="B20" s="153">
        <v>30</v>
      </c>
      <c r="C20" s="497"/>
      <c r="D20" s="497"/>
    </row>
    <row r="21" spans="1:4" ht="12.75" customHeight="1" x14ac:dyDescent="0.3">
      <c r="A21" s="153" t="s">
        <v>55</v>
      </c>
      <c r="B21" s="153">
        <v>30</v>
      </c>
      <c r="C21" s="497"/>
      <c r="D21" s="497"/>
    </row>
    <row r="22" spans="1:4" ht="12.75" customHeight="1" x14ac:dyDescent="0.3">
      <c r="A22" s="153" t="s">
        <v>56</v>
      </c>
      <c r="B22" s="153">
        <v>25</v>
      </c>
      <c r="C22" s="497"/>
      <c r="D22" s="497"/>
    </row>
    <row r="23" spans="1:4" ht="12.75" customHeight="1" x14ac:dyDescent="0.3">
      <c r="A23" s="153"/>
      <c r="B23" s="481"/>
      <c r="C23" s="497"/>
      <c r="D23" s="497"/>
    </row>
    <row r="24" spans="1:4" ht="12.6" customHeight="1" x14ac:dyDescent="0.3">
      <c r="A24" s="494" t="s">
        <v>57</v>
      </c>
      <c r="B24" s="490"/>
      <c r="C24" s="497"/>
      <c r="D24" s="497"/>
    </row>
    <row r="25" spans="1:4" ht="12.75" customHeight="1" x14ac:dyDescent="0.3">
      <c r="A25" s="495"/>
      <c r="B25" s="491">
        <f>((B19*2)+(B20*4)+(B21*3)+(B22*3))/12</f>
        <v>28.75</v>
      </c>
      <c r="C25" s="497"/>
      <c r="D25" s="497"/>
    </row>
    <row r="26" spans="1:4" ht="12.75" customHeight="1" x14ac:dyDescent="0.3">
      <c r="A26" s="496"/>
      <c r="B26" s="156"/>
      <c r="C26" s="497"/>
      <c r="D26" s="497"/>
    </row>
    <row r="30" spans="1:4" ht="12.75" customHeight="1" x14ac:dyDescent="0.3">
      <c r="A30" s="482"/>
    </row>
    <row r="32" spans="1:4" ht="12.75" customHeight="1" x14ac:dyDescent="0.3">
      <c r="A32" s="482"/>
    </row>
  </sheetData>
  <mergeCells count="3">
    <mergeCell ref="A13:C13"/>
    <mergeCell ref="A24:A26"/>
    <mergeCell ref="C19:D26"/>
  </mergeCells>
  <hyperlinks>
    <hyperlink ref="F1" location="Index!A1" display="Return to index"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8"/>
  <sheetViews>
    <sheetView workbookViewId="0">
      <selection activeCell="C31" sqref="C31"/>
    </sheetView>
  </sheetViews>
  <sheetFormatPr defaultColWidth="9.109375" defaultRowHeight="12.75" customHeight="1" x14ac:dyDescent="0.25"/>
  <cols>
    <col min="1" max="2" width="45.5546875" style="2" customWidth="1"/>
    <col min="3" max="16384" width="9.109375" style="2"/>
  </cols>
  <sheetData>
    <row r="1" spans="1:12" s="73" customFormat="1" ht="16.5" customHeight="1" x14ac:dyDescent="0.3">
      <c r="A1" s="73" t="s">
        <v>58</v>
      </c>
      <c r="D1" s="352" t="s">
        <v>23</v>
      </c>
      <c r="E1" s="55"/>
    </row>
    <row r="2" spans="1:12" ht="15" customHeight="1" x14ac:dyDescent="0.25">
      <c r="A2" s="486" t="s">
        <v>433</v>
      </c>
    </row>
    <row r="3" spans="1:12" ht="6" customHeight="1" x14ac:dyDescent="0.25">
      <c r="A3" s="9"/>
      <c r="B3" s="9"/>
    </row>
    <row r="4" spans="1:12" ht="6" customHeight="1" x14ac:dyDescent="0.25">
      <c r="A4" s="153"/>
      <c r="B4" s="153"/>
    </row>
    <row r="5" spans="1:12" ht="12.75" customHeight="1" x14ac:dyDescent="0.25">
      <c r="A5" s="176" t="s">
        <v>59</v>
      </c>
      <c r="B5" s="154" t="s">
        <v>60</v>
      </c>
    </row>
    <row r="6" spans="1:12" ht="6" customHeight="1" x14ac:dyDescent="0.25">
      <c r="A6" s="172"/>
      <c r="B6" s="172"/>
    </row>
    <row r="7" spans="1:12" ht="6" customHeight="1" x14ac:dyDescent="0.25">
      <c r="A7" s="174"/>
      <c r="B7" s="174"/>
    </row>
    <row r="8" spans="1:12" ht="12.75" customHeight="1" x14ac:dyDescent="0.25">
      <c r="A8" s="174"/>
      <c r="B8" s="155" t="s">
        <v>31</v>
      </c>
    </row>
    <row r="9" spans="1:12" ht="6" customHeight="1" x14ac:dyDescent="0.25">
      <c r="A9" s="174"/>
      <c r="B9" s="174"/>
    </row>
    <row r="10" spans="1:12" ht="12.75" customHeight="1" x14ac:dyDescent="0.25">
      <c r="A10" s="171">
        <v>1</v>
      </c>
      <c r="B10" s="177">
        <v>22</v>
      </c>
      <c r="C10" s="39"/>
    </row>
    <row r="11" spans="1:12" ht="12.75" customHeight="1" x14ac:dyDescent="0.25">
      <c r="A11" s="171">
        <v>2</v>
      </c>
      <c r="B11" s="177">
        <v>33</v>
      </c>
      <c r="C11" s="39"/>
    </row>
    <row r="12" spans="1:12" ht="12.75" customHeight="1" x14ac:dyDescent="0.25">
      <c r="A12" s="171">
        <v>3</v>
      </c>
      <c r="B12" s="177">
        <v>26</v>
      </c>
      <c r="C12" s="39"/>
      <c r="D12" s="6"/>
    </row>
    <row r="13" spans="1:12" ht="15" x14ac:dyDescent="0.25">
      <c r="A13" s="171">
        <v>4</v>
      </c>
      <c r="B13" s="177">
        <v>19</v>
      </c>
      <c r="C13" s="39"/>
      <c r="I13" s="6"/>
      <c r="J13" s="6"/>
      <c r="K13" s="6"/>
      <c r="L13" s="6"/>
    </row>
    <row r="14" spans="1:12" ht="6" customHeight="1" x14ac:dyDescent="0.25">
      <c r="A14" s="178"/>
      <c r="B14" s="179"/>
      <c r="I14" s="6"/>
      <c r="J14" s="6"/>
      <c r="K14" s="6"/>
      <c r="L14" s="6"/>
    </row>
    <row r="15" spans="1:12" ht="6" customHeight="1" x14ac:dyDescent="0.25">
      <c r="A15" s="171"/>
      <c r="B15" s="177"/>
      <c r="I15" s="6"/>
      <c r="J15" s="6"/>
      <c r="K15" s="6"/>
      <c r="L15" s="6"/>
    </row>
    <row r="16" spans="1:12" ht="12.75" customHeight="1" x14ac:dyDescent="0.25">
      <c r="A16" s="176" t="s">
        <v>61</v>
      </c>
      <c r="B16" s="180">
        <v>100</v>
      </c>
      <c r="I16" s="6"/>
      <c r="J16" s="6"/>
      <c r="K16" s="6"/>
      <c r="L16" s="6"/>
    </row>
    <row r="17" spans="1:12" ht="6" customHeight="1" x14ac:dyDescent="0.25">
      <c r="A17" s="156"/>
      <c r="B17" s="181"/>
      <c r="I17" s="6"/>
      <c r="J17" s="6"/>
      <c r="K17" s="6"/>
      <c r="L17" s="6"/>
    </row>
    <row r="18" spans="1:12" ht="6" customHeight="1" x14ac:dyDescent="0.25">
      <c r="A18" s="498" t="s">
        <v>62</v>
      </c>
      <c r="B18" s="499"/>
      <c r="I18" s="6"/>
      <c r="J18" s="6"/>
      <c r="K18" s="6"/>
      <c r="L18" s="6"/>
    </row>
    <row r="19" spans="1:12" ht="12.75" customHeight="1" x14ac:dyDescent="0.25">
      <c r="A19" s="499"/>
      <c r="B19" s="499"/>
      <c r="I19" s="6"/>
      <c r="J19" s="6"/>
      <c r="K19" s="6"/>
      <c r="L19" s="6"/>
    </row>
    <row r="20" spans="1:12" ht="7.5" customHeight="1" x14ac:dyDescent="0.25"/>
    <row r="24" spans="1:12" ht="12.75" customHeight="1" x14ac:dyDescent="0.25">
      <c r="E24" s="74"/>
      <c r="F24" s="75"/>
      <c r="G24" s="76"/>
      <c r="H24" s="76"/>
      <c r="I24" s="76"/>
    </row>
    <row r="25" spans="1:12" ht="12.75" customHeight="1" x14ac:dyDescent="0.25">
      <c r="E25" s="74"/>
      <c r="F25" s="75"/>
      <c r="G25" s="76"/>
      <c r="H25" s="76"/>
      <c r="I25" s="76"/>
    </row>
    <row r="26" spans="1:12" ht="12.75" customHeight="1" x14ac:dyDescent="0.25">
      <c r="E26" s="74"/>
      <c r="F26" s="75"/>
      <c r="G26" s="76"/>
      <c r="H26" s="76"/>
      <c r="I26" s="76"/>
    </row>
    <row r="27" spans="1:12" ht="12.75" customHeight="1" x14ac:dyDescent="0.25">
      <c r="A27" s="466"/>
      <c r="E27" s="74"/>
      <c r="F27" s="75"/>
      <c r="G27" s="76"/>
      <c r="H27" s="76"/>
      <c r="I27" s="76"/>
    </row>
    <row r="28" spans="1:12" ht="12.75" customHeight="1" x14ac:dyDescent="0.25">
      <c r="E28" s="74"/>
      <c r="F28" s="75"/>
      <c r="G28" s="76"/>
      <c r="H28" s="76"/>
      <c r="I28" s="77"/>
    </row>
  </sheetData>
  <mergeCells count="1">
    <mergeCell ref="A18:B19"/>
  </mergeCells>
  <hyperlinks>
    <hyperlink ref="D1" location="Index!A1" display="Return to index"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I35"/>
  <sheetViews>
    <sheetView workbookViewId="0">
      <selection activeCell="D17" sqref="D17"/>
    </sheetView>
  </sheetViews>
  <sheetFormatPr defaultColWidth="9.109375" defaultRowHeight="15" x14ac:dyDescent="0.25"/>
  <cols>
    <col min="1" max="1" width="25.5546875" style="2" customWidth="1"/>
    <col min="2" max="4" width="22.5546875" style="2" customWidth="1"/>
    <col min="5" max="16384" width="9.109375" style="2"/>
  </cols>
  <sheetData>
    <row r="1" spans="1:9" ht="16.5" customHeight="1" x14ac:dyDescent="0.3">
      <c r="A1" s="73" t="s">
        <v>434</v>
      </c>
      <c r="B1" s="1"/>
      <c r="C1" s="1"/>
      <c r="D1" s="1"/>
      <c r="E1" s="1"/>
      <c r="F1" s="446" t="s">
        <v>23</v>
      </c>
      <c r="G1" s="42"/>
    </row>
    <row r="2" spans="1:9" ht="15.6" x14ac:dyDescent="0.3">
      <c r="A2" s="2" t="s">
        <v>63</v>
      </c>
      <c r="B2" s="1"/>
      <c r="C2" s="1"/>
      <c r="D2" s="1"/>
      <c r="E2" s="1"/>
      <c r="G2" s="66"/>
    </row>
    <row r="3" spans="1:9" ht="6" customHeight="1" x14ac:dyDescent="0.25">
      <c r="A3" s="1"/>
      <c r="B3" s="1"/>
      <c r="C3" s="1"/>
      <c r="D3" s="1"/>
      <c r="E3" s="1"/>
    </row>
    <row r="4" spans="1:9" ht="26.4" x14ac:dyDescent="0.3">
      <c r="A4" s="182"/>
      <c r="B4" s="183" t="s">
        <v>64</v>
      </c>
      <c r="C4" s="183" t="s">
        <v>65</v>
      </c>
      <c r="D4" s="183" t="s">
        <v>66</v>
      </c>
      <c r="E4" s="1"/>
      <c r="I4" s="55"/>
    </row>
    <row r="5" spans="1:9" ht="6" customHeight="1" x14ac:dyDescent="0.25">
      <c r="A5" s="182"/>
      <c r="B5" s="183"/>
      <c r="C5" s="183"/>
      <c r="D5" s="183"/>
      <c r="E5" s="1"/>
    </row>
    <row r="6" spans="1:9" x14ac:dyDescent="0.25">
      <c r="A6" s="184" t="s">
        <v>67</v>
      </c>
      <c r="B6" s="185">
        <v>19819</v>
      </c>
      <c r="C6" s="444">
        <v>100</v>
      </c>
      <c r="D6" s="444"/>
      <c r="E6" s="1"/>
    </row>
    <row r="7" spans="1:9" x14ac:dyDescent="0.25">
      <c r="A7" s="184" t="s">
        <v>68</v>
      </c>
      <c r="B7" s="185">
        <v>1533</v>
      </c>
      <c r="C7" s="457">
        <f>(B7/B6)*100</f>
        <v>7.7350017659821386</v>
      </c>
      <c r="D7" s="444"/>
      <c r="E7" s="1"/>
    </row>
    <row r="8" spans="1:9" x14ac:dyDescent="0.25">
      <c r="A8" s="184" t="s">
        <v>69</v>
      </c>
      <c r="B8" s="185">
        <v>0</v>
      </c>
      <c r="C8" s="447">
        <v>0</v>
      </c>
      <c r="D8" s="444"/>
      <c r="E8" s="1"/>
    </row>
    <row r="9" spans="1:9" x14ac:dyDescent="0.25">
      <c r="A9" s="185" t="s">
        <v>70</v>
      </c>
      <c r="B9" s="186"/>
      <c r="C9" s="186"/>
      <c r="D9" s="186"/>
      <c r="E9" s="1"/>
    </row>
    <row r="10" spans="1:9" ht="6" customHeight="1" x14ac:dyDescent="0.25">
      <c r="A10" s="185"/>
      <c r="B10" s="186"/>
      <c r="C10" s="186"/>
      <c r="D10" s="186"/>
      <c r="E10" s="1"/>
    </row>
    <row r="11" spans="1:9" ht="6" customHeight="1" x14ac:dyDescent="0.25">
      <c r="A11" s="185"/>
      <c r="B11" s="186"/>
      <c r="C11" s="186"/>
      <c r="D11" s="186"/>
      <c r="E11" s="1"/>
    </row>
    <row r="12" spans="1:9" ht="15.6" x14ac:dyDescent="0.3">
      <c r="A12" s="188" t="s">
        <v>71</v>
      </c>
      <c r="B12" s="448">
        <v>18286</v>
      </c>
      <c r="C12" s="449"/>
      <c r="D12" s="449">
        <v>100</v>
      </c>
      <c r="E12" s="5"/>
    </row>
    <row r="13" spans="1:9" ht="6" customHeight="1" x14ac:dyDescent="0.25">
      <c r="A13" s="185"/>
      <c r="B13" s="186"/>
      <c r="C13" s="186"/>
      <c r="D13" s="186"/>
      <c r="E13" s="1"/>
    </row>
    <row r="14" spans="1:9" ht="15.6" x14ac:dyDescent="0.3">
      <c r="A14" s="185" t="s">
        <v>72</v>
      </c>
      <c r="B14">
        <v>4061</v>
      </c>
      <c r="C14" s="450"/>
      <c r="D14" s="451">
        <f>B14/B12*100</f>
        <v>22.208246746144592</v>
      </c>
      <c r="E14" s="7"/>
    </row>
    <row r="15" spans="1:9" ht="15.6" x14ac:dyDescent="0.3">
      <c r="A15" s="452" t="s">
        <v>440</v>
      </c>
      <c r="B15" s="186"/>
      <c r="C15" s="186"/>
      <c r="D15" s="186"/>
      <c r="E15" s="7"/>
    </row>
    <row r="16" spans="1:9" ht="6" customHeight="1" x14ac:dyDescent="0.3">
      <c r="A16" s="185"/>
      <c r="B16" s="186"/>
      <c r="C16" s="186"/>
      <c r="D16" s="186"/>
      <c r="E16" s="7"/>
    </row>
    <row r="17" spans="1:6" ht="15.6" x14ac:dyDescent="0.3">
      <c r="A17" s="185" t="s">
        <v>73</v>
      </c>
      <c r="B17">
        <v>7526</v>
      </c>
      <c r="C17" s="444"/>
      <c r="D17" s="186">
        <f>B17/B12*100</f>
        <v>41.157169419227827</v>
      </c>
      <c r="E17" s="7"/>
    </row>
    <row r="18" spans="1:6" ht="6" customHeight="1" x14ac:dyDescent="0.25">
      <c r="A18" s="185"/>
      <c r="B18" s="185"/>
      <c r="C18" s="186"/>
      <c r="D18" s="186"/>
      <c r="E18" s="1"/>
    </row>
    <row r="19" spans="1:6" ht="15.6" x14ac:dyDescent="0.3">
      <c r="A19" s="448" t="s">
        <v>74</v>
      </c>
      <c r="B19" s="448">
        <v>6699</v>
      </c>
      <c r="C19" s="445"/>
      <c r="D19" s="451">
        <f>(B19/B12)*100</f>
        <v>36.634583834627584</v>
      </c>
    </row>
    <row r="20" spans="1:6" ht="6" customHeight="1" x14ac:dyDescent="0.3">
      <c r="A20" s="157"/>
      <c r="B20" s="153"/>
      <c r="C20" s="186"/>
      <c r="D20" s="186"/>
    </row>
    <row r="21" spans="1:6" ht="15.6" x14ac:dyDescent="0.3">
      <c r="A21" s="185" t="s">
        <v>75</v>
      </c>
      <c r="B21" s="185">
        <v>792</v>
      </c>
      <c r="C21" s="444"/>
      <c r="D21" s="451">
        <f>B21/B12*100</f>
        <v>4.3311823252761679</v>
      </c>
    </row>
    <row r="22" spans="1:6" ht="6" customHeight="1" x14ac:dyDescent="0.3">
      <c r="A22" s="157"/>
      <c r="B22" s="157"/>
      <c r="C22" s="186"/>
      <c r="D22" s="186"/>
    </row>
    <row r="23" spans="1:6" ht="15.6" x14ac:dyDescent="0.3">
      <c r="A23" s="185" t="s">
        <v>76</v>
      </c>
      <c r="B23" s="185">
        <v>768</v>
      </c>
      <c r="C23" s="444"/>
      <c r="D23" s="451">
        <f>B23/B12*100</f>
        <v>4.1999343760253742</v>
      </c>
      <c r="F23" s="1"/>
    </row>
    <row r="24" spans="1:6" ht="6" customHeight="1" x14ac:dyDescent="0.25">
      <c r="A24" s="153"/>
      <c r="B24" s="153"/>
      <c r="C24" s="153"/>
      <c r="D24" s="186"/>
    </row>
    <row r="25" spans="1:6" ht="6" customHeight="1" x14ac:dyDescent="0.25"/>
    <row r="27" spans="1:6" x14ac:dyDescent="0.25">
      <c r="B27" s="1"/>
      <c r="C27" s="1"/>
      <c r="D27" s="1"/>
    </row>
    <row r="28" spans="1:6" x14ac:dyDescent="0.25">
      <c r="B28" s="1"/>
    </row>
    <row r="29" spans="1:6" x14ac:dyDescent="0.25">
      <c r="B29" s="1"/>
    </row>
    <row r="30" spans="1:6" x14ac:dyDescent="0.25">
      <c r="D30" s="6"/>
    </row>
    <row r="31" spans="1:6" x14ac:dyDescent="0.25">
      <c r="B31" s="1"/>
    </row>
    <row r="33" spans="2:4" x14ac:dyDescent="0.25">
      <c r="B33" s="1"/>
    </row>
    <row r="35" spans="2:4" x14ac:dyDescent="0.25">
      <c r="B35" s="458"/>
      <c r="C35" s="458"/>
      <c r="D35" s="458"/>
    </row>
  </sheetData>
  <hyperlinks>
    <hyperlink ref="F1" location="Index!A1" display="Return to index"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Y84"/>
  <sheetViews>
    <sheetView topLeftCell="A68" zoomScaleNormal="100" workbookViewId="0">
      <selection activeCell="P71" sqref="P71"/>
    </sheetView>
  </sheetViews>
  <sheetFormatPr defaultColWidth="23.109375" defaultRowHeight="15" x14ac:dyDescent="0.25"/>
  <cols>
    <col min="1" max="2" width="30.5546875" style="11" customWidth="1"/>
    <col min="3" max="3" width="5.5546875" style="10" customWidth="1"/>
    <col min="4" max="255" width="9.109375" style="2" customWidth="1"/>
    <col min="256" max="16384" width="23.109375" style="2"/>
  </cols>
  <sheetData>
    <row r="1" spans="1:8" ht="16.5" customHeight="1" x14ac:dyDescent="0.3">
      <c r="A1" s="73" t="s">
        <v>77</v>
      </c>
      <c r="B1" s="10"/>
      <c r="H1" s="42"/>
    </row>
    <row r="2" spans="1:8" ht="16.5" customHeight="1" x14ac:dyDescent="0.3">
      <c r="A2" s="486" t="s">
        <v>435</v>
      </c>
      <c r="E2" s="352" t="s">
        <v>23</v>
      </c>
      <c r="H2" s="66"/>
    </row>
    <row r="3" spans="1:8" ht="6" customHeight="1" x14ac:dyDescent="0.25">
      <c r="A3" s="12"/>
      <c r="B3" s="12"/>
      <c r="C3" s="13"/>
    </row>
    <row r="4" spans="1:8" ht="6" customHeight="1" x14ac:dyDescent="0.3">
      <c r="A4" s="14"/>
    </row>
    <row r="5" spans="1:8" s="18" customFormat="1" ht="12.75" customHeight="1" x14ac:dyDescent="0.3">
      <c r="A5" s="14" t="s">
        <v>78</v>
      </c>
      <c r="B5" s="501" t="s">
        <v>79</v>
      </c>
      <c r="C5" s="502"/>
    </row>
    <row r="6" spans="1:8" s="18" customFormat="1" ht="6" customHeight="1" x14ac:dyDescent="0.3">
      <c r="A6" s="15"/>
      <c r="B6" s="16"/>
      <c r="C6" s="17"/>
    </row>
    <row r="7" spans="1:8" s="18" customFormat="1" ht="6" customHeight="1" x14ac:dyDescent="0.3">
      <c r="A7" s="14"/>
      <c r="B7" s="19"/>
      <c r="C7" s="20"/>
    </row>
    <row r="8" spans="1:8" ht="14.25" customHeight="1" x14ac:dyDescent="0.25">
      <c r="A8" s="171">
        <v>1977</v>
      </c>
      <c r="B8" s="155">
        <v>70</v>
      </c>
      <c r="C8" s="171"/>
    </row>
    <row r="9" spans="1:8" ht="14.25" customHeight="1" x14ac:dyDescent="0.25">
      <c r="A9" s="171">
        <v>1978</v>
      </c>
      <c r="B9" s="155">
        <v>68</v>
      </c>
      <c r="C9" s="171"/>
    </row>
    <row r="10" spans="1:8" ht="14.25" customHeight="1" x14ac:dyDescent="0.25">
      <c r="A10" s="171">
        <v>1979</v>
      </c>
      <c r="B10" s="155">
        <v>68</v>
      </c>
      <c r="C10" s="171"/>
    </row>
    <row r="11" spans="1:8" ht="14.25" customHeight="1" x14ac:dyDescent="0.25">
      <c r="A11" s="171">
        <v>1980</v>
      </c>
      <c r="B11" s="155">
        <v>67</v>
      </c>
      <c r="C11" s="171"/>
    </row>
    <row r="12" spans="1:8" ht="14.25" customHeight="1" x14ac:dyDescent="0.25">
      <c r="A12" s="171">
        <v>1981</v>
      </c>
      <c r="B12" s="155">
        <v>72</v>
      </c>
      <c r="C12" s="171"/>
    </row>
    <row r="13" spans="1:8" ht="14.25" customHeight="1" x14ac:dyDescent="0.25">
      <c r="A13" s="171">
        <v>1982</v>
      </c>
      <c r="B13" s="155">
        <v>72</v>
      </c>
      <c r="C13" s="171"/>
    </row>
    <row r="14" spans="1:8" ht="14.25" customHeight="1" x14ac:dyDescent="0.25">
      <c r="A14" s="171">
        <v>1983</v>
      </c>
      <c r="B14" s="155">
        <v>67</v>
      </c>
      <c r="C14" s="171"/>
    </row>
    <row r="15" spans="1:8" ht="14.25" customHeight="1" x14ac:dyDescent="0.25">
      <c r="A15" s="171">
        <v>1984</v>
      </c>
      <c r="B15" s="155">
        <v>68</v>
      </c>
      <c r="C15" s="171"/>
    </row>
    <row r="16" spans="1:8" ht="14.25" customHeight="1" x14ac:dyDescent="0.25">
      <c r="A16" s="171">
        <v>1985</v>
      </c>
      <c r="B16" s="155">
        <v>68</v>
      </c>
      <c r="C16" s="171"/>
    </row>
    <row r="17" spans="1:25" ht="14.25" customHeight="1" x14ac:dyDescent="0.25">
      <c r="A17" s="171">
        <v>1986</v>
      </c>
      <c r="B17" s="155">
        <v>70</v>
      </c>
      <c r="C17" s="171"/>
    </row>
    <row r="18" spans="1:25" ht="14.25" customHeight="1" x14ac:dyDescent="0.25">
      <c r="A18" s="171">
        <v>1987</v>
      </c>
      <c r="B18" s="155">
        <v>72</v>
      </c>
      <c r="C18" s="171"/>
    </row>
    <row r="19" spans="1:25" ht="14.25" customHeight="1" x14ac:dyDescent="0.25">
      <c r="A19" s="171">
        <v>1988</v>
      </c>
      <c r="B19" s="155">
        <v>71</v>
      </c>
      <c r="C19" s="171"/>
    </row>
    <row r="20" spans="1:25" ht="14.25" customHeight="1" x14ac:dyDescent="0.25">
      <c r="A20" s="171">
        <v>1989</v>
      </c>
      <c r="B20" s="155">
        <v>72</v>
      </c>
      <c r="C20" s="171"/>
    </row>
    <row r="21" spans="1:25" ht="14.25" customHeight="1" x14ac:dyDescent="0.25">
      <c r="A21" s="171">
        <v>1990</v>
      </c>
      <c r="B21" s="155">
        <v>69</v>
      </c>
      <c r="C21" s="171"/>
    </row>
    <row r="22" spans="1:25" ht="14.25" customHeight="1" x14ac:dyDescent="0.25">
      <c r="A22" s="171">
        <v>1991</v>
      </c>
      <c r="B22" s="155">
        <v>69</v>
      </c>
      <c r="C22" s="171"/>
    </row>
    <row r="23" spans="1:25" ht="14.25" customHeight="1" x14ac:dyDescent="0.25">
      <c r="A23" s="171">
        <v>1992</v>
      </c>
      <c r="B23" s="155">
        <v>72</v>
      </c>
      <c r="C23" s="171"/>
    </row>
    <row r="24" spans="1:25" ht="14.25" customHeight="1" x14ac:dyDescent="0.25">
      <c r="A24" s="171">
        <v>1993</v>
      </c>
      <c r="B24" s="155">
        <v>69</v>
      </c>
      <c r="C24" s="171"/>
    </row>
    <row r="25" spans="1:25" ht="14.25" customHeight="1" x14ac:dyDescent="0.25">
      <c r="A25" s="171" t="s">
        <v>80</v>
      </c>
      <c r="B25" s="155">
        <v>66</v>
      </c>
      <c r="C25" s="171"/>
    </row>
    <row r="26" spans="1:25" ht="14.25" customHeight="1" x14ac:dyDescent="0.25">
      <c r="A26" s="171" t="s">
        <v>81</v>
      </c>
      <c r="B26" s="155">
        <v>66</v>
      </c>
      <c r="C26" s="171"/>
    </row>
    <row r="27" spans="1:25" ht="14.25" customHeight="1" x14ac:dyDescent="0.25">
      <c r="A27" s="171" t="s">
        <v>82</v>
      </c>
      <c r="B27" s="155">
        <v>62</v>
      </c>
      <c r="C27" s="171"/>
    </row>
    <row r="28" spans="1:25" ht="14.25" customHeight="1" x14ac:dyDescent="0.25">
      <c r="A28" s="171" t="s">
        <v>83</v>
      </c>
      <c r="B28" s="155">
        <v>62</v>
      </c>
      <c r="C28" s="171"/>
    </row>
    <row r="29" spans="1:25" ht="14.25" customHeight="1" x14ac:dyDescent="0.25">
      <c r="A29" s="171" t="s">
        <v>84</v>
      </c>
      <c r="B29" s="155">
        <v>58</v>
      </c>
      <c r="C29" s="171" t="s">
        <v>85</v>
      </c>
    </row>
    <row r="30" spans="1:25" ht="14.25" customHeight="1" x14ac:dyDescent="0.25">
      <c r="A30" s="171" t="s">
        <v>86</v>
      </c>
      <c r="B30" s="155">
        <v>63</v>
      </c>
      <c r="C30" s="171" t="s">
        <v>85</v>
      </c>
    </row>
    <row r="31" spans="1:25" ht="14.25" customHeight="1" x14ac:dyDescent="0.25">
      <c r="A31" s="171" t="s">
        <v>87</v>
      </c>
      <c r="B31" s="155">
        <v>59</v>
      </c>
      <c r="C31" s="171"/>
      <c r="H31" s="21"/>
      <c r="I31" s="21"/>
      <c r="J31" s="21"/>
      <c r="K31" s="21"/>
      <c r="L31" s="21"/>
      <c r="M31" s="21"/>
      <c r="N31" s="21"/>
      <c r="O31" s="21"/>
      <c r="P31" s="21"/>
      <c r="Q31" s="21"/>
      <c r="R31" s="21"/>
      <c r="S31" s="21"/>
      <c r="T31" s="21"/>
      <c r="U31" s="21"/>
      <c r="V31" s="21"/>
      <c r="W31" s="21"/>
      <c r="X31" s="21"/>
      <c r="Y31" s="21"/>
    </row>
    <row r="32" spans="1:25" ht="16.2" x14ac:dyDescent="0.3">
      <c r="A32" s="171" t="s">
        <v>88</v>
      </c>
      <c r="B32" s="155">
        <v>62</v>
      </c>
      <c r="C32" s="189" t="s">
        <v>89</v>
      </c>
      <c r="H32" s="5"/>
      <c r="I32" s="504"/>
      <c r="J32" s="504"/>
      <c r="K32" s="22"/>
      <c r="L32" s="504"/>
      <c r="M32" s="504"/>
      <c r="N32" s="22"/>
      <c r="O32" s="504"/>
      <c r="P32" s="504"/>
      <c r="Q32" s="22"/>
      <c r="R32" s="503"/>
      <c r="S32" s="504"/>
      <c r="T32" s="22"/>
      <c r="U32" s="503"/>
      <c r="V32" s="504"/>
      <c r="W32" s="5"/>
      <c r="X32" s="505"/>
      <c r="Y32" s="505"/>
    </row>
    <row r="33" spans="1:25" ht="15.6" x14ac:dyDescent="0.25">
      <c r="A33" s="171" t="s">
        <v>90</v>
      </c>
      <c r="B33" s="155">
        <v>58</v>
      </c>
      <c r="C33" s="189" t="s">
        <v>89</v>
      </c>
      <c r="H33" s="21"/>
      <c r="I33" s="23"/>
      <c r="J33" s="23"/>
      <c r="K33" s="23"/>
      <c r="L33" s="23"/>
      <c r="M33" s="23"/>
      <c r="N33" s="23"/>
      <c r="O33" s="23"/>
      <c r="P33" s="23"/>
      <c r="Q33" s="23"/>
      <c r="R33" s="23"/>
      <c r="S33" s="23"/>
      <c r="T33" s="23"/>
      <c r="U33" s="23"/>
      <c r="V33" s="23"/>
      <c r="W33" s="21"/>
      <c r="X33" s="23"/>
      <c r="Y33" s="23"/>
    </row>
    <row r="34" spans="1:25" ht="16.2" x14ac:dyDescent="0.3">
      <c r="A34" s="171" t="s">
        <v>91</v>
      </c>
      <c r="B34" s="155">
        <v>58</v>
      </c>
      <c r="C34" s="189" t="s">
        <v>89</v>
      </c>
      <c r="H34" s="5"/>
      <c r="I34" s="21"/>
      <c r="J34" s="21"/>
      <c r="K34" s="21"/>
      <c r="L34" s="21"/>
      <c r="M34" s="21"/>
      <c r="N34" s="21"/>
      <c r="O34" s="21"/>
      <c r="P34" s="21"/>
      <c r="Q34" s="21"/>
      <c r="R34" s="21"/>
      <c r="S34" s="21"/>
      <c r="T34" s="21"/>
      <c r="U34" s="21"/>
      <c r="V34" s="21"/>
      <c r="W34" s="21"/>
      <c r="X34" s="21"/>
      <c r="Y34" s="21"/>
    </row>
    <row r="35" spans="1:25" ht="16.2" x14ac:dyDescent="0.3">
      <c r="A35" s="171" t="s">
        <v>92</v>
      </c>
      <c r="B35" s="155">
        <v>57</v>
      </c>
      <c r="C35" s="189" t="s">
        <v>89</v>
      </c>
      <c r="H35" s="5"/>
      <c r="I35" s="21"/>
      <c r="J35" s="21"/>
      <c r="K35" s="21"/>
      <c r="L35" s="21"/>
      <c r="M35" s="21"/>
      <c r="N35" s="21"/>
      <c r="O35" s="21"/>
      <c r="P35" s="21"/>
      <c r="Q35" s="21"/>
      <c r="R35" s="21"/>
      <c r="S35" s="21"/>
      <c r="T35" s="21"/>
      <c r="U35" s="21"/>
      <c r="V35" s="21"/>
      <c r="W35" s="21"/>
      <c r="X35" s="21"/>
      <c r="Y35" s="21"/>
    </row>
    <row r="36" spans="1:25" ht="16.2" x14ac:dyDescent="0.3">
      <c r="A36" s="171" t="s">
        <v>93</v>
      </c>
      <c r="B36" s="155">
        <v>57</v>
      </c>
      <c r="C36" s="189" t="s">
        <v>89</v>
      </c>
      <c r="H36" s="5"/>
      <c r="I36" s="21"/>
      <c r="J36" s="21"/>
      <c r="K36" s="21"/>
      <c r="L36" s="21"/>
      <c r="M36" s="21"/>
      <c r="N36" s="21"/>
      <c r="O36" s="21"/>
      <c r="P36" s="21"/>
      <c r="Q36" s="21"/>
      <c r="R36" s="21"/>
      <c r="S36" s="21"/>
      <c r="T36" s="21"/>
      <c r="U36" s="21"/>
      <c r="V36" s="21"/>
      <c r="W36" s="21"/>
      <c r="X36" s="21"/>
      <c r="Y36" s="21"/>
    </row>
    <row r="37" spans="1:25" ht="16.2" x14ac:dyDescent="0.3">
      <c r="A37" s="171">
        <v>2006</v>
      </c>
      <c r="B37" s="155">
        <v>55</v>
      </c>
      <c r="C37" s="189" t="s">
        <v>89</v>
      </c>
      <c r="H37" s="5"/>
      <c r="I37" s="21"/>
      <c r="J37" s="21"/>
      <c r="K37" s="21"/>
      <c r="L37" s="21"/>
      <c r="M37" s="21"/>
      <c r="N37" s="21"/>
      <c r="O37" s="21"/>
      <c r="P37" s="21"/>
      <c r="Q37" s="21"/>
      <c r="R37" s="21"/>
      <c r="S37" s="21"/>
      <c r="T37" s="21"/>
      <c r="U37" s="21"/>
      <c r="V37" s="21"/>
      <c r="W37" s="21"/>
      <c r="X37" s="21"/>
      <c r="Y37" s="21"/>
    </row>
    <row r="38" spans="1:25" ht="16.2" x14ac:dyDescent="0.3">
      <c r="A38" s="190">
        <v>2007</v>
      </c>
      <c r="B38" s="191">
        <v>53</v>
      </c>
      <c r="C38" s="189" t="s">
        <v>89</v>
      </c>
      <c r="H38" s="5"/>
      <c r="I38" s="21"/>
      <c r="J38" s="21"/>
      <c r="K38" s="21"/>
      <c r="L38" s="21"/>
      <c r="M38" s="21"/>
      <c r="N38" s="21"/>
      <c r="O38" s="21"/>
      <c r="P38" s="21"/>
      <c r="Q38" s="21"/>
      <c r="R38" s="21"/>
      <c r="S38" s="21"/>
      <c r="T38" s="21"/>
      <c r="U38" s="21"/>
      <c r="V38" s="21"/>
      <c r="W38" s="21"/>
      <c r="X38" s="21"/>
      <c r="Y38" s="21"/>
    </row>
    <row r="39" spans="1:25" ht="14.25" customHeight="1" x14ac:dyDescent="0.3">
      <c r="A39" s="171">
        <v>2008</v>
      </c>
      <c r="B39" s="155">
        <v>51</v>
      </c>
      <c r="C39" s="171" t="s">
        <v>94</v>
      </c>
      <c r="H39" s="5"/>
      <c r="I39" s="21"/>
      <c r="J39" s="21"/>
      <c r="K39" s="21"/>
      <c r="L39" s="21"/>
      <c r="M39" s="21"/>
      <c r="N39" s="21"/>
      <c r="O39" s="21"/>
      <c r="P39" s="21"/>
      <c r="Q39" s="21"/>
      <c r="R39" s="21"/>
      <c r="S39" s="21"/>
      <c r="T39" s="21"/>
      <c r="U39" s="21"/>
      <c r="V39" s="21"/>
      <c r="W39" s="21"/>
      <c r="X39" s="21"/>
      <c r="Y39" s="21"/>
    </row>
    <row r="40" spans="1:25" ht="14.25" customHeight="1" x14ac:dyDescent="0.3">
      <c r="A40" s="171">
        <v>2009</v>
      </c>
      <c r="B40" s="155">
        <v>50</v>
      </c>
      <c r="C40" s="171" t="s">
        <v>94</v>
      </c>
      <c r="H40" s="5"/>
      <c r="I40" s="21"/>
      <c r="J40" s="21"/>
      <c r="K40" s="21"/>
      <c r="L40" s="21"/>
      <c r="M40" s="21"/>
      <c r="N40" s="21"/>
      <c r="O40" s="21"/>
      <c r="P40" s="21"/>
      <c r="Q40" s="21"/>
      <c r="R40" s="21"/>
      <c r="S40" s="21"/>
      <c r="T40" s="21"/>
      <c r="U40" s="21"/>
      <c r="V40" s="21"/>
      <c r="W40" s="21"/>
      <c r="X40" s="21"/>
      <c r="Y40" s="21"/>
    </row>
    <row r="41" spans="1:25" ht="14.25" customHeight="1" x14ac:dyDescent="0.3">
      <c r="A41" s="171">
        <v>2010</v>
      </c>
      <c r="B41" s="155">
        <v>50</v>
      </c>
      <c r="C41" s="192" t="s">
        <v>94</v>
      </c>
      <c r="H41" s="5"/>
      <c r="I41" s="21"/>
      <c r="J41" s="21"/>
      <c r="K41" s="21"/>
      <c r="L41" s="21"/>
      <c r="M41" s="21"/>
      <c r="N41" s="21"/>
      <c r="O41" s="21"/>
      <c r="P41" s="21"/>
      <c r="Q41" s="21"/>
      <c r="R41" s="21"/>
      <c r="S41" s="21"/>
      <c r="T41" s="21"/>
      <c r="U41" s="21"/>
      <c r="V41" s="21"/>
      <c r="W41" s="21"/>
      <c r="X41" s="21"/>
      <c r="Y41" s="21"/>
    </row>
    <row r="42" spans="1:25" ht="14.25" customHeight="1" x14ac:dyDescent="0.3">
      <c r="A42" s="171">
        <v>2011</v>
      </c>
      <c r="B42" s="155">
        <v>54</v>
      </c>
      <c r="C42" s="192" t="s">
        <v>94</v>
      </c>
      <c r="H42" s="5"/>
      <c r="I42" s="21"/>
      <c r="J42" s="21"/>
      <c r="K42" s="21"/>
      <c r="L42" s="21"/>
      <c r="M42" s="21"/>
      <c r="N42" s="21"/>
      <c r="O42" s="21"/>
      <c r="P42" s="21"/>
      <c r="Q42" s="21"/>
      <c r="R42" s="21"/>
      <c r="S42" s="21"/>
      <c r="T42" s="21"/>
      <c r="U42" s="21"/>
      <c r="V42" s="21"/>
      <c r="W42" s="21"/>
      <c r="X42" s="21"/>
      <c r="Y42" s="21"/>
    </row>
    <row r="43" spans="1:25" ht="14.25" customHeight="1" x14ac:dyDescent="0.3">
      <c r="A43" s="171">
        <v>2012</v>
      </c>
      <c r="B43" s="155">
        <v>52</v>
      </c>
      <c r="C43" s="192" t="s">
        <v>94</v>
      </c>
      <c r="H43" s="5"/>
      <c r="I43" s="21"/>
      <c r="J43" s="21"/>
      <c r="K43" s="21"/>
      <c r="L43" s="21"/>
      <c r="M43" s="21"/>
      <c r="N43" s="21"/>
      <c r="O43" s="21"/>
      <c r="P43" s="21"/>
      <c r="Q43" s="21"/>
      <c r="R43" s="21"/>
      <c r="S43" s="21"/>
      <c r="T43" s="21"/>
      <c r="U43" s="21"/>
      <c r="V43" s="21"/>
      <c r="W43" s="21"/>
      <c r="X43" s="21"/>
      <c r="Y43" s="21"/>
    </row>
    <row r="44" spans="1:25" ht="14.25" customHeight="1" x14ac:dyDescent="0.3">
      <c r="A44" s="171">
        <v>2013</v>
      </c>
      <c r="B44" s="155">
        <v>48</v>
      </c>
      <c r="C44" s="192" t="s">
        <v>94</v>
      </c>
      <c r="H44" s="5"/>
      <c r="I44" s="21"/>
      <c r="J44" s="21"/>
      <c r="K44" s="21"/>
      <c r="L44" s="21"/>
      <c r="M44" s="21"/>
      <c r="N44" s="21"/>
      <c r="O44" s="21"/>
      <c r="P44" s="21"/>
      <c r="Q44" s="21"/>
      <c r="R44" s="21"/>
      <c r="S44" s="21"/>
      <c r="T44" s="21"/>
      <c r="U44" s="21"/>
      <c r="V44" s="21"/>
      <c r="W44" s="21"/>
      <c r="X44" s="21"/>
      <c r="Y44" s="21"/>
    </row>
    <row r="45" spans="1:25" ht="14.25" customHeight="1" x14ac:dyDescent="0.3">
      <c r="A45" s="171">
        <v>2014</v>
      </c>
      <c r="B45" s="155">
        <v>48</v>
      </c>
      <c r="C45" s="192" t="s">
        <v>94</v>
      </c>
      <c r="H45" s="5"/>
      <c r="I45" s="21"/>
      <c r="J45" s="21"/>
      <c r="K45" s="21"/>
      <c r="L45" s="21"/>
      <c r="M45" s="21"/>
      <c r="N45" s="21"/>
      <c r="O45" s="21"/>
      <c r="P45" s="21"/>
      <c r="Q45" s="21"/>
      <c r="R45" s="21"/>
      <c r="S45" s="21"/>
      <c r="T45" s="21"/>
      <c r="U45" s="21"/>
      <c r="V45" s="21"/>
      <c r="W45" s="21"/>
      <c r="X45" s="21"/>
      <c r="Y45" s="21"/>
    </row>
    <row r="46" spans="1:25" ht="14.25" customHeight="1" x14ac:dyDescent="0.3">
      <c r="A46" s="171" t="s">
        <v>24</v>
      </c>
      <c r="B46" s="155">
        <v>46</v>
      </c>
      <c r="C46" s="192" t="s">
        <v>94</v>
      </c>
      <c r="H46" s="5"/>
      <c r="I46" s="21"/>
      <c r="J46" s="21"/>
      <c r="K46" s="21"/>
      <c r="L46" s="21"/>
      <c r="M46" s="21"/>
      <c r="N46" s="21"/>
      <c r="O46" s="21"/>
      <c r="P46" s="21"/>
      <c r="Q46" s="21"/>
      <c r="R46" s="21"/>
      <c r="S46" s="21"/>
      <c r="T46" s="21"/>
      <c r="U46" s="21"/>
      <c r="V46" s="21"/>
      <c r="W46" s="21"/>
      <c r="X46" s="21"/>
      <c r="Y46" s="21"/>
    </row>
    <row r="47" spans="1:25" ht="14.25" customHeight="1" x14ac:dyDescent="0.3">
      <c r="A47" s="153" t="s">
        <v>25</v>
      </c>
      <c r="B47" s="153">
        <v>45</v>
      </c>
      <c r="C47" s="153" t="s">
        <v>94</v>
      </c>
      <c r="H47" s="5"/>
      <c r="I47" s="21"/>
      <c r="J47" s="21"/>
      <c r="K47" s="21"/>
      <c r="L47" s="21"/>
      <c r="M47" s="21"/>
      <c r="N47" s="21"/>
      <c r="O47" s="21"/>
      <c r="P47" s="21"/>
      <c r="Q47" s="21"/>
      <c r="R47" s="21"/>
      <c r="S47" s="21"/>
      <c r="T47" s="21"/>
      <c r="U47" s="21"/>
      <c r="V47" s="21"/>
      <c r="W47" s="21"/>
      <c r="X47" s="21"/>
      <c r="Y47" s="21"/>
    </row>
    <row r="48" spans="1:25" ht="14.25" customHeight="1" x14ac:dyDescent="0.3">
      <c r="A48" s="153" t="s">
        <v>26</v>
      </c>
      <c r="B48" s="153">
        <v>43</v>
      </c>
      <c r="C48" s="153" t="s">
        <v>94</v>
      </c>
      <c r="H48" s="5"/>
      <c r="I48" s="21"/>
      <c r="J48" s="21"/>
      <c r="K48" s="21"/>
      <c r="L48" s="21"/>
      <c r="M48" s="21"/>
      <c r="N48" s="21"/>
      <c r="O48" s="21"/>
      <c r="P48" s="21"/>
      <c r="Q48" s="21"/>
      <c r="R48" s="21"/>
      <c r="S48" s="21"/>
      <c r="T48" s="21"/>
      <c r="U48" s="21"/>
      <c r="V48" s="21"/>
      <c r="W48" s="21"/>
      <c r="X48" s="21"/>
      <c r="Y48" s="21"/>
    </row>
    <row r="49" spans="1:25" ht="14.25" customHeight="1" x14ac:dyDescent="0.3">
      <c r="A49" s="153" t="s">
        <v>95</v>
      </c>
      <c r="B49" s="153">
        <v>43</v>
      </c>
      <c r="C49" s="153" t="s">
        <v>94</v>
      </c>
      <c r="H49" s="5"/>
      <c r="I49" s="21"/>
      <c r="J49" s="21"/>
      <c r="K49" s="21"/>
      <c r="L49" s="21"/>
      <c r="M49" s="21"/>
      <c r="N49" s="21"/>
      <c r="O49" s="21"/>
      <c r="P49" s="21"/>
      <c r="Q49" s="21"/>
      <c r="R49" s="21"/>
      <c r="S49" s="21"/>
      <c r="T49" s="21"/>
      <c r="U49" s="21"/>
      <c r="V49" s="21"/>
      <c r="W49" s="21"/>
      <c r="X49" s="21"/>
      <c r="Y49" s="21"/>
    </row>
    <row r="50" spans="1:25" ht="14.1" customHeight="1" x14ac:dyDescent="0.3">
      <c r="A50" s="153" t="s">
        <v>28</v>
      </c>
      <c r="B50" s="153">
        <v>40</v>
      </c>
      <c r="C50" s="153" t="s">
        <v>94</v>
      </c>
      <c r="H50" s="5"/>
      <c r="I50" s="21"/>
      <c r="J50" s="21"/>
      <c r="K50" s="21"/>
      <c r="L50" s="21"/>
      <c r="M50" s="21"/>
      <c r="N50" s="21"/>
      <c r="O50" s="21"/>
      <c r="P50" s="21"/>
      <c r="Q50" s="21"/>
      <c r="R50" s="21"/>
      <c r="S50" s="21"/>
      <c r="T50" s="21"/>
      <c r="U50" s="21"/>
      <c r="V50" s="21"/>
      <c r="W50" s="21"/>
      <c r="X50" s="21"/>
      <c r="Y50" s="21"/>
    </row>
    <row r="51" spans="1:25" ht="14.1" customHeight="1" x14ac:dyDescent="0.3">
      <c r="A51" s="153" t="s">
        <v>29</v>
      </c>
      <c r="B51" s="153">
        <v>24</v>
      </c>
      <c r="C51" s="153" t="s">
        <v>96</v>
      </c>
      <c r="H51" s="5"/>
      <c r="I51" s="21"/>
      <c r="J51" s="21"/>
      <c r="K51" s="21"/>
      <c r="L51" s="21"/>
      <c r="M51" s="21"/>
      <c r="N51" s="21"/>
      <c r="O51" s="21"/>
      <c r="P51" s="21"/>
      <c r="Q51" s="21"/>
      <c r="R51" s="21"/>
      <c r="S51" s="21"/>
      <c r="T51" s="21"/>
      <c r="U51" s="21"/>
      <c r="V51" s="21"/>
      <c r="W51" s="21"/>
      <c r="X51" s="21"/>
      <c r="Y51" s="21"/>
    </row>
    <row r="52" spans="1:25" ht="14.1" customHeight="1" x14ac:dyDescent="0.3">
      <c r="A52" s="153" t="s">
        <v>30</v>
      </c>
      <c r="B52" s="186">
        <v>26.9</v>
      </c>
      <c r="C52" s="153" t="s">
        <v>96</v>
      </c>
      <c r="H52" s="5"/>
      <c r="I52" s="21"/>
      <c r="J52" s="21"/>
      <c r="K52" s="21"/>
      <c r="L52" s="21"/>
      <c r="M52" s="21"/>
      <c r="N52" s="21"/>
      <c r="O52" s="21"/>
      <c r="P52" s="21"/>
      <c r="Q52" s="21"/>
      <c r="R52" s="21"/>
      <c r="S52" s="21"/>
      <c r="T52" s="21"/>
      <c r="U52" s="21"/>
      <c r="V52" s="21"/>
      <c r="W52" s="21"/>
      <c r="X52" s="21"/>
      <c r="Y52" s="21"/>
    </row>
    <row r="53" spans="1:25" ht="14.1" customHeight="1" x14ac:dyDescent="0.3">
      <c r="A53" s="156" t="s">
        <v>439</v>
      </c>
      <c r="B53" s="186">
        <v>22.2</v>
      </c>
      <c r="C53" s="153" t="s">
        <v>96</v>
      </c>
      <c r="H53" s="5"/>
      <c r="I53" s="21"/>
      <c r="J53" s="21"/>
      <c r="K53" s="21"/>
      <c r="L53" s="21"/>
      <c r="M53" s="21"/>
      <c r="N53" s="21"/>
      <c r="O53" s="21"/>
      <c r="P53" s="21"/>
      <c r="Q53" s="21"/>
      <c r="R53" s="21"/>
      <c r="S53" s="21"/>
      <c r="T53" s="21"/>
      <c r="U53" s="21"/>
      <c r="V53" s="21"/>
      <c r="W53" s="21"/>
      <c r="X53" s="21"/>
      <c r="Y53" s="21"/>
    </row>
    <row r="54" spans="1:25" ht="29.25" customHeight="1" x14ac:dyDescent="0.25">
      <c r="A54" s="506" t="s">
        <v>97</v>
      </c>
      <c r="B54" s="507"/>
      <c r="C54" s="507"/>
      <c r="D54" s="466"/>
      <c r="H54" s="21"/>
      <c r="I54" s="21"/>
      <c r="J54" s="21"/>
      <c r="K54" s="21"/>
      <c r="L54" s="21"/>
      <c r="M54" s="21"/>
      <c r="N54" s="21"/>
      <c r="O54" s="21"/>
      <c r="P54" s="21"/>
      <c r="Q54" s="21"/>
      <c r="R54" s="21"/>
      <c r="S54" s="21"/>
      <c r="T54" s="21"/>
      <c r="U54" s="21"/>
      <c r="V54" s="21"/>
      <c r="W54" s="21"/>
      <c r="X54" s="21"/>
      <c r="Y54" s="21"/>
    </row>
    <row r="55" spans="1:25" ht="15.6" x14ac:dyDescent="0.25">
      <c r="A55" s="171" t="s">
        <v>98</v>
      </c>
      <c r="B55" s="155"/>
      <c r="C55" s="171"/>
      <c r="H55" s="21"/>
      <c r="I55" s="21"/>
      <c r="J55" s="21"/>
      <c r="K55" s="21"/>
      <c r="L55" s="21"/>
      <c r="M55" s="21"/>
      <c r="N55" s="21"/>
      <c r="O55" s="21"/>
      <c r="P55" s="21"/>
      <c r="Q55" s="21"/>
      <c r="R55" s="21"/>
      <c r="S55" s="21"/>
      <c r="T55" s="21"/>
      <c r="U55" s="21"/>
      <c r="V55" s="21"/>
      <c r="W55" s="21"/>
      <c r="X55" s="21"/>
      <c r="Y55" s="21"/>
    </row>
    <row r="56" spans="1:25" x14ac:dyDescent="0.25">
      <c r="A56" s="193" t="s">
        <v>99</v>
      </c>
      <c r="B56" s="155"/>
      <c r="C56" s="171"/>
    </row>
    <row r="57" spans="1:25" ht="118.8" x14ac:dyDescent="0.25">
      <c r="A57" s="430" t="s">
        <v>441</v>
      </c>
      <c r="B57" s="476"/>
    </row>
    <row r="59" spans="1:25" ht="13.5" customHeight="1" x14ac:dyDescent="0.25"/>
    <row r="84" spans="1:5" s="37" customFormat="1" ht="66.75" customHeight="1" x14ac:dyDescent="0.25">
      <c r="A84" s="500" t="s">
        <v>100</v>
      </c>
      <c r="B84" s="500"/>
      <c r="C84" s="500"/>
      <c r="D84" s="500"/>
      <c r="E84" s="500"/>
    </row>
  </sheetData>
  <mergeCells count="9">
    <mergeCell ref="A84:E84"/>
    <mergeCell ref="B5:C5"/>
    <mergeCell ref="U32:V32"/>
    <mergeCell ref="X32:Y32"/>
    <mergeCell ref="A54:C54"/>
    <mergeCell ref="I32:J32"/>
    <mergeCell ref="L32:M32"/>
    <mergeCell ref="O32:P32"/>
    <mergeCell ref="R32:S32"/>
  </mergeCells>
  <hyperlinks>
    <hyperlink ref="E2" location="Index!A1" display="Return to index" xr:uid="{00000000-0004-0000-05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J19"/>
  <sheetViews>
    <sheetView workbookViewId="0">
      <selection activeCell="F16" sqref="F16"/>
    </sheetView>
  </sheetViews>
  <sheetFormatPr defaultColWidth="9.109375" defaultRowHeight="15" x14ac:dyDescent="0.25"/>
  <cols>
    <col min="1" max="1" width="52" style="4" customWidth="1"/>
    <col min="2" max="3" width="23.44140625" style="1" customWidth="1"/>
    <col min="4" max="4" width="7.44140625" style="1" customWidth="1"/>
    <col min="5" max="5" width="13.5546875" style="1" customWidth="1"/>
    <col min="6" max="6" width="13.44140625" style="1" customWidth="1"/>
    <col min="7" max="16384" width="9.109375" style="1"/>
  </cols>
  <sheetData>
    <row r="1" spans="1:10" ht="16.5" customHeight="1" x14ac:dyDescent="0.3">
      <c r="A1" s="508" t="s">
        <v>101</v>
      </c>
      <c r="B1" s="509"/>
      <c r="C1" s="509"/>
      <c r="D1" s="21"/>
      <c r="E1" s="352" t="s">
        <v>23</v>
      </c>
      <c r="F1" s="42"/>
      <c r="G1" s="21"/>
      <c r="H1" s="21"/>
      <c r="I1" s="21"/>
      <c r="J1" s="21"/>
    </row>
    <row r="2" spans="1:10" ht="16.2" customHeight="1" x14ac:dyDescent="0.3">
      <c r="A2" s="23" t="s">
        <v>433</v>
      </c>
      <c r="B2" s="21"/>
      <c r="C2" s="21"/>
      <c r="D2" s="21"/>
      <c r="E2" s="24"/>
      <c r="F2" s="66"/>
      <c r="G2" s="21"/>
      <c r="H2" s="21"/>
      <c r="I2" s="21"/>
      <c r="J2" s="21"/>
    </row>
    <row r="3" spans="1:10" ht="6" customHeight="1" x14ac:dyDescent="0.25">
      <c r="A3" s="25"/>
      <c r="B3" s="26"/>
      <c r="C3" s="26"/>
      <c r="D3" s="21"/>
      <c r="E3" s="24"/>
      <c r="F3" s="21"/>
      <c r="G3" s="21"/>
      <c r="H3" s="21"/>
      <c r="I3" s="21"/>
      <c r="J3" s="21"/>
    </row>
    <row r="4" spans="1:10" x14ac:dyDescent="0.25">
      <c r="A4" s="510" t="s">
        <v>102</v>
      </c>
      <c r="B4" s="512" t="s">
        <v>103</v>
      </c>
      <c r="C4" s="194" t="s">
        <v>104</v>
      </c>
      <c r="D4" s="21"/>
      <c r="E4" s="24"/>
      <c r="F4" s="21"/>
      <c r="G4" s="21"/>
      <c r="H4" s="21"/>
      <c r="I4" s="21"/>
      <c r="J4" s="21"/>
    </row>
    <row r="5" spans="1:10" x14ac:dyDescent="0.25">
      <c r="A5" s="511"/>
      <c r="B5" s="511"/>
      <c r="C5" s="195" t="s">
        <v>105</v>
      </c>
      <c r="D5" s="21"/>
      <c r="E5" s="24"/>
      <c r="F5" s="21"/>
      <c r="G5" s="21"/>
      <c r="H5" s="21"/>
      <c r="I5" s="21"/>
      <c r="J5" s="21"/>
    </row>
    <row r="6" spans="1:10" ht="6" customHeight="1" x14ac:dyDescent="0.25">
      <c r="A6" s="196"/>
      <c r="B6" s="197"/>
      <c r="C6" s="197"/>
      <c r="D6" s="21"/>
      <c r="E6" s="24"/>
      <c r="F6" s="21"/>
      <c r="G6" s="21"/>
      <c r="H6" s="21"/>
      <c r="I6" s="21"/>
      <c r="J6" s="21"/>
    </row>
    <row r="7" spans="1:10" ht="16.5" customHeight="1" x14ac:dyDescent="0.3">
      <c r="A7" s="198" t="s">
        <v>106</v>
      </c>
      <c r="B7" s="199">
        <v>68</v>
      </c>
      <c r="C7" s="451">
        <v>100</v>
      </c>
      <c r="D7" s="21"/>
      <c r="E7" s="24"/>
      <c r="F7" s="21"/>
      <c r="G7" s="21"/>
      <c r="H7" s="21"/>
      <c r="I7" s="21"/>
      <c r="J7" s="21"/>
    </row>
    <row r="8" spans="1:10" ht="6" customHeight="1" x14ac:dyDescent="0.25">
      <c r="A8" s="198"/>
      <c r="B8" s="199"/>
      <c r="C8" s="199"/>
      <c r="D8" s="21"/>
      <c r="E8" s="24"/>
      <c r="F8" s="21"/>
      <c r="G8" s="21"/>
      <c r="H8" s="21"/>
      <c r="I8" s="21"/>
      <c r="J8" s="21"/>
    </row>
    <row r="9" spans="1:10" ht="6" customHeight="1" x14ac:dyDescent="0.25">
      <c r="A9" s="201"/>
      <c r="B9" s="202"/>
      <c r="C9" s="203"/>
      <c r="D9" s="21"/>
      <c r="E9" s="24"/>
      <c r="F9" s="21"/>
      <c r="G9" s="21"/>
      <c r="H9" s="21"/>
      <c r="I9" s="21"/>
      <c r="J9" s="21"/>
    </row>
    <row r="10" spans="1:10" ht="6" customHeight="1" x14ac:dyDescent="0.25">
      <c r="A10" s="198"/>
      <c r="B10" s="204"/>
      <c r="C10" s="200"/>
      <c r="D10" s="21"/>
      <c r="E10" s="24"/>
      <c r="F10" s="21"/>
      <c r="G10" s="21"/>
      <c r="H10" s="21"/>
      <c r="I10" s="21"/>
      <c r="J10" s="21"/>
    </row>
    <row r="11" spans="1:10" x14ac:dyDescent="0.25">
      <c r="A11" s="205" t="s">
        <v>107</v>
      </c>
      <c r="B11" s="194"/>
      <c r="C11" s="206">
        <v>100</v>
      </c>
      <c r="D11" s="21"/>
      <c r="E11" s="24"/>
      <c r="F11" s="21"/>
      <c r="G11" s="21"/>
      <c r="H11" s="21"/>
      <c r="I11" s="21"/>
      <c r="J11" s="21"/>
    </row>
    <row r="12" spans="1:10" ht="6" customHeight="1" x14ac:dyDescent="0.25">
      <c r="A12" s="207"/>
      <c r="B12" s="208"/>
      <c r="C12" s="209"/>
      <c r="D12" s="21"/>
      <c r="E12" s="24"/>
      <c r="F12" s="21"/>
      <c r="G12" s="21"/>
      <c r="H12" s="21"/>
      <c r="I12" s="21"/>
      <c r="J12" s="21"/>
    </row>
    <row r="13" spans="1:10" ht="6" customHeight="1" x14ac:dyDescent="0.25">
      <c r="A13" s="185"/>
      <c r="B13" s="185"/>
      <c r="C13" s="185"/>
      <c r="D13" s="21"/>
      <c r="E13" s="24"/>
      <c r="F13" s="21"/>
      <c r="G13" s="21"/>
      <c r="H13" s="21"/>
      <c r="I13" s="21"/>
      <c r="J13" s="21"/>
    </row>
    <row r="14" spans="1:10" ht="18" customHeight="1" x14ac:dyDescent="0.25">
      <c r="A14" s="210" t="s">
        <v>108</v>
      </c>
      <c r="B14" s="211"/>
      <c r="C14" s="211"/>
      <c r="D14" s="21"/>
      <c r="E14" s="28"/>
      <c r="F14" s="21"/>
      <c r="G14" s="21"/>
      <c r="H14" s="21"/>
      <c r="I14" s="21"/>
      <c r="J14" s="21"/>
    </row>
    <row r="15" spans="1:10" ht="6" customHeight="1" x14ac:dyDescent="0.25">
      <c r="A15" s="198"/>
      <c r="B15" s="212"/>
      <c r="C15" s="212"/>
      <c r="D15" s="21"/>
      <c r="E15" s="24"/>
      <c r="F15" s="21"/>
      <c r="G15" s="21"/>
      <c r="H15" s="21"/>
      <c r="I15" s="21"/>
      <c r="J15" s="21"/>
    </row>
    <row r="16" spans="1:10" x14ac:dyDescent="0.25">
      <c r="A16" s="212"/>
      <c r="B16" s="212"/>
      <c r="C16" s="212"/>
      <c r="D16" s="212"/>
      <c r="E16" s="212"/>
      <c r="F16" s="212"/>
      <c r="G16" s="212"/>
    </row>
    <row r="19" spans="1:1" x14ac:dyDescent="0.25">
      <c r="A19" s="467"/>
    </row>
  </sheetData>
  <mergeCells count="3">
    <mergeCell ref="A1:C1"/>
    <mergeCell ref="A4:A5"/>
    <mergeCell ref="B4:B5"/>
  </mergeCells>
  <hyperlinks>
    <hyperlink ref="E1" location="Index!A1" display="Return to index"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33"/>
  <sheetViews>
    <sheetView zoomScale="90" zoomScaleNormal="90" workbookViewId="0">
      <selection activeCell="U36" sqref="U36"/>
    </sheetView>
  </sheetViews>
  <sheetFormatPr defaultColWidth="0.5546875" defaultRowHeight="15" x14ac:dyDescent="0.25"/>
  <cols>
    <col min="1" max="1" width="16.5546875" style="21" customWidth="1"/>
    <col min="2" max="2" width="1.5546875" style="21" customWidth="1"/>
    <col min="3" max="4" width="12.5546875" style="21" customWidth="1"/>
    <col min="5" max="5" width="1.5546875" style="21" customWidth="1"/>
    <col min="6" max="7" width="12.5546875" style="21" customWidth="1"/>
    <col min="8" max="8" width="1.5546875" style="21" customWidth="1"/>
    <col min="9" max="10" width="12.5546875" style="21" customWidth="1"/>
    <col min="11" max="11" width="1.5546875" style="21" customWidth="1"/>
    <col min="12" max="13" width="12.5546875" style="21" customWidth="1"/>
    <col min="14" max="14" width="1.5546875" style="21" customWidth="1"/>
    <col min="15" max="16" width="12.5546875" style="21" customWidth="1"/>
    <col min="17" max="17" width="1.109375" style="21" customWidth="1"/>
    <col min="18" max="19" width="12.5546875" style="21" customWidth="1"/>
    <col min="20" max="20" width="0.6640625" style="21" customWidth="1"/>
    <col min="21" max="21" width="12.5546875" style="21" customWidth="1"/>
    <col min="22" max="22" width="12.88671875" style="21" customWidth="1"/>
    <col min="23" max="23" width="12" style="21" customWidth="1"/>
    <col min="24" max="24" width="11.33203125" style="21" bestFit="1" customWidth="1"/>
    <col min="25" max="251" width="9.109375" style="21" customWidth="1"/>
    <col min="252" max="252" width="11.44140625" style="21" customWidth="1"/>
    <col min="253" max="253" width="0.5546875" style="21" customWidth="1"/>
    <col min="254" max="255" width="9.44140625" style="21" customWidth="1"/>
    <col min="256" max="16384" width="0.5546875" style="21"/>
  </cols>
  <sheetData>
    <row r="1" spans="1:24" ht="15.6" x14ac:dyDescent="0.25">
      <c r="A1" s="29" t="s">
        <v>109</v>
      </c>
      <c r="M1" s="352" t="s">
        <v>23</v>
      </c>
    </row>
    <row r="2" spans="1:24" ht="15.6" x14ac:dyDescent="0.3">
      <c r="A2" s="21" t="s">
        <v>436</v>
      </c>
      <c r="M2" s="66"/>
    </row>
    <row r="3" spans="1:24" ht="6" customHeight="1" x14ac:dyDescent="0.25">
      <c r="A3" s="26"/>
      <c r="B3" s="26"/>
      <c r="C3" s="26"/>
      <c r="D3" s="26"/>
      <c r="E3" s="26"/>
      <c r="F3" s="26"/>
      <c r="G3" s="26"/>
      <c r="H3" s="26"/>
      <c r="I3" s="26"/>
      <c r="J3" s="26"/>
      <c r="K3" s="26"/>
    </row>
    <row r="4" spans="1:24" ht="6" customHeight="1" x14ac:dyDescent="0.25">
      <c r="A4" s="212"/>
      <c r="B4" s="212"/>
      <c r="C4" s="212"/>
      <c r="D4" s="212"/>
      <c r="E4" s="212"/>
      <c r="F4" s="212"/>
      <c r="G4" s="212"/>
      <c r="H4" s="212"/>
      <c r="I4" s="212"/>
      <c r="J4" s="212"/>
    </row>
    <row r="5" spans="1:24" s="5" customFormat="1" ht="15.6" x14ac:dyDescent="0.3">
      <c r="A5" s="188"/>
      <c r="B5" s="213"/>
      <c r="C5" s="514">
        <v>2011</v>
      </c>
      <c r="D5" s="514"/>
      <c r="E5" s="213"/>
      <c r="F5" s="514">
        <v>2012</v>
      </c>
      <c r="G5" s="514"/>
      <c r="H5" s="213"/>
      <c r="I5" s="514">
        <v>2013</v>
      </c>
      <c r="J5" s="514"/>
      <c r="K5" s="22"/>
      <c r="L5" s="514">
        <v>2014</v>
      </c>
      <c r="M5" s="514"/>
      <c r="N5" s="213"/>
      <c r="O5" s="513" t="s">
        <v>24</v>
      </c>
      <c r="P5" s="513"/>
      <c r="Q5" s="213"/>
      <c r="R5" s="513" t="s">
        <v>25</v>
      </c>
      <c r="S5" s="513"/>
      <c r="T5" s="360"/>
    </row>
    <row r="6" spans="1:24" ht="39" customHeight="1" x14ac:dyDescent="0.25">
      <c r="A6" s="214"/>
      <c r="B6" s="198"/>
      <c r="C6" s="215" t="s">
        <v>103</v>
      </c>
      <c r="D6" s="215" t="s">
        <v>31</v>
      </c>
      <c r="E6" s="216"/>
      <c r="F6" s="215" t="s">
        <v>103</v>
      </c>
      <c r="G6" s="215" t="s">
        <v>31</v>
      </c>
      <c r="H6" s="216"/>
      <c r="I6" s="217" t="s">
        <v>103</v>
      </c>
      <c r="J6" s="217" t="s">
        <v>31</v>
      </c>
      <c r="K6" s="30"/>
      <c r="L6" s="217" t="s">
        <v>103</v>
      </c>
      <c r="M6" s="217" t="s">
        <v>31</v>
      </c>
      <c r="N6" s="216"/>
      <c r="O6" s="217" t="s">
        <v>103</v>
      </c>
      <c r="P6" s="217" t="s">
        <v>31</v>
      </c>
      <c r="Q6" s="216"/>
      <c r="R6" s="217" t="s">
        <v>103</v>
      </c>
      <c r="S6" s="217" t="s">
        <v>31</v>
      </c>
      <c r="T6" s="30"/>
    </row>
    <row r="7" spans="1:24" ht="6" customHeight="1" x14ac:dyDescent="0.25">
      <c r="A7" s="212"/>
      <c r="B7" s="198"/>
      <c r="C7" s="198"/>
      <c r="D7" s="198"/>
      <c r="E7" s="198"/>
      <c r="F7" s="198"/>
      <c r="G7" s="198"/>
      <c r="H7" s="198"/>
      <c r="I7" s="218"/>
      <c r="J7" s="218"/>
      <c r="K7" s="23"/>
      <c r="L7" s="218"/>
      <c r="M7" s="218"/>
      <c r="N7" s="198"/>
      <c r="O7" s="218"/>
      <c r="P7" s="218"/>
      <c r="Q7" s="198"/>
      <c r="R7" s="218"/>
      <c r="S7" s="218"/>
      <c r="T7" s="23"/>
    </row>
    <row r="8" spans="1:24" x14ac:dyDescent="0.25">
      <c r="A8" s="212" t="s">
        <v>67</v>
      </c>
      <c r="B8" s="212"/>
      <c r="C8" s="212">
        <v>11484</v>
      </c>
      <c r="D8" s="212"/>
      <c r="E8" s="212"/>
      <c r="F8" s="212">
        <v>11484</v>
      </c>
      <c r="G8" s="212"/>
      <c r="H8" s="212"/>
      <c r="I8" s="212">
        <v>11484</v>
      </c>
      <c r="J8" s="212"/>
      <c r="L8" s="212">
        <v>11484</v>
      </c>
      <c r="M8" s="212"/>
      <c r="N8" s="212"/>
      <c r="O8" s="212">
        <v>11484</v>
      </c>
      <c r="P8" s="212"/>
      <c r="Q8" s="212"/>
      <c r="R8" s="212">
        <v>11505</v>
      </c>
      <c r="S8" s="212"/>
    </row>
    <row r="9" spans="1:24" x14ac:dyDescent="0.25">
      <c r="A9" s="212" t="s">
        <v>71</v>
      </c>
      <c r="B9" s="212"/>
      <c r="C9" s="212">
        <v>10303</v>
      </c>
      <c r="D9" s="212">
        <v>100</v>
      </c>
      <c r="E9" s="212"/>
      <c r="F9" s="212">
        <v>10386</v>
      </c>
      <c r="G9" s="212">
        <v>100</v>
      </c>
      <c r="H9" s="212"/>
      <c r="I9" s="212">
        <v>10354</v>
      </c>
      <c r="J9" s="212">
        <v>100</v>
      </c>
      <c r="L9" s="212">
        <v>10333</v>
      </c>
      <c r="M9" s="212">
        <v>100</v>
      </c>
      <c r="N9" s="212"/>
      <c r="O9" s="212">
        <v>10349</v>
      </c>
      <c r="P9" s="212">
        <v>100</v>
      </c>
      <c r="Q9" s="212"/>
      <c r="R9" s="212">
        <v>10347</v>
      </c>
      <c r="S9" s="212">
        <v>100</v>
      </c>
    </row>
    <row r="10" spans="1:24" ht="6" customHeight="1" x14ac:dyDescent="0.25">
      <c r="A10" s="212"/>
      <c r="B10" s="212"/>
      <c r="C10" s="212"/>
      <c r="D10" s="212"/>
      <c r="E10" s="212"/>
      <c r="F10" s="212"/>
      <c r="G10" s="212"/>
      <c r="H10" s="212"/>
      <c r="I10" s="212"/>
      <c r="J10" s="212"/>
      <c r="L10" s="212"/>
      <c r="M10" s="212"/>
      <c r="N10" s="212"/>
      <c r="O10" s="212"/>
      <c r="P10" s="212"/>
      <c r="Q10" s="212"/>
      <c r="R10" s="212"/>
      <c r="S10" s="212"/>
    </row>
    <row r="11" spans="1:24" x14ac:dyDescent="0.25">
      <c r="A11" s="212" t="s">
        <v>73</v>
      </c>
      <c r="B11" s="212"/>
      <c r="C11" s="212">
        <v>3590</v>
      </c>
      <c r="D11" s="212">
        <v>35</v>
      </c>
      <c r="E11" s="212"/>
      <c r="F11" s="212">
        <v>3311</v>
      </c>
      <c r="G11" s="212">
        <v>32</v>
      </c>
      <c r="H11" s="212"/>
      <c r="I11" s="212">
        <v>3555</v>
      </c>
      <c r="J11" s="212">
        <v>34</v>
      </c>
      <c r="L11" s="212">
        <v>3843</v>
      </c>
      <c r="M11" s="212">
        <v>37</v>
      </c>
      <c r="N11" s="212"/>
      <c r="O11" s="212">
        <v>4301</v>
      </c>
      <c r="P11" s="212">
        <v>42</v>
      </c>
      <c r="Q11" s="212"/>
      <c r="R11" s="212">
        <v>4142</v>
      </c>
      <c r="S11" s="212">
        <v>40</v>
      </c>
    </row>
    <row r="12" spans="1:24" x14ac:dyDescent="0.25">
      <c r="A12" s="212" t="s">
        <v>110</v>
      </c>
      <c r="B12" s="212"/>
      <c r="C12" s="212">
        <v>1182</v>
      </c>
      <c r="D12" s="212">
        <v>11</v>
      </c>
      <c r="E12" s="212"/>
      <c r="F12" s="212">
        <v>1650</v>
      </c>
      <c r="G12" s="212">
        <v>16</v>
      </c>
      <c r="H12" s="212"/>
      <c r="I12" s="212">
        <v>1806</v>
      </c>
      <c r="J12" s="212">
        <v>17</v>
      </c>
      <c r="L12" s="212">
        <v>1508</v>
      </c>
      <c r="M12" s="212">
        <v>15</v>
      </c>
      <c r="N12" s="212"/>
      <c r="O12" s="212">
        <v>1288</v>
      </c>
      <c r="P12" s="212">
        <v>12</v>
      </c>
      <c r="Q12" s="212"/>
      <c r="R12" s="212">
        <v>1564</v>
      </c>
      <c r="S12" s="212">
        <v>15</v>
      </c>
    </row>
    <row r="13" spans="1:24" x14ac:dyDescent="0.25">
      <c r="A13" s="212" t="s">
        <v>111</v>
      </c>
      <c r="B13" s="212"/>
      <c r="C13" s="212">
        <v>5531</v>
      </c>
      <c r="D13" s="212">
        <v>54</v>
      </c>
      <c r="E13" s="212"/>
      <c r="F13" s="185">
        <v>5425</v>
      </c>
      <c r="G13" s="212">
        <v>52</v>
      </c>
      <c r="H13" s="212"/>
      <c r="I13" s="185">
        <v>4993</v>
      </c>
      <c r="J13" s="212">
        <v>48</v>
      </c>
      <c r="L13" s="185">
        <v>4982</v>
      </c>
      <c r="M13" s="212">
        <v>48</v>
      </c>
      <c r="N13" s="212"/>
      <c r="O13" s="185">
        <v>4760</v>
      </c>
      <c r="P13" s="212">
        <v>46</v>
      </c>
      <c r="Q13" s="212"/>
      <c r="R13" s="212">
        <v>4641</v>
      </c>
      <c r="S13" s="212">
        <v>45</v>
      </c>
    </row>
    <row r="14" spans="1:24" ht="6" customHeight="1" x14ac:dyDescent="0.25">
      <c r="A14" s="212"/>
      <c r="B14" s="212"/>
      <c r="C14" s="212"/>
      <c r="D14" s="212"/>
      <c r="E14" s="212"/>
      <c r="F14" s="212"/>
      <c r="G14" s="212"/>
      <c r="H14" s="214"/>
      <c r="I14" s="214"/>
      <c r="J14" s="214"/>
      <c r="K14" s="26"/>
      <c r="L14" s="26"/>
      <c r="M14" s="26"/>
      <c r="N14" s="26"/>
      <c r="O14" s="26"/>
      <c r="P14" s="26"/>
      <c r="Q14" s="26"/>
      <c r="R14" s="26"/>
      <c r="S14" s="26"/>
    </row>
    <row r="15" spans="1:24" ht="6" customHeight="1" x14ac:dyDescent="0.25">
      <c r="A15" s="219"/>
      <c r="B15" s="219"/>
      <c r="C15" s="219"/>
      <c r="D15" s="219"/>
      <c r="E15" s="219"/>
      <c r="F15" s="219"/>
      <c r="G15" s="219"/>
      <c r="H15" s="219"/>
      <c r="I15" s="219"/>
      <c r="J15" s="219"/>
    </row>
    <row r="16" spans="1:24" s="5" customFormat="1" ht="15.6" x14ac:dyDescent="0.3">
      <c r="A16" s="188"/>
      <c r="B16" s="213"/>
      <c r="C16" s="513" t="s">
        <v>26</v>
      </c>
      <c r="D16" s="513"/>
      <c r="F16" s="513" t="s">
        <v>95</v>
      </c>
      <c r="G16" s="513"/>
      <c r="I16" s="513" t="s">
        <v>28</v>
      </c>
      <c r="J16" s="513"/>
      <c r="L16" s="513" t="s">
        <v>29</v>
      </c>
      <c r="M16" s="513"/>
      <c r="O16" s="513" t="s">
        <v>30</v>
      </c>
      <c r="P16" s="513"/>
      <c r="R16" s="513" t="s">
        <v>439</v>
      </c>
      <c r="S16" s="513"/>
      <c r="T16" s="361"/>
      <c r="U16" s="513"/>
      <c r="V16" s="513"/>
      <c r="W16" s="513"/>
      <c r="X16" s="513"/>
    </row>
    <row r="17" spans="1:24" ht="43.5" customHeight="1" x14ac:dyDescent="0.25">
      <c r="A17" s="214"/>
      <c r="B17" s="198"/>
      <c r="C17" s="217" t="s">
        <v>103</v>
      </c>
      <c r="D17" s="217" t="s">
        <v>31</v>
      </c>
      <c r="F17" s="217" t="s">
        <v>103</v>
      </c>
      <c r="G17" s="217" t="s">
        <v>31</v>
      </c>
      <c r="I17" s="217" t="s">
        <v>103</v>
      </c>
      <c r="J17" s="217" t="s">
        <v>31</v>
      </c>
      <c r="L17" s="217" t="s">
        <v>103</v>
      </c>
      <c r="M17" s="217" t="s">
        <v>31</v>
      </c>
      <c r="O17" s="217" t="s">
        <v>103</v>
      </c>
      <c r="P17" s="217" t="s">
        <v>31</v>
      </c>
      <c r="R17" s="217" t="s">
        <v>103</v>
      </c>
      <c r="S17" s="217" t="s">
        <v>31</v>
      </c>
      <c r="T17" s="216"/>
      <c r="U17" s="216"/>
      <c r="V17" s="216"/>
      <c r="W17" s="216"/>
      <c r="X17" s="216"/>
    </row>
    <row r="18" spans="1:24" ht="6" customHeight="1" x14ac:dyDescent="0.25">
      <c r="A18" s="212"/>
      <c r="B18" s="198"/>
      <c r="C18" s="218"/>
      <c r="D18" s="218"/>
      <c r="F18" s="218"/>
      <c r="G18" s="218"/>
      <c r="I18" s="218"/>
      <c r="J18" s="218"/>
      <c r="L18" s="218"/>
      <c r="M18" s="218"/>
      <c r="O18" s="218"/>
      <c r="P18" s="218"/>
      <c r="R18" s="218"/>
      <c r="S18" s="218"/>
      <c r="T18" s="198"/>
      <c r="U18" s="198"/>
      <c r="V18" s="198"/>
      <c r="W18" s="198"/>
      <c r="X18" s="198"/>
    </row>
    <row r="19" spans="1:24" x14ac:dyDescent="0.25">
      <c r="A19" s="212" t="s">
        <v>67</v>
      </c>
      <c r="B19" s="212"/>
      <c r="C19" s="212">
        <v>13065</v>
      </c>
      <c r="D19" s="212"/>
      <c r="F19" s="212">
        <v>13306</v>
      </c>
      <c r="G19" s="212"/>
      <c r="I19" s="212">
        <v>13996</v>
      </c>
      <c r="J19" s="212"/>
      <c r="L19" s="212">
        <v>22516</v>
      </c>
      <c r="O19" s="212">
        <v>21002</v>
      </c>
      <c r="R19" s="212">
        <v>19819</v>
      </c>
      <c r="T19" s="212"/>
      <c r="U19" s="212"/>
      <c r="W19" s="212"/>
    </row>
    <row r="20" spans="1:24" x14ac:dyDescent="0.25">
      <c r="A20" s="212" t="s">
        <v>71</v>
      </c>
      <c r="B20" s="212"/>
      <c r="C20" s="212">
        <v>11689</v>
      </c>
      <c r="D20" s="212">
        <v>100</v>
      </c>
      <c r="F20" s="356">
        <v>11952</v>
      </c>
      <c r="G20" s="212">
        <v>100</v>
      </c>
      <c r="I20" s="356">
        <v>12561</v>
      </c>
      <c r="J20" s="212">
        <v>100</v>
      </c>
      <c r="L20" s="212">
        <v>21617</v>
      </c>
      <c r="M20" s="212">
        <v>100</v>
      </c>
      <c r="O20" s="212">
        <v>19716</v>
      </c>
      <c r="P20" s="212">
        <v>100</v>
      </c>
      <c r="R20" s="212">
        <v>18286</v>
      </c>
      <c r="S20" s="212">
        <v>100</v>
      </c>
      <c r="T20" s="212"/>
      <c r="U20" s="212"/>
      <c r="V20" s="212"/>
      <c r="W20" s="212"/>
      <c r="X20" s="212"/>
    </row>
    <row r="21" spans="1:24" x14ac:dyDescent="0.25">
      <c r="A21" s="212"/>
      <c r="B21" s="212"/>
      <c r="C21" s="212"/>
      <c r="D21" s="212"/>
      <c r="F21" s="212"/>
      <c r="G21" s="212"/>
      <c r="I21" s="212"/>
      <c r="J21" s="212"/>
      <c r="L21" s="212"/>
      <c r="M21" s="212"/>
      <c r="O21" s="212"/>
      <c r="P21" s="212"/>
      <c r="R21" s="212"/>
      <c r="S21" s="212"/>
      <c r="T21" s="212"/>
      <c r="U21" s="212"/>
      <c r="V21" s="212"/>
      <c r="W21" s="212"/>
      <c r="X21" s="212"/>
    </row>
    <row r="22" spans="1:24" x14ac:dyDescent="0.25">
      <c r="A22" s="212" t="s">
        <v>73</v>
      </c>
      <c r="B22" s="212"/>
      <c r="C22" s="212">
        <v>4921</v>
      </c>
      <c r="D22" s="212">
        <v>42.1</v>
      </c>
      <c r="F22" s="212">
        <v>5208</v>
      </c>
      <c r="G22" s="212">
        <v>44</v>
      </c>
      <c r="I22" s="212">
        <v>5452</v>
      </c>
      <c r="J22" s="212">
        <v>43.4</v>
      </c>
      <c r="L22" s="212">
        <v>4427</v>
      </c>
      <c r="M22" s="212">
        <v>20.5</v>
      </c>
      <c r="O22" s="212">
        <v>6225</v>
      </c>
      <c r="P22" s="212">
        <v>31.6</v>
      </c>
      <c r="R22" s="212">
        <v>7526</v>
      </c>
      <c r="S22" s="212">
        <v>41.2</v>
      </c>
      <c r="T22" s="212"/>
      <c r="U22" s="212"/>
      <c r="V22" s="212"/>
      <c r="W22" s="212"/>
      <c r="X22" s="212"/>
    </row>
    <row r="23" spans="1:24" ht="15.6" x14ac:dyDescent="0.3">
      <c r="A23" s="212" t="s">
        <v>112</v>
      </c>
      <c r="B23" s="212"/>
      <c r="C23" s="212">
        <v>1755</v>
      </c>
      <c r="D23" s="212">
        <v>15</v>
      </c>
      <c r="F23" s="212">
        <v>1652</v>
      </c>
      <c r="G23" s="212">
        <v>14</v>
      </c>
      <c r="I23" s="212">
        <v>2037</v>
      </c>
      <c r="J23" s="212">
        <v>16.2</v>
      </c>
      <c r="L23" s="212">
        <v>12020</v>
      </c>
      <c r="M23" s="212">
        <v>55.6</v>
      </c>
      <c r="O23" s="212">
        <v>8185</v>
      </c>
      <c r="P23" s="212">
        <v>41.5</v>
      </c>
      <c r="R23" s="212">
        <v>6699</v>
      </c>
      <c r="S23" s="212">
        <v>36.6</v>
      </c>
      <c r="T23" s="212"/>
      <c r="U23" s="212"/>
      <c r="V23" s="212"/>
      <c r="W23" s="212"/>
      <c r="X23" s="212"/>
    </row>
    <row r="24" spans="1:24" x14ac:dyDescent="0.25">
      <c r="A24" s="212" t="s">
        <v>111</v>
      </c>
      <c r="B24" s="212"/>
      <c r="C24" s="212">
        <v>5013</v>
      </c>
      <c r="D24" s="212">
        <v>42.9</v>
      </c>
      <c r="F24" s="212">
        <v>5092</v>
      </c>
      <c r="G24" s="212">
        <v>42.9</v>
      </c>
      <c r="I24" s="212">
        <v>5072</v>
      </c>
      <c r="J24" s="212">
        <v>40.4</v>
      </c>
      <c r="L24" s="212">
        <v>5170</v>
      </c>
      <c r="M24" s="212">
        <v>23.9</v>
      </c>
      <c r="O24" s="212">
        <v>5306</v>
      </c>
      <c r="P24" s="212">
        <v>26.9</v>
      </c>
      <c r="R24" s="212">
        <v>4061</v>
      </c>
      <c r="S24" s="212">
        <v>22.2</v>
      </c>
      <c r="T24" s="212"/>
      <c r="U24" s="212"/>
      <c r="V24" s="212"/>
      <c r="W24" s="212"/>
      <c r="X24" s="212"/>
    </row>
    <row r="25" spans="1:24" ht="6" customHeight="1" x14ac:dyDescent="0.25">
      <c r="A25" s="214"/>
      <c r="B25" s="214"/>
      <c r="C25" s="214"/>
      <c r="D25" s="214"/>
      <c r="E25" s="214"/>
      <c r="F25" s="214"/>
      <c r="G25" s="214"/>
      <c r="H25" s="214"/>
      <c r="I25" s="214"/>
      <c r="J25" s="214"/>
      <c r="K25" s="26"/>
      <c r="L25" s="26"/>
      <c r="M25" s="26"/>
      <c r="N25" s="26"/>
      <c r="O25" s="26"/>
      <c r="P25" s="26"/>
      <c r="R25" s="26"/>
      <c r="S25" s="26"/>
    </row>
    <row r="26" spans="1:24" ht="6" customHeight="1" x14ac:dyDescent="0.25">
      <c r="A26" s="212"/>
      <c r="B26" s="212"/>
      <c r="C26" s="212"/>
      <c r="D26" s="212"/>
      <c r="E26" s="212"/>
      <c r="F26" s="212"/>
      <c r="G26" s="212"/>
      <c r="H26" s="212"/>
      <c r="I26" s="212"/>
      <c r="J26" s="212"/>
    </row>
    <row r="27" spans="1:24" x14ac:dyDescent="0.25">
      <c r="A27" s="212" t="s">
        <v>62</v>
      </c>
      <c r="B27" s="212"/>
      <c r="C27" s="212"/>
      <c r="D27" s="212"/>
      <c r="E27" s="212"/>
      <c r="F27" s="212"/>
      <c r="G27" s="212"/>
      <c r="H27" s="212"/>
      <c r="I27" s="212"/>
      <c r="J27" s="212"/>
    </row>
    <row r="28" spans="1:24" ht="15" customHeight="1" x14ac:dyDescent="0.25">
      <c r="A28" s="212" t="s">
        <v>113</v>
      </c>
      <c r="B28" s="212"/>
      <c r="C28" s="212"/>
      <c r="D28" s="212"/>
      <c r="E28" s="212"/>
      <c r="F28" s="212"/>
      <c r="G28" s="212"/>
      <c r="H28" s="212"/>
      <c r="I28" s="212"/>
      <c r="J28" s="212"/>
    </row>
    <row r="33" spans="1:1" x14ac:dyDescent="0.25">
      <c r="A33" s="468"/>
    </row>
  </sheetData>
  <mergeCells count="14">
    <mergeCell ref="U16:V16"/>
    <mergeCell ref="W16:X16"/>
    <mergeCell ref="C5:D5"/>
    <mergeCell ref="C16:D16"/>
    <mergeCell ref="I16:J16"/>
    <mergeCell ref="R5:S5"/>
    <mergeCell ref="O5:P5"/>
    <mergeCell ref="L5:M5"/>
    <mergeCell ref="F16:G16"/>
    <mergeCell ref="I5:J5"/>
    <mergeCell ref="F5:G5"/>
    <mergeCell ref="R16:S16"/>
    <mergeCell ref="L16:M16"/>
    <mergeCell ref="O16:P16"/>
  </mergeCells>
  <phoneticPr fontId="48" type="noConversion"/>
  <hyperlinks>
    <hyperlink ref="M1" location="Index!A1" display="Return to index" xr:uid="{00000000-0004-0000-07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5"/>
  <sheetViews>
    <sheetView topLeftCell="A14" workbookViewId="0">
      <selection activeCell="F45" sqref="F45"/>
    </sheetView>
  </sheetViews>
  <sheetFormatPr defaultColWidth="9.109375" defaultRowHeight="15.6" x14ac:dyDescent="0.3"/>
  <cols>
    <col min="1" max="1" width="18.44140625" style="36" customWidth="1"/>
    <col min="2" max="3" width="18.44140625" style="32" customWidth="1"/>
    <col min="4" max="4" width="1.109375" style="32" customWidth="1"/>
    <col min="5" max="6" width="18.44140625" style="32" customWidth="1"/>
    <col min="7" max="7" width="1.109375" style="36" customWidth="1"/>
    <col min="8" max="8" width="11.5546875" style="32" customWidth="1"/>
    <col min="9" max="9" width="10.44140625" style="32" bestFit="1" customWidth="1"/>
    <col min="10" max="10" width="1.109375" style="32" customWidth="1"/>
    <col min="11" max="11" width="11.5546875" style="32" customWidth="1"/>
    <col min="12" max="12" width="10.44140625" style="32" bestFit="1" customWidth="1"/>
    <col min="13" max="16384" width="9.109375" style="32"/>
  </cols>
  <sheetData>
    <row r="1" spans="1:12" ht="16.5" customHeight="1" x14ac:dyDescent="0.3">
      <c r="A1" s="56" t="s">
        <v>114</v>
      </c>
      <c r="B1" s="57"/>
      <c r="C1" s="57"/>
      <c r="D1" s="57"/>
      <c r="E1" s="57"/>
      <c r="F1" s="57"/>
      <c r="G1" s="31"/>
      <c r="H1" s="21"/>
      <c r="I1" s="352" t="s">
        <v>23</v>
      </c>
      <c r="J1" s="21"/>
      <c r="K1" s="21"/>
      <c r="L1" s="21"/>
    </row>
    <row r="2" spans="1:12" ht="16.5" customHeight="1" x14ac:dyDescent="0.3">
      <c r="A2" s="31" t="s">
        <v>437</v>
      </c>
      <c r="B2" s="21"/>
      <c r="C2" s="21"/>
      <c r="D2" s="21"/>
      <c r="E2" s="21"/>
      <c r="F2" s="21"/>
      <c r="G2" s="31"/>
      <c r="H2" s="21"/>
      <c r="I2" s="67"/>
      <c r="J2" s="21"/>
      <c r="K2" s="21"/>
      <c r="L2" s="21"/>
    </row>
    <row r="3" spans="1:12" ht="6" customHeight="1" x14ac:dyDescent="0.3">
      <c r="A3" s="33"/>
      <c r="B3" s="26"/>
      <c r="C3" s="26"/>
      <c r="D3" s="26"/>
      <c r="E3" s="26"/>
      <c r="F3" s="26"/>
      <c r="G3" s="32"/>
    </row>
    <row r="4" spans="1:12" ht="6" customHeight="1" x14ac:dyDescent="0.3">
      <c r="A4" s="220"/>
      <c r="B4" s="212"/>
      <c r="C4" s="212"/>
      <c r="D4" s="212"/>
      <c r="E4" s="212"/>
      <c r="F4" s="212"/>
      <c r="G4" s="32"/>
    </row>
    <row r="5" spans="1:12" s="5" customFormat="1" x14ac:dyDescent="0.3">
      <c r="A5" s="221"/>
      <c r="B5" s="515" t="s">
        <v>115</v>
      </c>
      <c r="C5" s="515"/>
      <c r="D5" s="188"/>
      <c r="E5" s="515" t="s">
        <v>116</v>
      </c>
      <c r="F5" s="515"/>
    </row>
    <row r="6" spans="1:12" s="5" customFormat="1" x14ac:dyDescent="0.3">
      <c r="A6" s="221" t="s">
        <v>78</v>
      </c>
      <c r="B6" s="222" t="s">
        <v>117</v>
      </c>
      <c r="C6" s="222" t="s">
        <v>118</v>
      </c>
      <c r="D6" s="205"/>
      <c r="E6" s="222" t="s">
        <v>117</v>
      </c>
      <c r="F6" s="222" t="s">
        <v>118</v>
      </c>
    </row>
    <row r="7" spans="1:12" ht="27" x14ac:dyDescent="0.3">
      <c r="A7" s="223"/>
      <c r="B7" s="215" t="s">
        <v>103</v>
      </c>
      <c r="C7" s="215" t="s">
        <v>104</v>
      </c>
      <c r="D7" s="201"/>
      <c r="E7" s="215" t="s">
        <v>103</v>
      </c>
      <c r="F7" s="215" t="s">
        <v>104</v>
      </c>
      <c r="G7" s="32"/>
    </row>
    <row r="8" spans="1:12" ht="6" customHeight="1" x14ac:dyDescent="0.3">
      <c r="A8" s="221"/>
      <c r="B8" s="198"/>
      <c r="C8" s="198"/>
      <c r="D8" s="198"/>
      <c r="E8" s="198"/>
      <c r="F8" s="198"/>
      <c r="G8" s="32"/>
    </row>
    <row r="9" spans="1:12" ht="12.75" customHeight="1" x14ac:dyDescent="0.3">
      <c r="A9" s="192">
        <v>2004</v>
      </c>
      <c r="B9" s="199">
        <v>1545</v>
      </c>
      <c r="C9" s="212">
        <v>55</v>
      </c>
      <c r="D9" s="210"/>
      <c r="E9" s="199">
        <v>1606</v>
      </c>
      <c r="F9" s="212">
        <v>58</v>
      </c>
      <c r="G9" s="32"/>
    </row>
    <row r="10" spans="1:12" ht="12.75" customHeight="1" x14ac:dyDescent="0.3">
      <c r="A10" s="192">
        <v>2005</v>
      </c>
      <c r="B10" s="199">
        <v>1589</v>
      </c>
      <c r="C10" s="212">
        <v>58</v>
      </c>
      <c r="D10" s="210"/>
      <c r="E10" s="199">
        <v>1539</v>
      </c>
      <c r="F10" s="212">
        <v>55</v>
      </c>
      <c r="G10" s="32"/>
    </row>
    <row r="11" spans="1:12" ht="12.75" customHeight="1" x14ac:dyDescent="0.3">
      <c r="A11" s="192">
        <v>2006</v>
      </c>
      <c r="B11" s="199">
        <v>1596</v>
      </c>
      <c r="C11" s="212">
        <v>58</v>
      </c>
      <c r="D11" s="210"/>
      <c r="E11" s="199">
        <v>1515</v>
      </c>
      <c r="F11" s="212">
        <v>56</v>
      </c>
      <c r="G11" s="32"/>
    </row>
    <row r="12" spans="1:12" ht="12.75" customHeight="1" x14ac:dyDescent="0.3">
      <c r="A12" s="192">
        <v>2007</v>
      </c>
      <c r="B12" s="212">
        <v>1388</v>
      </c>
      <c r="C12" s="212">
        <v>54</v>
      </c>
      <c r="D12" s="212"/>
      <c r="E12" s="212">
        <v>1406</v>
      </c>
      <c r="F12" s="212">
        <v>54</v>
      </c>
      <c r="G12" s="32"/>
    </row>
    <row r="13" spans="1:12" ht="12.75" customHeight="1" x14ac:dyDescent="0.3">
      <c r="A13" s="192">
        <v>2008</v>
      </c>
      <c r="B13" s="212">
        <v>1293</v>
      </c>
      <c r="C13" s="212">
        <v>49</v>
      </c>
      <c r="D13" s="212"/>
      <c r="E13" s="212">
        <v>1368</v>
      </c>
      <c r="F13" s="212">
        <v>52</v>
      </c>
      <c r="G13" s="32"/>
    </row>
    <row r="14" spans="1:12" ht="12.75" customHeight="1" x14ac:dyDescent="0.3">
      <c r="A14" s="192">
        <v>2009</v>
      </c>
      <c r="B14" s="212">
        <v>1307</v>
      </c>
      <c r="C14" s="212">
        <v>51</v>
      </c>
      <c r="D14" s="212"/>
      <c r="E14" s="212">
        <v>1329</v>
      </c>
      <c r="F14" s="212">
        <v>51</v>
      </c>
      <c r="G14" s="32"/>
    </row>
    <row r="15" spans="1:12" ht="12.75" customHeight="1" x14ac:dyDescent="0.3">
      <c r="A15" s="192">
        <v>2010</v>
      </c>
      <c r="B15" s="212">
        <v>1273</v>
      </c>
      <c r="C15" s="212">
        <v>49</v>
      </c>
      <c r="D15" s="212"/>
      <c r="E15" s="212">
        <v>1325</v>
      </c>
      <c r="F15" s="212">
        <v>52</v>
      </c>
      <c r="G15" s="32"/>
    </row>
    <row r="16" spans="1:12" ht="12.75" customHeight="1" x14ac:dyDescent="0.3">
      <c r="A16" s="192">
        <v>2011</v>
      </c>
      <c r="B16" s="212">
        <v>1404</v>
      </c>
      <c r="C16" s="212">
        <v>55</v>
      </c>
      <c r="D16" s="212"/>
      <c r="E16" s="212">
        <v>1420</v>
      </c>
      <c r="F16" s="212">
        <v>55</v>
      </c>
      <c r="G16" s="32"/>
    </row>
    <row r="17" spans="1:14" ht="12.75" customHeight="1" x14ac:dyDescent="0.3">
      <c r="A17" s="192">
        <v>2012</v>
      </c>
      <c r="B17" s="212">
        <v>1391</v>
      </c>
      <c r="C17" s="212">
        <v>54</v>
      </c>
      <c r="D17" s="212"/>
      <c r="E17" s="212">
        <v>1333</v>
      </c>
      <c r="F17" s="212">
        <v>51</v>
      </c>
      <c r="G17" s="32"/>
    </row>
    <row r="18" spans="1:14" ht="12.75" customHeight="1" x14ac:dyDescent="0.3">
      <c r="A18" s="192">
        <v>2013</v>
      </c>
      <c r="B18" s="185">
        <v>1249</v>
      </c>
      <c r="C18" s="224">
        <v>48</v>
      </c>
      <c r="D18" s="212"/>
      <c r="E18" s="225">
        <v>1265</v>
      </c>
      <c r="F18" s="226">
        <v>49</v>
      </c>
      <c r="G18" s="27"/>
      <c r="H18" s="21"/>
      <c r="I18" s="34"/>
      <c r="J18" s="27"/>
      <c r="K18" s="21"/>
      <c r="L18" s="35"/>
      <c r="M18" s="27"/>
      <c r="N18" s="21"/>
    </row>
    <row r="19" spans="1:14" ht="12.75" customHeight="1" x14ac:dyDescent="0.3">
      <c r="A19" s="192">
        <v>2014</v>
      </c>
      <c r="B19" s="185">
        <v>1285</v>
      </c>
      <c r="C19" s="224">
        <v>50</v>
      </c>
      <c r="D19" s="212"/>
      <c r="E19" s="225">
        <v>1187</v>
      </c>
      <c r="F19" s="226">
        <v>46</v>
      </c>
      <c r="G19" s="27"/>
      <c r="H19" s="21"/>
      <c r="I19" s="34"/>
      <c r="J19" s="27"/>
      <c r="K19" s="21"/>
      <c r="L19" s="35"/>
      <c r="M19" s="27"/>
      <c r="N19" s="21"/>
    </row>
    <row r="20" spans="1:14" ht="15.75" customHeight="1" x14ac:dyDescent="0.3">
      <c r="A20" s="192">
        <v>2015</v>
      </c>
      <c r="B20" s="185">
        <v>1256</v>
      </c>
      <c r="C20" s="224">
        <v>48</v>
      </c>
      <c r="D20" s="212"/>
      <c r="E20" s="225">
        <v>1190</v>
      </c>
      <c r="F20" s="226">
        <v>46</v>
      </c>
      <c r="G20" s="27"/>
      <c r="H20" s="21"/>
      <c r="I20" s="34"/>
      <c r="J20" s="27"/>
      <c r="K20" s="21"/>
      <c r="L20" s="35"/>
      <c r="M20" s="27"/>
      <c r="N20" s="21"/>
    </row>
    <row r="21" spans="1:14" ht="15.75" customHeight="1" x14ac:dyDescent="0.3">
      <c r="A21" s="192">
        <v>2016</v>
      </c>
      <c r="B21" s="185">
        <v>1116</v>
      </c>
      <c r="C21" s="224">
        <v>42</v>
      </c>
      <c r="D21" s="212"/>
      <c r="E21" s="185">
        <v>1169</v>
      </c>
      <c r="F21" s="185">
        <v>48</v>
      </c>
      <c r="G21" s="27"/>
      <c r="H21" s="21"/>
      <c r="I21" s="34"/>
      <c r="J21" s="27"/>
      <c r="K21" s="21"/>
      <c r="L21" s="35"/>
      <c r="M21" s="27"/>
      <c r="N21" s="21"/>
    </row>
    <row r="22" spans="1:14" ht="14.25" customHeight="1" x14ac:dyDescent="0.3">
      <c r="A22" s="192">
        <v>2017</v>
      </c>
      <c r="B22" s="185">
        <v>1172</v>
      </c>
      <c r="C22" s="224">
        <v>42</v>
      </c>
      <c r="D22" s="212"/>
      <c r="E22" s="185">
        <v>1161</v>
      </c>
      <c r="F22" s="185">
        <v>42</v>
      </c>
      <c r="G22" s="27"/>
      <c r="H22" s="21"/>
      <c r="I22" s="34"/>
      <c r="J22" s="27"/>
      <c r="K22" s="21"/>
      <c r="L22" s="35"/>
      <c r="M22" s="27"/>
      <c r="N22" s="21"/>
    </row>
    <row r="23" spans="1:14" s="1" customFormat="1" ht="14.4" customHeight="1" x14ac:dyDescent="0.25">
      <c r="A23" s="193">
        <v>2018</v>
      </c>
      <c r="B23" s="185">
        <v>1148</v>
      </c>
      <c r="C23" s="185">
        <v>41</v>
      </c>
      <c r="D23" s="185"/>
      <c r="E23" s="185">
        <v>1260</v>
      </c>
      <c r="F23" s="185">
        <v>45</v>
      </c>
      <c r="G23" s="27"/>
      <c r="H23" s="21"/>
      <c r="I23" s="34"/>
      <c r="J23" s="27"/>
      <c r="K23" s="21"/>
      <c r="L23" s="35"/>
      <c r="M23" s="27"/>
      <c r="N23" s="21"/>
    </row>
    <row r="24" spans="1:14" s="1" customFormat="1" ht="14.4" customHeight="1" x14ac:dyDescent="0.25">
      <c r="A24" s="193" t="s">
        <v>119</v>
      </c>
      <c r="B24" s="185">
        <v>1324</v>
      </c>
      <c r="C24" s="185">
        <v>42</v>
      </c>
      <c r="D24" s="185"/>
      <c r="E24" s="185">
        <v>1343</v>
      </c>
      <c r="F24" s="185">
        <v>43</v>
      </c>
      <c r="G24" s="27"/>
      <c r="H24" s="21"/>
      <c r="I24" s="34"/>
      <c r="J24" s="27"/>
      <c r="K24" s="21"/>
      <c r="L24" s="35"/>
      <c r="M24" s="27"/>
      <c r="N24" s="21"/>
    </row>
    <row r="25" spans="1:14" s="1" customFormat="1" ht="15" customHeight="1" x14ac:dyDescent="0.25">
      <c r="A25" s="193" t="s">
        <v>120</v>
      </c>
      <c r="B25" s="185">
        <v>1125</v>
      </c>
      <c r="C25" s="185">
        <v>25</v>
      </c>
      <c r="D25" s="185"/>
      <c r="E25" s="185">
        <v>1514</v>
      </c>
      <c r="F25" s="185">
        <v>22</v>
      </c>
      <c r="G25" s="27"/>
      <c r="H25" s="21"/>
      <c r="I25" s="34"/>
      <c r="J25" s="27"/>
      <c r="K25" s="21"/>
      <c r="L25" s="35"/>
      <c r="M25" s="27"/>
      <c r="N25" s="21"/>
    </row>
    <row r="26" spans="1:14" s="1" customFormat="1" ht="15" customHeight="1" x14ac:dyDescent="0.25">
      <c r="A26" s="193" t="s">
        <v>121</v>
      </c>
      <c r="B26" s="185">
        <v>1393</v>
      </c>
      <c r="C26" s="185">
        <v>28</v>
      </c>
      <c r="D26" s="185"/>
      <c r="E26" s="185">
        <v>1324</v>
      </c>
      <c r="F26" s="185">
        <v>27</v>
      </c>
      <c r="G26" s="27"/>
      <c r="H26" s="21"/>
      <c r="I26" s="34"/>
      <c r="J26" s="27"/>
      <c r="K26" s="21"/>
      <c r="L26" s="35"/>
      <c r="M26" s="27"/>
      <c r="N26" s="21"/>
    </row>
    <row r="27" spans="1:14" s="1" customFormat="1" ht="15" customHeight="1" x14ac:dyDescent="0.25">
      <c r="A27" s="193" t="s">
        <v>442</v>
      </c>
      <c r="B27" s="185">
        <v>1072</v>
      </c>
      <c r="C27" s="185">
        <v>22</v>
      </c>
      <c r="D27" s="185"/>
      <c r="E27" s="185">
        <v>1106</v>
      </c>
      <c r="F27" s="185">
        <v>23</v>
      </c>
      <c r="G27" s="27"/>
      <c r="H27" s="21"/>
      <c r="I27" s="34"/>
      <c r="J27" s="27"/>
      <c r="K27" s="21"/>
      <c r="L27" s="35"/>
      <c r="M27" s="27"/>
      <c r="N27" s="21"/>
    </row>
    <row r="28" spans="1:14" ht="16.5" customHeight="1" x14ac:dyDescent="0.3">
      <c r="A28" s="453"/>
      <c r="B28" s="454"/>
      <c r="C28" s="454"/>
      <c r="D28" s="454"/>
      <c r="E28" s="454"/>
      <c r="F28" s="454"/>
      <c r="G28" s="455"/>
      <c r="H28" s="21"/>
      <c r="I28" s="34"/>
      <c r="J28" s="27"/>
      <c r="K28" s="21"/>
      <c r="L28" s="35"/>
      <c r="M28" s="27"/>
      <c r="N28" s="21"/>
    </row>
    <row r="29" spans="1:14" x14ac:dyDescent="0.3">
      <c r="A29" s="227"/>
      <c r="B29" s="515" t="s">
        <v>122</v>
      </c>
      <c r="C29" s="515"/>
      <c r="D29" s="188"/>
      <c r="E29" s="515" t="s">
        <v>123</v>
      </c>
      <c r="F29" s="515"/>
      <c r="G29" s="32"/>
      <c r="J29" s="21"/>
      <c r="K29" s="21"/>
      <c r="L29" s="21"/>
      <c r="M29" s="21"/>
      <c r="N29" s="21"/>
    </row>
    <row r="30" spans="1:14" x14ac:dyDescent="0.3">
      <c r="A30" s="221" t="s">
        <v>78</v>
      </c>
      <c r="B30" s="222" t="s">
        <v>117</v>
      </c>
      <c r="C30" s="222" t="s">
        <v>118</v>
      </c>
      <c r="D30" s="205"/>
      <c r="E30" s="222" t="s">
        <v>117</v>
      </c>
      <c r="F30" s="222" t="s">
        <v>118</v>
      </c>
      <c r="G30" s="32"/>
    </row>
    <row r="31" spans="1:14" ht="27" x14ac:dyDescent="0.3">
      <c r="A31" s="223"/>
      <c r="B31" s="215" t="s">
        <v>103</v>
      </c>
      <c r="C31" s="215" t="s">
        <v>104</v>
      </c>
      <c r="D31" s="201"/>
      <c r="E31" s="215" t="s">
        <v>103</v>
      </c>
      <c r="F31" s="215" t="s">
        <v>104</v>
      </c>
      <c r="G31" s="32"/>
    </row>
    <row r="32" spans="1:14" ht="6" customHeight="1" x14ac:dyDescent="0.3">
      <c r="A32" s="221"/>
      <c r="B32" s="198"/>
      <c r="C32" s="198"/>
      <c r="D32" s="198"/>
      <c r="E32" s="198"/>
      <c r="F32" s="198"/>
      <c r="G32" s="32"/>
    </row>
    <row r="33" spans="1:16" ht="12.75" customHeight="1" x14ac:dyDescent="0.3">
      <c r="A33" s="192">
        <v>2004</v>
      </c>
      <c r="B33" s="199">
        <v>1564</v>
      </c>
      <c r="C33" s="212">
        <v>57</v>
      </c>
      <c r="D33" s="210"/>
      <c r="E33" s="199">
        <v>1562</v>
      </c>
      <c r="F33" s="212">
        <v>56</v>
      </c>
      <c r="G33" s="1"/>
      <c r="H33" s="1"/>
    </row>
    <row r="34" spans="1:16" ht="12.75" customHeight="1" x14ac:dyDescent="0.3">
      <c r="A34" s="192">
        <v>2005</v>
      </c>
      <c r="B34" s="199">
        <v>1601</v>
      </c>
      <c r="C34" s="212">
        <v>57</v>
      </c>
      <c r="D34" s="210"/>
      <c r="E34" s="199">
        <v>1529</v>
      </c>
      <c r="F34" s="212">
        <v>56</v>
      </c>
      <c r="G34" s="1"/>
      <c r="H34" s="1"/>
    </row>
    <row r="35" spans="1:16" ht="12.75" customHeight="1" x14ac:dyDescent="0.3">
      <c r="A35" s="192">
        <v>2006</v>
      </c>
      <c r="B35" s="199">
        <v>1418</v>
      </c>
      <c r="C35" s="212">
        <v>52</v>
      </c>
      <c r="D35" s="212"/>
      <c r="E35" s="199">
        <v>1530</v>
      </c>
      <c r="F35" s="212">
        <v>56</v>
      </c>
      <c r="G35" s="1"/>
      <c r="H35" s="1"/>
    </row>
    <row r="36" spans="1:16" ht="12.75" customHeight="1" x14ac:dyDescent="0.3">
      <c r="A36" s="192">
        <v>2007</v>
      </c>
      <c r="B36" s="212">
        <v>1375</v>
      </c>
      <c r="C36" s="212">
        <v>52</v>
      </c>
      <c r="D36" s="212"/>
      <c r="E36" s="212">
        <v>1376</v>
      </c>
      <c r="F36" s="212">
        <v>53</v>
      </c>
      <c r="G36" s="1"/>
      <c r="H36" s="1"/>
    </row>
    <row r="37" spans="1:16" ht="12.75" customHeight="1" x14ac:dyDescent="0.3">
      <c r="A37" s="192">
        <v>2008</v>
      </c>
      <c r="B37" s="212">
        <v>1278</v>
      </c>
      <c r="C37" s="212">
        <v>51</v>
      </c>
      <c r="D37" s="212"/>
      <c r="E37" s="212">
        <v>1305</v>
      </c>
      <c r="F37" s="212">
        <v>50</v>
      </c>
      <c r="G37" s="1"/>
      <c r="H37" s="1"/>
      <c r="P37" s="65"/>
    </row>
    <row r="38" spans="1:16" ht="12.75" customHeight="1" x14ac:dyDescent="0.3">
      <c r="A38" s="192">
        <v>2009</v>
      </c>
      <c r="B38" s="212">
        <v>1253</v>
      </c>
      <c r="C38" s="212">
        <v>49</v>
      </c>
      <c r="D38" s="212"/>
      <c r="E38" s="212">
        <v>1334</v>
      </c>
      <c r="F38" s="212">
        <v>52</v>
      </c>
      <c r="G38" s="1"/>
      <c r="H38" s="1"/>
    </row>
    <row r="39" spans="1:16" ht="12.75" customHeight="1" x14ac:dyDescent="0.3">
      <c r="A39" s="192">
        <v>2010</v>
      </c>
      <c r="B39" s="212">
        <v>1214</v>
      </c>
      <c r="C39" s="212">
        <v>47</v>
      </c>
      <c r="D39" s="212"/>
      <c r="E39" s="212">
        <v>1304</v>
      </c>
      <c r="F39" s="212">
        <v>51</v>
      </c>
      <c r="G39" s="1"/>
      <c r="H39" s="1"/>
    </row>
    <row r="40" spans="1:16" ht="12.75" customHeight="1" x14ac:dyDescent="0.3">
      <c r="A40" s="192">
        <v>2011</v>
      </c>
      <c r="B40" s="212">
        <v>1356</v>
      </c>
      <c r="C40" s="212">
        <v>52</v>
      </c>
      <c r="D40" s="212"/>
      <c r="E40" s="212">
        <v>1351</v>
      </c>
      <c r="F40" s="212">
        <v>53</v>
      </c>
      <c r="G40" s="1"/>
      <c r="H40" s="1"/>
    </row>
    <row r="41" spans="1:16" ht="12.75" customHeight="1" x14ac:dyDescent="0.3">
      <c r="A41" s="192">
        <v>2012</v>
      </c>
      <c r="B41" s="212">
        <v>1272</v>
      </c>
      <c r="C41" s="212">
        <v>49</v>
      </c>
      <c r="D41" s="212"/>
      <c r="E41" s="212">
        <v>1429</v>
      </c>
      <c r="F41" s="212">
        <v>55</v>
      </c>
      <c r="G41" s="1"/>
      <c r="H41" s="1"/>
    </row>
    <row r="42" spans="1:16" ht="12.75" customHeight="1" x14ac:dyDescent="0.3">
      <c r="A42" s="192">
        <v>2013</v>
      </c>
      <c r="B42" s="212">
        <v>1233</v>
      </c>
      <c r="C42" s="228">
        <v>48</v>
      </c>
      <c r="D42" s="212"/>
      <c r="E42" s="212">
        <v>1246</v>
      </c>
      <c r="F42" s="228">
        <v>48</v>
      </c>
      <c r="G42" s="1"/>
      <c r="H42" s="1"/>
      <c r="I42" s="1"/>
    </row>
    <row r="43" spans="1:16" ht="12.75" customHeight="1" x14ac:dyDescent="0.3">
      <c r="A43" s="192">
        <v>2014</v>
      </c>
      <c r="B43" s="212">
        <v>1235</v>
      </c>
      <c r="C43" s="228">
        <v>48</v>
      </c>
      <c r="D43" s="212"/>
      <c r="E43" s="212">
        <v>1275</v>
      </c>
      <c r="F43" s="228">
        <v>48</v>
      </c>
      <c r="G43" s="1"/>
      <c r="H43" s="1"/>
    </row>
    <row r="44" spans="1:16" ht="12.75" customHeight="1" x14ac:dyDescent="0.3">
      <c r="A44" s="192">
        <v>2015</v>
      </c>
      <c r="B44" s="212">
        <v>1210</v>
      </c>
      <c r="C44" s="228">
        <v>47</v>
      </c>
      <c r="D44" s="212"/>
      <c r="E44" s="199">
        <v>1310</v>
      </c>
      <c r="F44" s="229">
        <v>49</v>
      </c>
      <c r="G44" s="1"/>
      <c r="H44" s="1"/>
    </row>
    <row r="45" spans="1:16" s="1" customFormat="1" ht="13.5" customHeight="1" x14ac:dyDescent="0.3">
      <c r="A45" s="230">
        <v>2016</v>
      </c>
      <c r="B45" s="185">
        <v>1205</v>
      </c>
      <c r="C45" s="199">
        <v>46</v>
      </c>
      <c r="D45" s="185"/>
      <c r="E45" s="212">
        <v>1104</v>
      </c>
      <c r="F45" s="228">
        <v>42</v>
      </c>
      <c r="I45" s="32"/>
    </row>
    <row r="46" spans="1:16" ht="12.75" customHeight="1" x14ac:dyDescent="0.3">
      <c r="A46" s="230">
        <v>2017</v>
      </c>
      <c r="B46" s="199">
        <v>1320</v>
      </c>
      <c r="C46" s="199">
        <v>44</v>
      </c>
      <c r="D46" s="231"/>
      <c r="E46" s="185">
        <v>1151</v>
      </c>
      <c r="F46" s="185">
        <v>44</v>
      </c>
      <c r="G46" s="32"/>
      <c r="J46" s="27"/>
      <c r="K46" s="21"/>
      <c r="L46" s="35"/>
    </row>
    <row r="47" spans="1:16" ht="12.75" customHeight="1" x14ac:dyDescent="0.3">
      <c r="A47" s="230">
        <v>2018</v>
      </c>
      <c r="B47" s="199">
        <v>1333</v>
      </c>
      <c r="C47" s="199">
        <v>42</v>
      </c>
      <c r="D47" s="231"/>
      <c r="E47" s="185">
        <v>1360</v>
      </c>
      <c r="F47" s="185">
        <v>44</v>
      </c>
      <c r="G47" s="32"/>
      <c r="J47" s="27"/>
      <c r="K47" s="21"/>
      <c r="L47" s="35"/>
    </row>
    <row r="48" spans="1:16" ht="12.75" customHeight="1" x14ac:dyDescent="0.3">
      <c r="A48" s="230">
        <v>2019</v>
      </c>
      <c r="B48" s="199">
        <v>1289</v>
      </c>
      <c r="C48" s="199">
        <v>41</v>
      </c>
      <c r="D48" s="231"/>
      <c r="E48" s="185">
        <v>1346</v>
      </c>
      <c r="F48" s="185">
        <v>43</v>
      </c>
      <c r="G48" s="32"/>
      <c r="J48" s="27"/>
      <c r="K48" s="21"/>
      <c r="L48" s="35"/>
    </row>
    <row r="49" spans="1:12" ht="12.75" customHeight="1" x14ac:dyDescent="0.3">
      <c r="A49" s="230">
        <v>2020</v>
      </c>
      <c r="B49" s="199">
        <v>1313</v>
      </c>
      <c r="C49" s="199">
        <v>23</v>
      </c>
      <c r="D49" s="231"/>
      <c r="E49" s="185">
        <v>1116</v>
      </c>
      <c r="F49" s="185">
        <v>35</v>
      </c>
      <c r="G49" s="32"/>
      <c r="J49" s="27"/>
      <c r="K49" s="21"/>
      <c r="L49" s="35"/>
    </row>
    <row r="50" spans="1:12" ht="12" customHeight="1" x14ac:dyDescent="0.3">
      <c r="A50" s="230">
        <v>2021</v>
      </c>
      <c r="B50" s="199">
        <v>1231</v>
      </c>
      <c r="C50" s="199">
        <v>25</v>
      </c>
      <c r="E50" s="185">
        <v>1217</v>
      </c>
      <c r="F50" s="185">
        <v>26</v>
      </c>
    </row>
    <row r="51" spans="1:12" ht="12" customHeight="1" x14ac:dyDescent="0.3">
      <c r="A51" s="230">
        <v>2022</v>
      </c>
      <c r="B51" s="199">
        <v>941</v>
      </c>
      <c r="C51" s="444">
        <v>21</v>
      </c>
      <c r="E51" s="185">
        <v>1358</v>
      </c>
      <c r="F51" s="185">
        <v>27</v>
      </c>
    </row>
    <row r="52" spans="1:12" ht="12" customHeight="1" x14ac:dyDescent="0.3">
      <c r="A52" s="230">
        <v>2023</v>
      </c>
      <c r="B52" s="199"/>
      <c r="C52" s="444"/>
      <c r="E52" s="199">
        <v>942</v>
      </c>
      <c r="F52" s="444">
        <v>25</v>
      </c>
    </row>
    <row r="53" spans="1:12" ht="51" customHeight="1" x14ac:dyDescent="0.3">
      <c r="A53" s="516" t="s">
        <v>124</v>
      </c>
      <c r="B53" s="517"/>
      <c r="C53" s="517"/>
      <c r="D53" s="517"/>
      <c r="E53" s="517"/>
      <c r="F53" s="517"/>
    </row>
    <row r="55" spans="1:12" x14ac:dyDescent="0.3">
      <c r="A55" s="469"/>
    </row>
  </sheetData>
  <mergeCells count="5">
    <mergeCell ref="E29:F29"/>
    <mergeCell ref="B5:C5"/>
    <mergeCell ref="E5:F5"/>
    <mergeCell ref="B29:C29"/>
    <mergeCell ref="A53:F53"/>
  </mergeCells>
  <phoneticPr fontId="48" type="noConversion"/>
  <hyperlinks>
    <hyperlink ref="I1" location="Index!A1" display="Return to index" xr:uid="{00000000-0004-0000-0800-000000000000}"/>
  </hyperlinks>
  <pageMargins left="0.7" right="0.7" top="0.75" bottom="0.75" header="0.3" footer="0.3"/>
  <pageSetup paperSize="9" orientation="portrait" r:id="rId1"/>
  <ignoredErrors>
    <ignoredError sqref="A2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25"/>
  <sheetViews>
    <sheetView workbookViewId="0">
      <selection activeCell="D21" sqref="D21"/>
    </sheetView>
  </sheetViews>
  <sheetFormatPr defaultColWidth="14.88671875" defaultRowHeight="15" x14ac:dyDescent="0.25"/>
  <cols>
    <col min="1" max="1" width="46.5546875" style="2" customWidth="1"/>
    <col min="2" max="4" width="22.5546875" style="2" customWidth="1"/>
    <col min="5" max="5" width="12.44140625" style="2" customWidth="1"/>
    <col min="6" max="249" width="9.109375" style="2" customWidth="1"/>
    <col min="250" max="250" width="28.44140625" style="2" customWidth="1"/>
    <col min="251" max="251" width="11.5546875" style="2" customWidth="1"/>
    <col min="252" max="252" width="10.44140625" style="2" customWidth="1"/>
    <col min="253" max="253" width="12.44140625" style="2" customWidth="1"/>
    <col min="254" max="254" width="14.44140625" style="2" customWidth="1"/>
    <col min="255" max="255" width="12" style="2" customWidth="1"/>
    <col min="256" max="16384" width="14.88671875" style="2"/>
  </cols>
  <sheetData>
    <row r="1" spans="1:8" ht="16.5" customHeight="1" x14ac:dyDescent="0.3">
      <c r="A1" s="518" t="s">
        <v>125</v>
      </c>
      <c r="B1" s="519"/>
      <c r="C1" s="519"/>
      <c r="D1" s="519"/>
      <c r="F1" s="352" t="s">
        <v>23</v>
      </c>
      <c r="G1" s="43"/>
    </row>
    <row r="2" spans="1:8" ht="16.5" customHeight="1" x14ac:dyDescent="0.3">
      <c r="A2" s="486" t="s">
        <v>432</v>
      </c>
      <c r="G2" s="44"/>
    </row>
    <row r="3" spans="1:8" ht="6" customHeight="1" x14ac:dyDescent="0.25">
      <c r="A3" s="9"/>
      <c r="B3" s="9"/>
      <c r="C3" s="9"/>
      <c r="D3" s="9"/>
    </row>
    <row r="4" spans="1:8" x14ac:dyDescent="0.25">
      <c r="A4" s="232" t="s">
        <v>126</v>
      </c>
      <c r="B4" s="233" t="s">
        <v>117</v>
      </c>
      <c r="C4" s="233"/>
      <c r="D4" s="233" t="s">
        <v>118</v>
      </c>
    </row>
    <row r="5" spans="1:8" x14ac:dyDescent="0.25">
      <c r="A5" s="234"/>
      <c r="B5" s="235" t="s">
        <v>103</v>
      </c>
      <c r="C5" s="235"/>
      <c r="D5" s="235" t="s">
        <v>104</v>
      </c>
    </row>
    <row r="6" spans="1:8" ht="6" customHeight="1" x14ac:dyDescent="0.25">
      <c r="A6" s="170"/>
      <c r="B6" s="216"/>
      <c r="C6" s="216"/>
      <c r="D6" s="216"/>
    </row>
    <row r="7" spans="1:8" x14ac:dyDescent="0.25">
      <c r="A7" s="236" t="s">
        <v>127</v>
      </c>
      <c r="B7" s="155">
        <v>213</v>
      </c>
      <c r="C7" s="155"/>
      <c r="D7" s="353">
        <v>0.3</v>
      </c>
    </row>
    <row r="8" spans="1:8" x14ac:dyDescent="0.25">
      <c r="A8" s="236" t="s">
        <v>128</v>
      </c>
      <c r="B8" s="155">
        <v>406</v>
      </c>
      <c r="C8" s="155"/>
      <c r="D8" s="353">
        <v>0.22</v>
      </c>
    </row>
    <row r="9" spans="1:8" x14ac:dyDescent="0.25">
      <c r="A9" s="236" t="s">
        <v>129</v>
      </c>
      <c r="B9" s="155">
        <v>372</v>
      </c>
      <c r="C9" s="155"/>
      <c r="D9" s="353">
        <v>0.25</v>
      </c>
    </row>
    <row r="10" spans="1:8" x14ac:dyDescent="0.25">
      <c r="A10" s="236" t="s">
        <v>130</v>
      </c>
      <c r="B10" s="155">
        <v>320</v>
      </c>
      <c r="C10" s="155"/>
      <c r="D10" s="353">
        <v>0.26</v>
      </c>
    </row>
    <row r="11" spans="1:8" x14ac:dyDescent="0.25">
      <c r="A11" s="236" t="s">
        <v>131</v>
      </c>
      <c r="B11" s="155">
        <v>338</v>
      </c>
      <c r="C11" s="155"/>
      <c r="D11" s="353">
        <v>0.23</v>
      </c>
      <c r="H11" s="6"/>
    </row>
    <row r="12" spans="1:8" x14ac:dyDescent="0.25">
      <c r="A12" s="236" t="s">
        <v>132</v>
      </c>
      <c r="B12" s="155">
        <v>389</v>
      </c>
      <c r="C12" s="155"/>
      <c r="D12" s="353">
        <v>0.23</v>
      </c>
    </row>
    <row r="13" spans="1:8" x14ac:dyDescent="0.25">
      <c r="A13" s="236" t="s">
        <v>133</v>
      </c>
      <c r="B13" s="155">
        <v>333</v>
      </c>
      <c r="C13" s="155"/>
      <c r="D13" s="353">
        <v>0.18</v>
      </c>
    </row>
    <row r="14" spans="1:8" x14ac:dyDescent="0.25">
      <c r="A14" s="236" t="s">
        <v>134</v>
      </c>
      <c r="B14" s="155">
        <v>478</v>
      </c>
      <c r="C14" s="155"/>
      <c r="D14" s="353">
        <v>0.19</v>
      </c>
    </row>
    <row r="15" spans="1:8" x14ac:dyDescent="0.25">
      <c r="A15" s="236" t="s">
        <v>135</v>
      </c>
      <c r="B15" s="155">
        <v>439</v>
      </c>
      <c r="C15" s="155"/>
      <c r="D15" s="353">
        <v>0.32</v>
      </c>
    </row>
    <row r="16" spans="1:8" x14ac:dyDescent="0.25">
      <c r="A16" s="236" t="s">
        <v>136</v>
      </c>
      <c r="B16" s="155">
        <v>170</v>
      </c>
      <c r="C16" s="155"/>
      <c r="D16" s="353">
        <v>0.21</v>
      </c>
    </row>
    <row r="17" spans="1:5" x14ac:dyDescent="0.25">
      <c r="A17" s="236" t="s">
        <v>137</v>
      </c>
      <c r="B17" s="155">
        <v>603</v>
      </c>
      <c r="C17" s="155"/>
      <c r="D17" s="353">
        <v>0.2</v>
      </c>
    </row>
    <row r="18" spans="1:5" x14ac:dyDescent="0.25">
      <c r="A18" s="236" t="s">
        <v>138</v>
      </c>
      <c r="B18" s="155">
        <v>399</v>
      </c>
      <c r="C18" s="155"/>
      <c r="D18" s="433">
        <v>0.45</v>
      </c>
    </row>
    <row r="19" spans="1:5" ht="6" customHeight="1" x14ac:dyDescent="0.25">
      <c r="A19" s="237"/>
      <c r="B19" s="238"/>
      <c r="C19" s="238"/>
      <c r="D19" s="203"/>
    </row>
    <row r="20" spans="1:5" ht="6" customHeight="1" x14ac:dyDescent="0.25">
      <c r="A20" s="153"/>
      <c r="B20" s="155"/>
      <c r="C20" s="155"/>
      <c r="D20" s="155"/>
    </row>
    <row r="21" spans="1:5" ht="15.6" x14ac:dyDescent="0.3">
      <c r="A21" s="428" t="s">
        <v>139</v>
      </c>
      <c r="B21" s="429">
        <f>SUM(B7:B18)</f>
        <v>4460</v>
      </c>
      <c r="C21" s="431"/>
      <c r="D21" s="431">
        <v>0.24299999999999999</v>
      </c>
      <c r="E21" s="358"/>
    </row>
    <row r="22" spans="1:5" ht="6" customHeight="1" x14ac:dyDescent="0.25">
      <c r="A22" s="156"/>
      <c r="B22" s="156"/>
      <c r="C22" s="156"/>
      <c r="D22" s="156"/>
    </row>
    <row r="23" spans="1:5" ht="6" customHeight="1" x14ac:dyDescent="0.25"/>
    <row r="24" spans="1:5" ht="6" customHeight="1" x14ac:dyDescent="0.25"/>
    <row r="25" spans="1:5" x14ac:dyDescent="0.25">
      <c r="A25" s="81"/>
    </row>
    <row r="26" spans="1:5" x14ac:dyDescent="0.25">
      <c r="A26" s="466"/>
    </row>
    <row r="411" spans="4:5" x14ac:dyDescent="0.25">
      <c r="D411" s="37"/>
      <c r="E411" s="37"/>
    </row>
    <row r="425" spans="2:5" x14ac:dyDescent="0.25">
      <c r="B425" s="37"/>
      <c r="C425" s="37"/>
      <c r="D425" s="37"/>
      <c r="E425" s="37"/>
    </row>
  </sheetData>
  <mergeCells count="1">
    <mergeCell ref="A1:D1"/>
  </mergeCells>
  <hyperlinks>
    <hyperlink ref="F1" location="Index!A1" display="Return to index" xr:uid="{00000000-0004-0000-09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1"/>
  <sheetViews>
    <sheetView workbookViewId="0">
      <selection activeCell="D24" sqref="D24"/>
    </sheetView>
  </sheetViews>
  <sheetFormatPr defaultColWidth="9.109375" defaultRowHeight="15" x14ac:dyDescent="0.25"/>
  <cols>
    <col min="1" max="1" width="46" style="4" customWidth="1"/>
    <col min="2" max="2" width="46" style="1" customWidth="1"/>
    <col min="3" max="3" width="9.109375" style="1"/>
    <col min="4" max="4" width="34.44140625" style="1" customWidth="1"/>
    <col min="5" max="5" width="9" style="1" customWidth="1"/>
    <col min="6" max="236" width="9.109375" style="1"/>
    <col min="237" max="237" width="33.44140625" style="1" customWidth="1"/>
    <col min="238" max="238" width="14.44140625" style="1" customWidth="1"/>
    <col min="239" max="240" width="9.109375" style="1"/>
    <col min="241" max="241" width="25" style="1" customWidth="1"/>
    <col min="242" max="242" width="16" style="1" customWidth="1"/>
    <col min="243" max="244" width="9.109375" style="1"/>
    <col min="245" max="245" width="11.44140625" style="1" customWidth="1"/>
    <col min="246" max="16384" width="9.109375" style="1"/>
  </cols>
  <sheetData>
    <row r="1" spans="1:9" ht="16.5" customHeight="1" x14ac:dyDescent="0.3">
      <c r="A1" s="520" t="s">
        <v>140</v>
      </c>
      <c r="B1" s="521"/>
      <c r="D1" s="352" t="s">
        <v>23</v>
      </c>
    </row>
    <row r="2" spans="1:9" ht="16.5" customHeight="1" x14ac:dyDescent="0.3">
      <c r="A2" s="487" t="s">
        <v>433</v>
      </c>
      <c r="D2" s="67"/>
    </row>
    <row r="3" spans="1:9" ht="6" customHeight="1" x14ac:dyDescent="0.25">
      <c r="A3" s="40"/>
      <c r="B3" s="3"/>
    </row>
    <row r="4" spans="1:9" ht="6" customHeight="1" x14ac:dyDescent="0.25">
      <c r="A4" s="184"/>
      <c r="B4" s="185"/>
    </row>
    <row r="5" spans="1:9" ht="15.6" x14ac:dyDescent="0.3">
      <c r="A5" s="241" t="s">
        <v>141</v>
      </c>
      <c r="B5" s="242" t="s">
        <v>31</v>
      </c>
      <c r="C5" s="41"/>
      <c r="D5" s="45"/>
      <c r="I5" s="46"/>
    </row>
    <row r="6" spans="1:9" ht="6" customHeight="1" x14ac:dyDescent="0.3">
      <c r="A6" s="243"/>
      <c r="B6" s="233"/>
      <c r="C6" s="41"/>
      <c r="D6" s="45"/>
      <c r="I6" s="47"/>
    </row>
    <row r="7" spans="1:9" ht="6" customHeight="1" x14ac:dyDescent="0.3">
      <c r="A7" s="205"/>
      <c r="B7" s="244"/>
      <c r="C7" s="41"/>
      <c r="D7" s="45"/>
      <c r="I7" s="47"/>
    </row>
    <row r="8" spans="1:9" x14ac:dyDescent="0.25">
      <c r="A8" s="185" t="s">
        <v>142</v>
      </c>
      <c r="B8" s="186">
        <v>33.299999999999997</v>
      </c>
    </row>
    <row r="9" spans="1:9" x14ac:dyDescent="0.25">
      <c r="A9" s="185" t="s">
        <v>143</v>
      </c>
      <c r="B9" s="186">
        <v>8.4</v>
      </c>
    </row>
    <row r="10" spans="1:9" x14ac:dyDescent="0.25">
      <c r="A10" s="185" t="s">
        <v>144</v>
      </c>
      <c r="B10" s="186">
        <v>14.9</v>
      </c>
    </row>
    <row r="11" spans="1:9" x14ac:dyDescent="0.25">
      <c r="A11" s="185" t="s">
        <v>145</v>
      </c>
      <c r="B11" s="186">
        <v>8</v>
      </c>
    </row>
    <row r="12" spans="1:9" x14ac:dyDescent="0.25">
      <c r="A12" s="185" t="s">
        <v>146</v>
      </c>
      <c r="B12" s="186">
        <v>7.5</v>
      </c>
    </row>
    <row r="13" spans="1:9" x14ac:dyDescent="0.25">
      <c r="A13" s="185" t="s">
        <v>147</v>
      </c>
      <c r="B13" s="186">
        <v>4.5999999999999996</v>
      </c>
    </row>
    <row r="14" spans="1:9" x14ac:dyDescent="0.25">
      <c r="A14" s="185" t="s">
        <v>443</v>
      </c>
      <c r="B14" s="186">
        <v>7.5</v>
      </c>
    </row>
    <row r="15" spans="1:9" x14ac:dyDescent="0.25">
      <c r="A15" s="185" t="s">
        <v>148</v>
      </c>
      <c r="B15" s="186">
        <v>5</v>
      </c>
    </row>
    <row r="16" spans="1:9" x14ac:dyDescent="0.25">
      <c r="A16" s="185" t="s">
        <v>149</v>
      </c>
      <c r="B16" s="186">
        <v>2.5</v>
      </c>
    </row>
    <row r="17" spans="1:7" x14ac:dyDescent="0.25">
      <c r="A17" s="185" t="s">
        <v>150</v>
      </c>
      <c r="B17" s="186">
        <v>1.6</v>
      </c>
    </row>
    <row r="18" spans="1:7" x14ac:dyDescent="0.25">
      <c r="A18" s="185" t="s">
        <v>151</v>
      </c>
      <c r="B18" s="186">
        <v>1.8</v>
      </c>
    </row>
    <row r="19" spans="1:7" x14ac:dyDescent="0.25">
      <c r="A19" s="185" t="s">
        <v>152</v>
      </c>
      <c r="B19" s="186">
        <v>2.4</v>
      </c>
    </row>
    <row r="20" spans="1:7" x14ac:dyDescent="0.25">
      <c r="A20" s="185" t="s">
        <v>153</v>
      </c>
      <c r="B20" s="186">
        <v>0.9</v>
      </c>
    </row>
    <row r="21" spans="1:7" ht="15.6" x14ac:dyDescent="0.25">
      <c r="A21" s="185" t="s">
        <v>154</v>
      </c>
      <c r="B21" s="444" t="s">
        <v>407</v>
      </c>
    </row>
    <row r="22" spans="1:7" x14ac:dyDescent="0.25">
      <c r="A22" s="185" t="s">
        <v>155</v>
      </c>
      <c r="B22" s="472">
        <v>0.3</v>
      </c>
      <c r="C22" s="471"/>
    </row>
    <row r="23" spans="1:7" x14ac:dyDescent="0.25">
      <c r="A23" s="185" t="s">
        <v>156</v>
      </c>
      <c r="B23" s="472">
        <v>0.4</v>
      </c>
    </row>
    <row r="24" spans="1:7" x14ac:dyDescent="0.25">
      <c r="A24" s="185" t="s">
        <v>157</v>
      </c>
      <c r="B24" s="332">
        <v>0.2</v>
      </c>
    </row>
    <row r="25" spans="1:7" ht="6" customHeight="1" x14ac:dyDescent="0.25">
      <c r="A25" s="245"/>
      <c r="B25" s="456"/>
    </row>
    <row r="26" spans="1:7" ht="6" customHeight="1" x14ac:dyDescent="0.25">
      <c r="A26" s="184"/>
      <c r="B26" s="185"/>
    </row>
    <row r="27" spans="1:7" x14ac:dyDescent="0.25">
      <c r="A27" s="205" t="s">
        <v>158</v>
      </c>
      <c r="B27" s="188">
        <v>100</v>
      </c>
    </row>
    <row r="28" spans="1:7" ht="6" customHeight="1" x14ac:dyDescent="0.25">
      <c r="A28" s="207"/>
      <c r="B28" s="208"/>
    </row>
    <row r="29" spans="1:7" ht="35.25" customHeight="1" x14ac:dyDescent="0.25">
      <c r="A29" s="522" t="s">
        <v>159</v>
      </c>
      <c r="B29" s="523"/>
    </row>
    <row r="30" spans="1:7" ht="32.25" customHeight="1" x14ac:dyDescent="0.25">
      <c r="A30" s="498" t="s">
        <v>62</v>
      </c>
      <c r="B30" s="499"/>
      <c r="D30" s="48"/>
      <c r="E30" s="49"/>
      <c r="F30" s="50"/>
      <c r="G30" s="50"/>
    </row>
    <row r="31" spans="1:7" x14ac:dyDescent="0.25">
      <c r="A31" s="499"/>
      <c r="B31" s="499"/>
    </row>
  </sheetData>
  <mergeCells count="3">
    <mergeCell ref="A1:B1"/>
    <mergeCell ref="A29:B29"/>
    <mergeCell ref="A30:B31"/>
  </mergeCells>
  <hyperlinks>
    <hyperlink ref="D1" location="Index!A1" display="Return to index" xr:uid="{00000000-0004-0000-0A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2"/>
  <sheetViews>
    <sheetView workbookViewId="0">
      <selection activeCell="I35" sqref="I35"/>
    </sheetView>
  </sheetViews>
  <sheetFormatPr defaultColWidth="9.109375" defaultRowHeight="15" x14ac:dyDescent="0.25"/>
  <cols>
    <col min="1" max="1" width="46.5546875" style="1" customWidth="1"/>
    <col min="2" max="3" width="26" style="1" customWidth="1"/>
    <col min="4" max="5" width="9.109375" style="1"/>
    <col min="6" max="6" width="13.5546875" style="1" bestFit="1" customWidth="1"/>
    <col min="7" max="9" width="9.109375" style="1"/>
    <col min="10" max="10" width="17.44140625" style="1" customWidth="1"/>
    <col min="11" max="11" width="18" style="1" customWidth="1"/>
    <col min="12" max="12" width="15" style="1" customWidth="1"/>
    <col min="13" max="13" width="9.109375" style="1"/>
    <col min="14" max="14" width="13.6640625" style="1" customWidth="1"/>
    <col min="15" max="16384" width="9.109375" style="1"/>
  </cols>
  <sheetData>
    <row r="1" spans="1:9" ht="16.5" customHeight="1" x14ac:dyDescent="0.3">
      <c r="A1" s="508" t="s">
        <v>160</v>
      </c>
      <c r="B1" s="524"/>
      <c r="C1" s="524"/>
      <c r="E1" s="352" t="s">
        <v>23</v>
      </c>
      <c r="F1" s="42"/>
    </row>
    <row r="2" spans="1:9" ht="16.5" customHeight="1" x14ac:dyDescent="0.3">
      <c r="A2" s="487" t="s">
        <v>433</v>
      </c>
      <c r="F2" s="67"/>
    </row>
    <row r="3" spans="1:9" ht="6" customHeight="1" x14ac:dyDescent="0.25">
      <c r="A3" s="3"/>
      <c r="B3" s="3"/>
      <c r="C3" s="3"/>
    </row>
    <row r="4" spans="1:9" ht="26.4" x14ac:dyDescent="0.25">
      <c r="A4" s="241" t="s">
        <v>161</v>
      </c>
      <c r="B4" s="239" t="s">
        <v>162</v>
      </c>
      <c r="C4" s="239" t="s">
        <v>163</v>
      </c>
    </row>
    <row r="5" spans="1:9" x14ac:dyDescent="0.25">
      <c r="A5" s="187"/>
      <c r="B5" s="525" t="s">
        <v>31</v>
      </c>
      <c r="C5" s="525"/>
    </row>
    <row r="6" spans="1:9" ht="6" customHeight="1" x14ac:dyDescent="0.25">
      <c r="A6" s="185"/>
      <c r="B6" s="246"/>
      <c r="C6" s="246"/>
    </row>
    <row r="7" spans="1:9" x14ac:dyDescent="0.25">
      <c r="A7" s="185" t="s">
        <v>164</v>
      </c>
      <c r="B7" s="212">
        <v>44.6</v>
      </c>
      <c r="C7" s="212">
        <v>28.7</v>
      </c>
    </row>
    <row r="8" spans="1:9" x14ac:dyDescent="0.25">
      <c r="A8" s="185" t="s">
        <v>165</v>
      </c>
      <c r="B8" s="212">
        <v>5.4</v>
      </c>
      <c r="C8" s="212">
        <v>3.7</v>
      </c>
    </row>
    <row r="9" spans="1:9" x14ac:dyDescent="0.25">
      <c r="A9" s="185" t="s">
        <v>166</v>
      </c>
      <c r="B9" s="212">
        <v>33.5</v>
      </c>
      <c r="C9" s="212">
        <v>39.4</v>
      </c>
      <c r="G9" s="483"/>
      <c r="H9" s="483"/>
      <c r="I9" s="484"/>
    </row>
    <row r="10" spans="1:9" x14ac:dyDescent="0.25">
      <c r="A10" s="185" t="s">
        <v>167</v>
      </c>
      <c r="B10" s="212">
        <v>10.6</v>
      </c>
      <c r="C10" s="212">
        <v>16.600000000000001</v>
      </c>
      <c r="G10" s="483"/>
      <c r="H10" s="483"/>
      <c r="I10" s="484"/>
    </row>
    <row r="11" spans="1:9" x14ac:dyDescent="0.25">
      <c r="A11" s="185" t="s">
        <v>168</v>
      </c>
      <c r="B11" s="212">
        <v>4.5</v>
      </c>
      <c r="C11" s="212">
        <v>7.5</v>
      </c>
      <c r="G11" s="483"/>
      <c r="H11" s="483"/>
      <c r="I11" s="484"/>
    </row>
    <row r="12" spans="1:9" x14ac:dyDescent="0.25">
      <c r="A12" s="185" t="s">
        <v>169</v>
      </c>
      <c r="B12" s="212">
        <v>1.3</v>
      </c>
      <c r="C12" s="212">
        <v>4</v>
      </c>
      <c r="G12" s="483"/>
      <c r="H12" s="483"/>
      <c r="I12" s="484"/>
    </row>
    <row r="13" spans="1:9" ht="6" customHeight="1" x14ac:dyDescent="0.25">
      <c r="A13" s="185"/>
      <c r="B13" s="212"/>
      <c r="C13" s="212"/>
      <c r="G13" s="483"/>
      <c r="H13" s="483"/>
      <c r="I13" s="484"/>
    </row>
    <row r="14" spans="1:9" x14ac:dyDescent="0.25">
      <c r="A14" s="188" t="s">
        <v>107</v>
      </c>
      <c r="B14" s="188">
        <v>100</v>
      </c>
      <c r="C14" s="188">
        <v>100</v>
      </c>
      <c r="G14" s="483"/>
      <c r="H14" s="483"/>
      <c r="I14" s="484"/>
    </row>
    <row r="15" spans="1:9" ht="6" customHeight="1" x14ac:dyDescent="0.25">
      <c r="A15" s="208"/>
      <c r="B15" s="208"/>
      <c r="C15" s="208"/>
      <c r="G15" s="483"/>
      <c r="H15" s="483"/>
      <c r="I15" s="484"/>
    </row>
    <row r="16" spans="1:9" ht="6" customHeight="1" x14ac:dyDescent="0.25">
      <c r="A16" s="188"/>
      <c r="B16" s="188"/>
      <c r="C16" s="188"/>
    </row>
    <row r="17" spans="1:9" s="38" customFormat="1" ht="12.75" customHeight="1" x14ac:dyDescent="0.3">
      <c r="A17" s="205" t="s">
        <v>33</v>
      </c>
      <c r="B17" s="188">
        <v>3146</v>
      </c>
      <c r="C17" s="188">
        <v>4061</v>
      </c>
      <c r="F17" s="1"/>
    </row>
    <row r="18" spans="1:9" ht="6" customHeight="1" x14ac:dyDescent="0.25">
      <c r="A18" s="187"/>
      <c r="B18" s="187"/>
      <c r="C18" s="187"/>
    </row>
    <row r="19" spans="1:9" ht="6" customHeight="1" x14ac:dyDescent="0.25"/>
    <row r="20" spans="1:9" ht="3.9" customHeight="1" x14ac:dyDescent="0.25">
      <c r="G20" s="483"/>
      <c r="H20" s="483"/>
      <c r="I20" s="484"/>
    </row>
    <row r="21" spans="1:9" x14ac:dyDescent="0.25">
      <c r="G21" s="483"/>
      <c r="H21" s="483"/>
      <c r="I21" s="484"/>
    </row>
    <row r="22" spans="1:9" x14ac:dyDescent="0.25">
      <c r="A22" s="470"/>
    </row>
  </sheetData>
  <mergeCells count="2">
    <mergeCell ref="A1:C1"/>
    <mergeCell ref="B5:C5"/>
  </mergeCells>
  <hyperlinks>
    <hyperlink ref="E1" location="Index!A1" display="Return to index"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6"/>
  <sheetViews>
    <sheetView workbookViewId="0">
      <selection activeCell="B10" sqref="B10"/>
    </sheetView>
  </sheetViews>
  <sheetFormatPr defaultColWidth="9.109375" defaultRowHeight="15" x14ac:dyDescent="0.25"/>
  <cols>
    <col min="1" max="1" width="46.5546875" style="1" customWidth="1"/>
    <col min="2" max="3" width="34.109375" style="1" customWidth="1"/>
    <col min="4" max="16384" width="9.109375" style="1"/>
  </cols>
  <sheetData>
    <row r="1" spans="1:13" ht="16.5" customHeight="1" x14ac:dyDescent="0.3">
      <c r="A1" s="508" t="s">
        <v>170</v>
      </c>
      <c r="B1" s="524"/>
      <c r="C1" s="524"/>
      <c r="E1" s="352" t="s">
        <v>23</v>
      </c>
      <c r="F1" s="42"/>
    </row>
    <row r="2" spans="1:13" ht="16.5" customHeight="1" x14ac:dyDescent="0.3">
      <c r="A2" s="487" t="s">
        <v>433</v>
      </c>
      <c r="F2" s="67"/>
    </row>
    <row r="3" spans="1:13" ht="6" customHeight="1" x14ac:dyDescent="0.25">
      <c r="A3" s="3"/>
      <c r="B3" s="3"/>
      <c r="C3" s="3"/>
    </row>
    <row r="4" spans="1:13" x14ac:dyDescent="0.25">
      <c r="A4" s="185"/>
      <c r="B4" s="247" t="s">
        <v>162</v>
      </c>
      <c r="C4" s="247" t="s">
        <v>163</v>
      </c>
    </row>
    <row r="5" spans="1:13" x14ac:dyDescent="0.25">
      <c r="A5" s="223" t="s">
        <v>171</v>
      </c>
      <c r="B5" s="525" t="s">
        <v>31</v>
      </c>
      <c r="C5" s="525"/>
    </row>
    <row r="6" spans="1:13" ht="6" customHeight="1" x14ac:dyDescent="0.25">
      <c r="A6" s="185"/>
      <c r="B6" s="185"/>
      <c r="C6" s="185"/>
    </row>
    <row r="7" spans="1:13" x14ac:dyDescent="0.25">
      <c r="A7" s="240">
        <v>1</v>
      </c>
      <c r="B7" s="354">
        <v>0.441</v>
      </c>
      <c r="C7" s="354">
        <v>0.32500000000000001</v>
      </c>
      <c r="G7" s="51"/>
      <c r="H7" s="52"/>
      <c r="I7" s="53"/>
      <c r="J7" s="53"/>
      <c r="K7" s="53"/>
      <c r="M7" s="357"/>
    </row>
    <row r="8" spans="1:13" x14ac:dyDescent="0.25">
      <c r="A8" s="240">
        <v>2</v>
      </c>
      <c r="B8" s="354">
        <v>0.501</v>
      </c>
      <c r="C8" s="354">
        <v>0.56000000000000005</v>
      </c>
      <c r="G8" s="51"/>
      <c r="H8" s="52"/>
      <c r="I8" s="53"/>
      <c r="J8" s="53"/>
      <c r="K8" s="53"/>
      <c r="M8" s="357"/>
    </row>
    <row r="9" spans="1:13" x14ac:dyDescent="0.25">
      <c r="A9" s="240">
        <v>3</v>
      </c>
      <c r="B9" s="354">
        <v>3.7999999999999999E-2</v>
      </c>
      <c r="C9" s="354">
        <v>8.4000000000000005E-2</v>
      </c>
      <c r="G9" s="51"/>
      <c r="H9" s="52"/>
      <c r="I9" s="53"/>
      <c r="J9" s="53"/>
      <c r="K9" s="53"/>
      <c r="M9" s="357"/>
    </row>
    <row r="10" spans="1:13" x14ac:dyDescent="0.25">
      <c r="A10" s="240" t="s">
        <v>172</v>
      </c>
      <c r="B10" s="354">
        <v>1.9E-2</v>
      </c>
      <c r="C10" s="354">
        <v>3.2000000000000001E-2</v>
      </c>
      <c r="G10" s="51"/>
      <c r="H10" s="52"/>
      <c r="I10" s="54"/>
      <c r="J10" s="53"/>
      <c r="K10" s="53"/>
      <c r="M10" s="357"/>
    </row>
    <row r="11" spans="1:13" ht="6" customHeight="1" x14ac:dyDescent="0.25">
      <c r="A11" s="240"/>
      <c r="B11" s="185"/>
      <c r="C11" s="185"/>
      <c r="G11" s="51"/>
      <c r="H11" s="52"/>
      <c r="I11" s="53"/>
      <c r="J11" s="53"/>
      <c r="K11" s="63"/>
      <c r="M11" s="357"/>
    </row>
    <row r="12" spans="1:13" x14ac:dyDescent="0.25">
      <c r="A12" s="221" t="s">
        <v>107</v>
      </c>
      <c r="B12" s="188">
        <v>100</v>
      </c>
      <c r="C12" s="188">
        <v>100</v>
      </c>
      <c r="M12" s="357"/>
    </row>
    <row r="13" spans="1:13" ht="6" customHeight="1" x14ac:dyDescent="0.25">
      <c r="A13" s="223"/>
      <c r="B13" s="208"/>
      <c r="C13" s="208"/>
      <c r="M13" s="357"/>
    </row>
    <row r="14" spans="1:13" ht="6" customHeight="1" x14ac:dyDescent="0.25">
      <c r="A14" s="188"/>
      <c r="B14" s="188"/>
      <c r="C14" s="188"/>
      <c r="M14" s="357"/>
    </row>
    <row r="15" spans="1:13" s="38" customFormat="1" ht="15.6" x14ac:dyDescent="0.3">
      <c r="A15" s="188" t="s">
        <v>33</v>
      </c>
      <c r="B15" s="248">
        <v>3957</v>
      </c>
      <c r="C15" s="249">
        <v>4061</v>
      </c>
      <c r="M15" s="357"/>
    </row>
    <row r="16" spans="1:13" s="38" customFormat="1" ht="6" customHeight="1" x14ac:dyDescent="0.3">
      <c r="A16" s="214"/>
      <c r="B16" s="214"/>
      <c r="C16" s="214"/>
      <c r="M16" s="357"/>
    </row>
    <row r="17" spans="1:13" ht="18" customHeight="1" x14ac:dyDescent="0.25">
      <c r="A17" s="223" t="s">
        <v>173</v>
      </c>
      <c r="B17" s="525" t="s">
        <v>31</v>
      </c>
      <c r="C17" s="525"/>
      <c r="M17" s="357"/>
    </row>
    <row r="18" spans="1:13" ht="6" customHeight="1" x14ac:dyDescent="0.25">
      <c r="A18" s="221"/>
      <c r="B18" s="246"/>
      <c r="C18" s="246"/>
    </row>
    <row r="19" spans="1:13" x14ac:dyDescent="0.25">
      <c r="A19" s="220">
        <v>0</v>
      </c>
      <c r="B19" s="355">
        <v>0.83199999999999996</v>
      </c>
      <c r="C19" s="354">
        <v>0.75600000000000001</v>
      </c>
      <c r="G19" s="51"/>
      <c r="H19" s="52"/>
      <c r="I19" s="53"/>
      <c r="J19" s="53"/>
      <c r="K19" s="53"/>
    </row>
    <row r="20" spans="1:13" x14ac:dyDescent="0.25">
      <c r="A20" s="220">
        <v>1</v>
      </c>
      <c r="B20" s="355">
        <v>7.5999999999999998E-2</v>
      </c>
      <c r="C20" s="354">
        <v>0.11700000000000001</v>
      </c>
      <c r="G20" s="51"/>
      <c r="H20" s="52"/>
      <c r="I20" s="53"/>
      <c r="J20" s="53"/>
      <c r="K20" s="53"/>
    </row>
    <row r="21" spans="1:13" x14ac:dyDescent="0.25">
      <c r="A21" s="220">
        <v>2</v>
      </c>
      <c r="B21" s="355">
        <v>7.4999999999999997E-2</v>
      </c>
      <c r="C21" s="354">
        <v>9.6000000000000002E-2</v>
      </c>
      <c r="G21" s="51"/>
      <c r="H21" s="52"/>
      <c r="I21" s="53"/>
      <c r="J21" s="53"/>
      <c r="K21" s="53"/>
    </row>
    <row r="22" spans="1:13" x14ac:dyDescent="0.25">
      <c r="A22" s="220">
        <v>3</v>
      </c>
      <c r="B22" s="355">
        <v>1.2E-2</v>
      </c>
      <c r="C22" s="354">
        <v>2.1999999999999999E-2</v>
      </c>
      <c r="G22" s="51"/>
      <c r="H22" s="52"/>
      <c r="I22" s="54"/>
      <c r="J22" s="53"/>
      <c r="K22" s="53"/>
    </row>
    <row r="23" spans="1:13" x14ac:dyDescent="0.25">
      <c r="A23" s="220" t="s">
        <v>172</v>
      </c>
      <c r="B23" s="474">
        <v>5.0000000000000001E-3</v>
      </c>
      <c r="C23" s="473">
        <v>8.0000000000000002E-3</v>
      </c>
      <c r="G23" s="51"/>
      <c r="H23" s="52"/>
      <c r="I23" s="54"/>
      <c r="J23" s="53"/>
      <c r="K23" s="53"/>
    </row>
    <row r="24" spans="1:13" ht="6" customHeight="1" x14ac:dyDescent="0.25">
      <c r="A24" s="240"/>
      <c r="B24" s="185"/>
      <c r="C24" s="212"/>
      <c r="G24" s="51"/>
      <c r="H24" s="52"/>
      <c r="I24" s="53"/>
      <c r="J24" s="53"/>
      <c r="K24" s="63"/>
    </row>
    <row r="25" spans="1:13" s="38" customFormat="1" ht="15.6" x14ac:dyDescent="0.3">
      <c r="A25" s="221" t="s">
        <v>107</v>
      </c>
      <c r="B25" s="188">
        <v>100</v>
      </c>
      <c r="C25" s="188">
        <v>100</v>
      </c>
    </row>
    <row r="26" spans="1:13" ht="6" customHeight="1" x14ac:dyDescent="0.25">
      <c r="A26" s="208"/>
      <c r="B26" s="208"/>
      <c r="C26" s="208"/>
    </row>
    <row r="27" spans="1:13" ht="6" customHeight="1" x14ac:dyDescent="0.25">
      <c r="A27" s="188"/>
      <c r="B27" s="188"/>
      <c r="C27" s="188"/>
    </row>
    <row r="28" spans="1:13" x14ac:dyDescent="0.25">
      <c r="A28" s="188" t="s">
        <v>33</v>
      </c>
      <c r="B28" s="250">
        <v>3292</v>
      </c>
      <c r="C28" s="249">
        <v>4061</v>
      </c>
      <c r="I28" s="58"/>
    </row>
    <row r="29" spans="1:13" ht="6" customHeight="1" x14ac:dyDescent="0.25">
      <c r="A29" s="208"/>
      <c r="B29" s="208"/>
      <c r="C29" s="208"/>
    </row>
    <row r="30" spans="1:13" ht="6" customHeight="1" x14ac:dyDescent="0.25">
      <c r="A30" s="498" t="s">
        <v>62</v>
      </c>
      <c r="B30" s="498"/>
      <c r="C30" s="498"/>
    </row>
    <row r="31" spans="1:13" ht="12.75" customHeight="1" x14ac:dyDescent="0.25">
      <c r="A31" s="527"/>
      <c r="B31" s="527"/>
      <c r="C31" s="527"/>
    </row>
    <row r="32" spans="1:13" ht="6" customHeight="1" x14ac:dyDescent="0.25"/>
    <row r="33" spans="1:9" x14ac:dyDescent="0.25">
      <c r="A33" s="526"/>
      <c r="B33" s="526"/>
      <c r="C33" s="526"/>
      <c r="D33" s="526"/>
      <c r="E33" s="526"/>
      <c r="F33" s="526"/>
      <c r="G33" s="526"/>
      <c r="H33" s="526"/>
      <c r="I33" s="526"/>
    </row>
    <row r="36" spans="1:9" x14ac:dyDescent="0.25">
      <c r="A36" s="470"/>
    </row>
  </sheetData>
  <mergeCells count="5">
    <mergeCell ref="A33:I33"/>
    <mergeCell ref="A1:C1"/>
    <mergeCell ref="B5:C5"/>
    <mergeCell ref="B17:C17"/>
    <mergeCell ref="A30:C31"/>
  </mergeCells>
  <hyperlinks>
    <hyperlink ref="E1" location="Index!A1" display="Return to index"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6"/>
  <sheetViews>
    <sheetView workbookViewId="0">
      <selection activeCell="C37" sqref="C37"/>
    </sheetView>
  </sheetViews>
  <sheetFormatPr defaultColWidth="9.109375" defaultRowHeight="15" x14ac:dyDescent="0.25"/>
  <cols>
    <col min="1" max="1" width="57.44140625" style="1" customWidth="1"/>
    <col min="2" max="3" width="26.5546875" style="1" customWidth="1"/>
    <col min="4" max="16384" width="9.109375" style="1"/>
  </cols>
  <sheetData>
    <row r="1" spans="1:11" ht="16.5" customHeight="1" x14ac:dyDescent="0.3">
      <c r="A1" s="508" t="s">
        <v>174</v>
      </c>
      <c r="B1" s="508"/>
      <c r="C1" s="508"/>
      <c r="E1" s="352" t="s">
        <v>23</v>
      </c>
      <c r="F1" s="42"/>
    </row>
    <row r="2" spans="1:11" ht="16.5" customHeight="1" x14ac:dyDescent="0.3">
      <c r="A2" s="487" t="s">
        <v>433</v>
      </c>
      <c r="E2" s="5"/>
      <c r="F2" s="67"/>
    </row>
    <row r="3" spans="1:11" ht="6" customHeight="1" x14ac:dyDescent="0.25">
      <c r="A3" s="3"/>
      <c r="B3" s="3"/>
      <c r="C3" s="3"/>
    </row>
    <row r="4" spans="1:11" x14ac:dyDescent="0.25">
      <c r="A4" s="185"/>
      <c r="B4" s="247" t="s">
        <v>162</v>
      </c>
      <c r="C4" s="247" t="s">
        <v>163</v>
      </c>
    </row>
    <row r="5" spans="1:11" x14ac:dyDescent="0.25">
      <c r="A5" s="208" t="s">
        <v>175</v>
      </c>
      <c r="B5" s="525" t="s">
        <v>31</v>
      </c>
      <c r="C5" s="525"/>
    </row>
    <row r="6" spans="1:11" ht="6" customHeight="1" x14ac:dyDescent="0.25">
      <c r="A6" s="185"/>
      <c r="B6" s="185"/>
      <c r="C6" s="185"/>
    </row>
    <row r="7" spans="1:11" x14ac:dyDescent="0.25">
      <c r="A7" s="185" t="s">
        <v>176</v>
      </c>
      <c r="B7" s="251">
        <v>16.2</v>
      </c>
      <c r="C7" s="251">
        <v>13.8</v>
      </c>
      <c r="G7" s="59"/>
      <c r="H7" s="60"/>
      <c r="I7" s="61"/>
      <c r="J7" s="61"/>
      <c r="K7" s="61"/>
    </row>
    <row r="8" spans="1:11" x14ac:dyDescent="0.25">
      <c r="A8" s="185" t="s">
        <v>177</v>
      </c>
      <c r="B8" s="251">
        <v>40.700000000000003</v>
      </c>
      <c r="C8" s="251">
        <v>42.6</v>
      </c>
      <c r="G8" s="59"/>
      <c r="H8" s="60"/>
      <c r="I8" s="61"/>
      <c r="J8" s="61"/>
      <c r="K8" s="61"/>
    </row>
    <row r="9" spans="1:11" x14ac:dyDescent="0.25">
      <c r="A9" s="185" t="s">
        <v>178</v>
      </c>
      <c r="B9" s="251">
        <v>43.1</v>
      </c>
      <c r="C9" s="251">
        <v>43.6</v>
      </c>
      <c r="G9" s="59"/>
      <c r="H9" s="60"/>
      <c r="I9" s="61"/>
      <c r="J9" s="61"/>
      <c r="K9" s="61"/>
    </row>
    <row r="10" spans="1:11" ht="6" customHeight="1" x14ac:dyDescent="0.25">
      <c r="A10" s="185"/>
      <c r="B10" s="185"/>
      <c r="C10" s="185"/>
      <c r="G10" s="59"/>
      <c r="H10" s="60"/>
      <c r="I10" s="61"/>
      <c r="J10" s="61"/>
      <c r="K10" s="64"/>
    </row>
    <row r="11" spans="1:11" x14ac:dyDescent="0.25">
      <c r="A11" s="188" t="s">
        <v>107</v>
      </c>
      <c r="B11" s="188">
        <v>100</v>
      </c>
      <c r="C11" s="188">
        <v>100</v>
      </c>
    </row>
    <row r="12" spans="1:11" ht="6" customHeight="1" x14ac:dyDescent="0.25">
      <c r="A12" s="208"/>
      <c r="B12" s="208"/>
      <c r="C12" s="208"/>
    </row>
    <row r="13" spans="1:11" ht="6" customHeight="1" x14ac:dyDescent="0.25">
      <c r="A13" s="188"/>
      <c r="B13" s="188"/>
      <c r="C13" s="188"/>
    </row>
    <row r="14" spans="1:11" x14ac:dyDescent="0.25">
      <c r="A14" s="188" t="s">
        <v>33</v>
      </c>
      <c r="B14" s="248">
        <v>3588</v>
      </c>
      <c r="C14" s="188">
        <v>4061</v>
      </c>
    </row>
    <row r="15" spans="1:11" ht="6" customHeight="1" x14ac:dyDescent="0.25">
      <c r="A15" s="252"/>
      <c r="B15" s="208"/>
      <c r="C15" s="252"/>
    </row>
    <row r="16" spans="1:11" x14ac:dyDescent="0.25">
      <c r="A16" s="208" t="s">
        <v>179</v>
      </c>
      <c r="B16" s="525" t="s">
        <v>31</v>
      </c>
      <c r="C16" s="525"/>
    </row>
    <row r="17" spans="1:11" ht="6" customHeight="1" x14ac:dyDescent="0.25">
      <c r="A17" s="188"/>
      <c r="B17" s="246"/>
      <c r="C17" s="246"/>
    </row>
    <row r="18" spans="1:11" x14ac:dyDescent="0.25">
      <c r="A18" s="185" t="s">
        <v>180</v>
      </c>
      <c r="B18" s="251">
        <v>47.8</v>
      </c>
      <c r="C18" s="251">
        <v>58</v>
      </c>
      <c r="G18" s="59"/>
      <c r="H18" s="60"/>
      <c r="I18" s="61"/>
      <c r="J18" s="61"/>
      <c r="K18" s="61"/>
    </row>
    <row r="19" spans="1:11" x14ac:dyDescent="0.25">
      <c r="A19" s="185" t="s">
        <v>181</v>
      </c>
      <c r="B19" s="251">
        <v>52.2</v>
      </c>
      <c r="C19" s="251">
        <v>41.9</v>
      </c>
      <c r="G19" s="59"/>
      <c r="H19" s="60"/>
      <c r="I19" s="61"/>
      <c r="J19" s="61"/>
      <c r="K19" s="61"/>
    </row>
    <row r="20" spans="1:11" ht="6" customHeight="1" x14ac:dyDescent="0.25">
      <c r="A20" s="185"/>
      <c r="B20" s="185"/>
      <c r="C20" s="185"/>
      <c r="G20" s="59"/>
      <c r="H20" s="60"/>
      <c r="I20" s="61"/>
      <c r="J20" s="61"/>
      <c r="K20" s="64"/>
    </row>
    <row r="21" spans="1:11" x14ac:dyDescent="0.25">
      <c r="A21" s="188" t="s">
        <v>107</v>
      </c>
      <c r="B21" s="188">
        <v>100</v>
      </c>
      <c r="C21" s="188">
        <v>100</v>
      </c>
    </row>
    <row r="22" spans="1:11" s="38" customFormat="1" ht="6" customHeight="1" x14ac:dyDescent="0.3">
      <c r="A22" s="187"/>
      <c r="B22" s="187"/>
      <c r="C22" s="187"/>
    </row>
    <row r="23" spans="1:11" ht="6" customHeight="1" x14ac:dyDescent="0.25">
      <c r="A23" s="185"/>
      <c r="B23" s="185"/>
      <c r="C23" s="185"/>
    </row>
    <row r="24" spans="1:11" x14ac:dyDescent="0.25">
      <c r="A24" s="188" t="s">
        <v>33</v>
      </c>
      <c r="B24" s="248">
        <v>3910</v>
      </c>
      <c r="C24" s="248">
        <v>4061</v>
      </c>
    </row>
    <row r="25" spans="1:11" ht="6" customHeight="1" x14ac:dyDescent="0.25">
      <c r="A25" s="187"/>
      <c r="B25" s="187"/>
      <c r="C25" s="187"/>
    </row>
    <row r="26" spans="1:11" ht="6" customHeight="1" x14ac:dyDescent="0.25"/>
    <row r="27" spans="1:11" ht="12" customHeight="1" x14ac:dyDescent="0.25">
      <c r="A27" s="212" t="s">
        <v>62</v>
      </c>
      <c r="B27" s="21"/>
      <c r="C27" s="21"/>
    </row>
    <row r="28" spans="1:11" ht="6" customHeight="1" x14ac:dyDescent="0.3">
      <c r="A28" s="8"/>
      <c r="B28" s="8"/>
      <c r="C28" s="8"/>
    </row>
    <row r="31" spans="1:11" x14ac:dyDescent="0.25">
      <c r="A31" s="526"/>
      <c r="B31" s="526"/>
      <c r="C31" s="526"/>
      <c r="D31" s="526"/>
      <c r="E31" s="526"/>
      <c r="F31" s="526"/>
      <c r="G31" s="526"/>
      <c r="H31" s="526"/>
    </row>
    <row r="32" spans="1:11" x14ac:dyDescent="0.25">
      <c r="A32" s="470"/>
      <c r="E32" s="59"/>
      <c r="F32" s="60"/>
      <c r="G32" s="61"/>
      <c r="H32" s="61"/>
      <c r="I32" s="62"/>
    </row>
    <row r="33" spans="5:9" x14ac:dyDescent="0.25">
      <c r="E33" s="59"/>
      <c r="F33" s="60"/>
      <c r="G33" s="61"/>
      <c r="H33" s="61"/>
      <c r="I33" s="62"/>
    </row>
    <row r="34" spans="5:9" x14ac:dyDescent="0.25">
      <c r="E34" s="59"/>
      <c r="F34" s="60"/>
      <c r="G34" s="61"/>
      <c r="H34" s="61"/>
      <c r="I34" s="62"/>
    </row>
    <row r="35" spans="5:9" x14ac:dyDescent="0.25">
      <c r="E35" s="59"/>
      <c r="F35" s="60"/>
      <c r="G35" s="61"/>
      <c r="H35" s="61"/>
      <c r="I35" s="62"/>
    </row>
    <row r="66" spans="1:7" x14ac:dyDescent="0.25">
      <c r="A66" s="526"/>
      <c r="B66" s="526"/>
      <c r="C66" s="526"/>
      <c r="D66" s="526"/>
      <c r="E66" s="526"/>
      <c r="F66" s="526"/>
      <c r="G66" s="526"/>
    </row>
  </sheetData>
  <mergeCells count="5">
    <mergeCell ref="A1:C1"/>
    <mergeCell ref="B5:C5"/>
    <mergeCell ref="B16:C16"/>
    <mergeCell ref="A31:H31"/>
    <mergeCell ref="A66:G66"/>
  </mergeCells>
  <hyperlinks>
    <hyperlink ref="E1" location="Index!A1" display="Return to index"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51"/>
  <sheetViews>
    <sheetView showGridLines="0" workbookViewId="0">
      <selection activeCell="T1" sqref="T1"/>
    </sheetView>
  </sheetViews>
  <sheetFormatPr defaultColWidth="9.109375" defaultRowHeight="13.2" x14ac:dyDescent="0.25"/>
  <cols>
    <col min="1" max="1" width="3.109375" style="86" customWidth="1"/>
    <col min="2" max="2" width="9.109375" style="86"/>
    <col min="3" max="3" width="24.5546875" style="86" customWidth="1"/>
    <col min="4" max="4" width="9.88671875" style="86" customWidth="1"/>
    <col min="5" max="5" width="9.5546875" style="86" customWidth="1"/>
    <col min="6" max="6" width="0.109375" style="86" hidden="1" customWidth="1"/>
    <col min="7" max="7" width="9.5546875" style="86" customWidth="1"/>
    <col min="8" max="8" width="9.109375" style="86" hidden="1" customWidth="1"/>
    <col min="9" max="9" width="9.5546875" style="86" customWidth="1"/>
    <col min="10" max="12" width="9.109375" style="86" hidden="1" customWidth="1"/>
    <col min="13" max="13" width="12" style="86" customWidth="1"/>
    <col min="14" max="14" width="9.109375" style="86" hidden="1" customWidth="1"/>
    <col min="15" max="15" width="12" style="86" customWidth="1"/>
    <col min="16" max="16" width="0.44140625" style="86" hidden="1" customWidth="1"/>
    <col min="17" max="17" width="13.44140625" style="86" customWidth="1"/>
    <col min="18" max="18" width="13" style="86" customWidth="1"/>
    <col min="19" max="16384" width="9.109375" style="86"/>
  </cols>
  <sheetData>
    <row r="1" spans="1:26" ht="16.5" customHeight="1" x14ac:dyDescent="0.25">
      <c r="A1" s="475" t="s">
        <v>182</v>
      </c>
      <c r="B1" s="68"/>
      <c r="C1" s="68"/>
      <c r="D1" s="68"/>
      <c r="E1" s="82"/>
      <c r="F1" s="82"/>
      <c r="G1" s="82"/>
      <c r="H1" s="82"/>
      <c r="I1" s="82"/>
      <c r="J1" s="83"/>
      <c r="K1" s="84"/>
      <c r="L1" s="83"/>
      <c r="M1" s="84"/>
      <c r="N1" s="85"/>
      <c r="O1" s="83"/>
      <c r="T1" s="352" t="s">
        <v>23</v>
      </c>
    </row>
    <row r="2" spans="1:26" ht="16.5" customHeight="1" x14ac:dyDescent="0.25">
      <c r="A2" s="488" t="s">
        <v>438</v>
      </c>
      <c r="B2" s="1"/>
      <c r="C2" s="1"/>
      <c r="D2" s="1"/>
      <c r="E2" s="87"/>
      <c r="F2" s="87"/>
      <c r="G2" s="87"/>
      <c r="H2" s="87"/>
      <c r="I2" s="87"/>
      <c r="J2" s="88"/>
      <c r="K2" s="89"/>
      <c r="L2" s="88"/>
      <c r="M2" s="88"/>
      <c r="N2" s="88"/>
      <c r="O2" s="90"/>
    </row>
    <row r="3" spans="1:26" ht="4.5" customHeight="1" x14ac:dyDescent="0.25">
      <c r="A3" s="91"/>
      <c r="B3" s="91"/>
      <c r="C3" s="92"/>
      <c r="D3" s="92"/>
      <c r="E3" s="92"/>
      <c r="F3" s="92"/>
      <c r="G3" s="92"/>
      <c r="H3" s="92"/>
      <c r="I3" s="92"/>
      <c r="J3" s="92"/>
      <c r="K3" s="93"/>
      <c r="L3" s="92"/>
      <c r="M3" s="93"/>
      <c r="N3" s="94"/>
      <c r="O3" s="92"/>
    </row>
    <row r="4" spans="1:26" ht="3" customHeight="1" x14ac:dyDescent="0.25">
      <c r="A4" s="253"/>
      <c r="B4" s="253"/>
      <c r="C4" s="254"/>
      <c r="D4" s="254"/>
      <c r="E4" s="254"/>
      <c r="F4" s="254"/>
      <c r="G4" s="254"/>
      <c r="H4" s="254"/>
      <c r="I4" s="254"/>
      <c r="J4" s="254"/>
      <c r="K4" s="255"/>
      <c r="L4" s="254"/>
      <c r="M4" s="255"/>
      <c r="N4" s="256"/>
      <c r="O4" s="254"/>
      <c r="Q4" s="257"/>
      <c r="R4" s="257"/>
    </row>
    <row r="5" spans="1:26" x14ac:dyDescent="0.25">
      <c r="A5" s="253"/>
      <c r="B5" s="253"/>
      <c r="C5" s="254"/>
      <c r="D5" s="254"/>
      <c r="E5" s="258" t="s">
        <v>104</v>
      </c>
      <c r="F5" s="258"/>
      <c r="G5" s="258"/>
      <c r="H5" s="258"/>
      <c r="I5" s="258" t="s">
        <v>104</v>
      </c>
      <c r="J5" s="258"/>
      <c r="K5" s="259"/>
      <c r="L5" s="258"/>
      <c r="M5" s="259"/>
      <c r="N5" s="260"/>
      <c r="O5" s="258"/>
    </row>
    <row r="6" spans="1:26" x14ac:dyDescent="0.25">
      <c r="B6" s="261"/>
      <c r="C6" s="262"/>
      <c r="E6" s="263" t="s">
        <v>183</v>
      </c>
      <c r="F6" s="262"/>
      <c r="G6" s="264"/>
      <c r="H6" s="265"/>
      <c r="I6" s="263" t="s">
        <v>183</v>
      </c>
      <c r="J6" s="266"/>
      <c r="K6" s="528" t="s">
        <v>184</v>
      </c>
      <c r="L6" s="528"/>
      <c r="M6" s="528"/>
      <c r="N6" s="528"/>
      <c r="O6" s="528"/>
    </row>
    <row r="7" spans="1:26" x14ac:dyDescent="0.25">
      <c r="B7" s="261"/>
      <c r="C7" s="262"/>
      <c r="E7" s="263" t="s">
        <v>185</v>
      </c>
      <c r="F7" s="263"/>
      <c r="G7" s="263"/>
      <c r="H7" s="263"/>
      <c r="I7" s="263" t="s">
        <v>185</v>
      </c>
      <c r="J7" s="263"/>
      <c r="K7" s="529" t="s">
        <v>186</v>
      </c>
      <c r="L7" s="529"/>
      <c r="M7" s="529"/>
      <c r="N7" s="529"/>
      <c r="O7" s="529"/>
      <c r="Q7" s="530" t="s">
        <v>187</v>
      </c>
      <c r="R7" s="530"/>
    </row>
    <row r="8" spans="1:26" ht="3" customHeight="1" x14ac:dyDescent="0.25">
      <c r="A8" s="267"/>
      <c r="B8" s="267"/>
      <c r="C8" s="268"/>
      <c r="D8" s="269"/>
      <c r="E8" s="270"/>
      <c r="F8" s="271"/>
      <c r="G8" s="271"/>
      <c r="H8" s="270"/>
      <c r="I8" s="270"/>
      <c r="J8" s="271"/>
      <c r="K8" s="272"/>
      <c r="L8" s="273"/>
      <c r="M8" s="274"/>
      <c r="N8" s="275"/>
      <c r="O8" s="274"/>
      <c r="Q8" s="269"/>
      <c r="R8" s="269"/>
    </row>
    <row r="9" spans="1:26" ht="3" customHeight="1" x14ac:dyDescent="0.25">
      <c r="A9" s="261"/>
      <c r="B9" s="261"/>
      <c r="C9" s="262"/>
      <c r="E9" s="276"/>
      <c r="F9" s="262"/>
      <c r="G9" s="264"/>
      <c r="H9" s="265"/>
      <c r="I9" s="264"/>
      <c r="J9" s="266"/>
      <c r="K9" s="277"/>
      <c r="L9" s="278"/>
      <c r="M9" s="279"/>
      <c r="N9" s="280"/>
      <c r="O9" s="276"/>
      <c r="Q9" s="281"/>
      <c r="R9" s="281"/>
    </row>
    <row r="10" spans="1:26" x14ac:dyDescent="0.25">
      <c r="A10" s="261" t="s">
        <v>188</v>
      </c>
      <c r="B10" s="253"/>
      <c r="C10" s="254"/>
      <c r="D10" s="258" t="s">
        <v>189</v>
      </c>
      <c r="E10" s="258" t="s">
        <v>190</v>
      </c>
      <c r="F10" s="258"/>
      <c r="G10" s="258" t="s">
        <v>191</v>
      </c>
      <c r="H10" s="258"/>
      <c r="I10" s="258" t="s">
        <v>192</v>
      </c>
      <c r="J10" s="258"/>
      <c r="K10" s="282"/>
      <c r="L10" s="258"/>
      <c r="M10" s="282" t="s">
        <v>193</v>
      </c>
      <c r="N10" s="260"/>
      <c r="O10" s="258" t="s">
        <v>104</v>
      </c>
      <c r="Q10" s="283" t="s">
        <v>194</v>
      </c>
      <c r="R10" s="283" t="s">
        <v>195</v>
      </c>
    </row>
    <row r="11" spans="1:26" x14ac:dyDescent="0.25">
      <c r="A11" s="253"/>
      <c r="B11" s="253"/>
      <c r="C11" s="254"/>
      <c r="D11" s="258" t="s">
        <v>196</v>
      </c>
      <c r="E11" s="258" t="s">
        <v>197</v>
      </c>
      <c r="F11" s="258"/>
      <c r="G11" s="258" t="s">
        <v>198</v>
      </c>
      <c r="H11" s="258"/>
      <c r="I11" s="258" t="s">
        <v>197</v>
      </c>
      <c r="J11" s="258"/>
      <c r="K11" s="282"/>
      <c r="L11" s="258"/>
      <c r="M11" s="282" t="s">
        <v>199</v>
      </c>
      <c r="N11" s="260"/>
      <c r="O11" s="284" t="s">
        <v>200</v>
      </c>
      <c r="Q11" s="285"/>
      <c r="R11" s="285"/>
    </row>
    <row r="12" spans="1:26" x14ac:dyDescent="0.25">
      <c r="A12" s="253"/>
      <c r="B12" s="253"/>
      <c r="D12" s="258" t="s">
        <v>201</v>
      </c>
      <c r="E12" s="276"/>
      <c r="F12" s="276"/>
      <c r="G12" s="263" t="s">
        <v>202</v>
      </c>
      <c r="H12" s="276"/>
      <c r="I12" s="276"/>
      <c r="J12" s="276"/>
      <c r="K12" s="259"/>
      <c r="L12" s="276"/>
      <c r="M12" s="259" t="s">
        <v>203</v>
      </c>
      <c r="N12" s="276"/>
      <c r="O12" s="284" t="s">
        <v>199</v>
      </c>
      <c r="Q12" s="286"/>
      <c r="R12" s="286"/>
    </row>
    <row r="13" spans="1:26" x14ac:dyDescent="0.25">
      <c r="A13" s="253"/>
      <c r="B13" s="253"/>
      <c r="D13" s="258" t="s">
        <v>204</v>
      </c>
      <c r="K13" s="255"/>
      <c r="M13" s="255"/>
      <c r="O13" s="287"/>
    </row>
    <row r="14" spans="1:26" ht="3" customHeight="1" x14ac:dyDescent="0.25">
      <c r="A14" s="288"/>
      <c r="B14" s="288"/>
      <c r="C14" s="288"/>
      <c r="D14" s="288"/>
      <c r="E14" s="288"/>
      <c r="F14" s="288"/>
      <c r="G14" s="288"/>
      <c r="H14" s="288"/>
      <c r="I14" s="288"/>
      <c r="J14" s="288"/>
      <c r="K14" s="289"/>
      <c r="L14" s="288"/>
      <c r="M14" s="289"/>
      <c r="N14" s="290"/>
      <c r="O14" s="290"/>
      <c r="Q14" s="291"/>
      <c r="R14" s="291"/>
    </row>
    <row r="15" spans="1:26" ht="3" customHeight="1" x14ac:dyDescent="0.25">
      <c r="A15" s="253"/>
      <c r="B15" s="253"/>
      <c r="C15" s="254"/>
      <c r="D15" s="254"/>
      <c r="E15" s="254"/>
      <c r="F15" s="254"/>
      <c r="G15" s="254"/>
      <c r="H15" s="254"/>
      <c r="I15" s="254"/>
      <c r="J15" s="254"/>
      <c r="K15" s="255"/>
      <c r="L15" s="254"/>
      <c r="M15" s="255"/>
      <c r="N15" s="256"/>
      <c r="O15" s="292"/>
      <c r="Q15" s="281"/>
      <c r="R15" s="281"/>
    </row>
    <row r="16" spans="1:26" x14ac:dyDescent="0.25">
      <c r="A16" s="279" t="s">
        <v>205</v>
      </c>
      <c r="B16" s="279"/>
      <c r="C16" s="293"/>
      <c r="D16" s="294">
        <v>492</v>
      </c>
      <c r="E16" s="296">
        <v>1.0238</v>
      </c>
      <c r="F16" s="295"/>
      <c r="G16" s="296">
        <v>1.0744285993358078</v>
      </c>
      <c r="H16" s="295"/>
      <c r="I16" s="535">
        <v>1.1000000000000001</v>
      </c>
      <c r="J16" s="297"/>
      <c r="K16" s="298"/>
      <c r="L16" s="297"/>
      <c r="M16" s="477">
        <v>4460</v>
      </c>
      <c r="N16" s="478"/>
      <c r="O16" s="479">
        <v>100</v>
      </c>
      <c r="Q16" s="299">
        <v>481.39247999999998</v>
      </c>
      <c r="R16" s="299">
        <v>502.60752000000002</v>
      </c>
      <c r="S16" s="95"/>
      <c r="T16" s="95"/>
      <c r="U16" s="95"/>
      <c r="X16" s="95"/>
      <c r="Z16" s="95"/>
    </row>
    <row r="17" spans="1:26" x14ac:dyDescent="0.25">
      <c r="A17" s="253"/>
      <c r="B17" s="253"/>
      <c r="C17" s="300"/>
      <c r="D17" s="301"/>
      <c r="E17" s="533"/>
      <c r="F17" s="302"/>
      <c r="G17" s="303"/>
      <c r="H17" s="302"/>
      <c r="I17" s="536"/>
      <c r="J17" s="303"/>
      <c r="K17" s="304"/>
      <c r="L17" s="303"/>
      <c r="M17" s="304"/>
      <c r="N17" s="305"/>
      <c r="O17" s="533"/>
      <c r="Q17" s="299"/>
      <c r="R17" s="299"/>
    </row>
    <row r="18" spans="1:26" x14ac:dyDescent="0.25">
      <c r="B18" s="306" t="s">
        <v>206</v>
      </c>
      <c r="C18" s="300"/>
      <c r="D18" s="301">
        <v>63.5</v>
      </c>
      <c r="E18" s="533">
        <v>0.85521417322834636</v>
      </c>
      <c r="F18" s="302"/>
      <c r="G18" s="307">
        <v>1.052367966029599</v>
      </c>
      <c r="H18" s="302"/>
      <c r="I18" s="537">
        <v>0.9</v>
      </c>
      <c r="J18" s="307"/>
      <c r="K18" s="308"/>
      <c r="L18" s="307"/>
      <c r="M18" s="309">
        <v>4430</v>
      </c>
      <c r="N18" s="305"/>
      <c r="O18" s="534">
        <v>99.327354260089677</v>
      </c>
      <c r="Q18" s="310">
        <v>62.379860000000001</v>
      </c>
      <c r="R18" s="310">
        <v>64.620140000000006</v>
      </c>
      <c r="S18" s="95"/>
      <c r="T18" s="95"/>
      <c r="U18" s="95"/>
      <c r="X18" s="95"/>
      <c r="Z18" s="95"/>
    </row>
    <row r="19" spans="1:26" x14ac:dyDescent="0.25">
      <c r="B19" s="253" t="s">
        <v>207</v>
      </c>
      <c r="C19" s="300"/>
      <c r="D19" s="301">
        <v>10.8</v>
      </c>
      <c r="E19" s="533">
        <v>2.9371722222222223</v>
      </c>
      <c r="F19" s="302"/>
      <c r="G19" s="307">
        <v>0.98734421429530661</v>
      </c>
      <c r="H19" s="302"/>
      <c r="I19" s="537">
        <v>2.9</v>
      </c>
      <c r="J19" s="307">
        <v>2.5</v>
      </c>
      <c r="K19" s="308">
        <v>2.5</v>
      </c>
      <c r="L19" s="307">
        <v>2.5</v>
      </c>
      <c r="M19" s="309">
        <v>2590</v>
      </c>
      <c r="N19" s="305"/>
      <c r="O19" s="534">
        <v>58.071748878923771</v>
      </c>
      <c r="Q19" s="310">
        <v>10.186128</v>
      </c>
      <c r="R19" s="310">
        <v>11.413872000000001</v>
      </c>
      <c r="S19" s="95"/>
      <c r="T19" s="95"/>
      <c r="U19" s="95"/>
      <c r="X19" s="95"/>
      <c r="Z19" s="95"/>
    </row>
    <row r="20" spans="1:26" x14ac:dyDescent="0.25">
      <c r="B20" s="253" t="s">
        <v>208</v>
      </c>
      <c r="C20" s="300"/>
      <c r="D20" s="301">
        <v>16.8</v>
      </c>
      <c r="E20" s="533">
        <v>3.5153928571428574</v>
      </c>
      <c r="F20" s="302"/>
      <c r="G20" s="307">
        <v>1.1947455578019119</v>
      </c>
      <c r="H20" s="302"/>
      <c r="I20" s="537">
        <v>4.2</v>
      </c>
      <c r="J20" s="307">
        <v>3.4</v>
      </c>
      <c r="K20" s="308">
        <v>3.4</v>
      </c>
      <c r="L20" s="307">
        <v>3.4</v>
      </c>
      <c r="M20" s="309">
        <v>2420</v>
      </c>
      <c r="N20" s="305"/>
      <c r="O20" s="534">
        <v>54.260089686098652</v>
      </c>
      <c r="Q20" s="310">
        <v>15.417024000000001</v>
      </c>
      <c r="R20" s="310">
        <v>18.182976</v>
      </c>
      <c r="S20" s="95"/>
      <c r="T20" s="95"/>
      <c r="U20" s="95"/>
      <c r="X20" s="95"/>
      <c r="Z20" s="95"/>
    </row>
    <row r="21" spans="1:26" x14ac:dyDescent="0.25">
      <c r="B21" s="306" t="s">
        <v>209</v>
      </c>
      <c r="C21" s="300"/>
      <c r="D21" s="301">
        <v>105.7</v>
      </c>
      <c r="E21" s="533">
        <v>1.1143822138126773</v>
      </c>
      <c r="F21" s="302"/>
      <c r="G21" s="307">
        <v>1.1665656395863155</v>
      </c>
      <c r="H21" s="302"/>
      <c r="I21" s="537">
        <v>1.3</v>
      </c>
      <c r="J21" s="307"/>
      <c r="K21" s="308"/>
      <c r="L21" s="307"/>
      <c r="M21" s="309">
        <v>4460</v>
      </c>
      <c r="N21" s="305"/>
      <c r="O21" s="534">
        <v>100</v>
      </c>
      <c r="Q21" s="310">
        <v>103.006764</v>
      </c>
      <c r="R21" s="310">
        <v>108.393236</v>
      </c>
      <c r="S21" s="95"/>
      <c r="T21" s="95"/>
      <c r="U21" s="95"/>
      <c r="X21" s="95"/>
      <c r="Z21" s="95"/>
    </row>
    <row r="22" spans="1:26" x14ac:dyDescent="0.25">
      <c r="B22" s="253"/>
      <c r="C22" s="300"/>
      <c r="D22" s="301"/>
      <c r="E22" s="533"/>
      <c r="F22" s="302"/>
      <c r="G22" s="303"/>
      <c r="H22" s="302"/>
      <c r="I22" s="533"/>
      <c r="J22" s="307"/>
      <c r="K22" s="305"/>
      <c r="L22" s="307"/>
      <c r="M22" s="304"/>
      <c r="N22" s="305"/>
      <c r="O22" s="534"/>
      <c r="Q22" s="310"/>
      <c r="R22" s="310"/>
    </row>
    <row r="23" spans="1:26" x14ac:dyDescent="0.25">
      <c r="B23" s="253" t="s">
        <v>210</v>
      </c>
      <c r="C23" s="300"/>
      <c r="D23" s="301">
        <v>35.5</v>
      </c>
      <c r="E23" s="533">
        <v>3.2007154929577468</v>
      </c>
      <c r="F23" s="302"/>
      <c r="G23" s="307">
        <v>0.96853344410668729</v>
      </c>
      <c r="H23" s="302"/>
      <c r="I23" s="537">
        <v>3.1</v>
      </c>
      <c r="J23" s="307"/>
      <c r="K23" s="308"/>
      <c r="L23" s="307"/>
      <c r="M23" s="309">
        <v>4140</v>
      </c>
      <c r="N23" s="305"/>
      <c r="O23" s="534">
        <v>92.825112107623326</v>
      </c>
      <c r="Q23" s="310">
        <v>33.343020000000003</v>
      </c>
      <c r="R23" s="310">
        <v>37.656979999999997</v>
      </c>
      <c r="S23" s="95"/>
      <c r="T23" s="95"/>
      <c r="U23" s="95"/>
      <c r="X23" s="95"/>
      <c r="Z23" s="95"/>
    </row>
    <row r="24" spans="1:26" x14ac:dyDescent="0.25">
      <c r="B24" s="253" t="s">
        <v>211</v>
      </c>
      <c r="C24" s="300"/>
      <c r="D24" s="301">
        <v>8.9</v>
      </c>
      <c r="E24" s="533">
        <v>5.2060808988764045</v>
      </c>
      <c r="F24" s="302"/>
      <c r="G24" s="307">
        <v>1.0948734971118477</v>
      </c>
      <c r="H24" s="302"/>
      <c r="I24" s="537">
        <v>5.7</v>
      </c>
      <c r="J24" s="307"/>
      <c r="K24" s="308"/>
      <c r="L24" s="307"/>
      <c r="M24" s="309">
        <v>2470</v>
      </c>
      <c r="N24" s="305"/>
      <c r="O24" s="534">
        <v>55.381165919282516</v>
      </c>
      <c r="Q24" s="310">
        <v>7.9056920000000002</v>
      </c>
      <c r="R24" s="310">
        <v>9.8943080000000005</v>
      </c>
      <c r="S24" s="95"/>
      <c r="T24" s="95"/>
      <c r="U24" s="95"/>
      <c r="X24" s="95"/>
      <c r="Z24" s="95"/>
    </row>
    <row r="25" spans="1:26" x14ac:dyDescent="0.25">
      <c r="B25" s="253" t="s">
        <v>212</v>
      </c>
      <c r="C25" s="300"/>
      <c r="D25" s="301">
        <v>79.2</v>
      </c>
      <c r="E25" s="533">
        <v>2.0541502525252526</v>
      </c>
      <c r="F25" s="302"/>
      <c r="G25" s="307">
        <v>1.2170482645690819</v>
      </c>
      <c r="H25" s="302"/>
      <c r="I25" s="537">
        <v>2.5</v>
      </c>
      <c r="J25" s="307"/>
      <c r="K25" s="308"/>
      <c r="L25" s="307"/>
      <c r="M25" s="309">
        <v>3960</v>
      </c>
      <c r="N25" s="305"/>
      <c r="O25" s="534">
        <v>88.789237668161434</v>
      </c>
      <c r="Q25" s="310">
        <v>75.319200000000009</v>
      </c>
      <c r="R25" s="310">
        <v>83.080799999999996</v>
      </c>
      <c r="S25" s="95"/>
      <c r="T25" s="95"/>
      <c r="U25" s="95"/>
      <c r="X25" s="95"/>
      <c r="Z25" s="95"/>
    </row>
    <row r="26" spans="1:26" x14ac:dyDescent="0.25">
      <c r="B26" s="253" t="s">
        <v>213</v>
      </c>
      <c r="C26" s="300"/>
      <c r="D26" s="301">
        <v>20.3</v>
      </c>
      <c r="E26" s="533">
        <v>1.4662216748768471</v>
      </c>
      <c r="F26" s="302"/>
      <c r="G26" s="307">
        <v>0.88663264380482676</v>
      </c>
      <c r="H26" s="302"/>
      <c r="I26" s="537">
        <v>1.3</v>
      </c>
      <c r="J26" s="307"/>
      <c r="K26" s="308"/>
      <c r="L26" s="307"/>
      <c r="M26" s="309">
        <v>4390</v>
      </c>
      <c r="N26" s="305"/>
      <c r="O26" s="534">
        <v>98.430493273542595</v>
      </c>
      <c r="Q26" s="310">
        <v>19.782755999999999</v>
      </c>
      <c r="R26" s="310">
        <v>20.817244000000002</v>
      </c>
      <c r="S26" s="95"/>
      <c r="T26" s="95"/>
      <c r="U26" s="95"/>
      <c r="X26" s="95"/>
      <c r="Z26" s="95"/>
    </row>
    <row r="27" spans="1:26" x14ac:dyDescent="0.25">
      <c r="B27" s="253"/>
      <c r="C27" s="300"/>
      <c r="D27" s="301"/>
      <c r="E27" s="533"/>
      <c r="F27" s="302"/>
      <c r="G27" s="307"/>
      <c r="H27" s="302"/>
      <c r="I27" s="533"/>
      <c r="J27" s="307"/>
      <c r="K27" s="308"/>
      <c r="L27" s="307"/>
      <c r="M27" s="308"/>
      <c r="N27" s="305"/>
      <c r="O27" s="534"/>
      <c r="Q27" s="310"/>
      <c r="R27" s="310"/>
    </row>
    <row r="28" spans="1:26" x14ac:dyDescent="0.25">
      <c r="B28" s="253" t="s">
        <v>214</v>
      </c>
      <c r="C28" s="300"/>
      <c r="D28" s="301">
        <v>65.400000000000006</v>
      </c>
      <c r="E28" s="533">
        <v>2.8493363914373089</v>
      </c>
      <c r="F28" s="302"/>
      <c r="G28" s="307">
        <v>0.91249317132697894</v>
      </c>
      <c r="H28" s="302"/>
      <c r="I28" s="537">
        <v>2.6</v>
      </c>
      <c r="J28" s="307"/>
      <c r="K28" s="308"/>
      <c r="L28" s="307"/>
      <c r="M28" s="309">
        <v>4390</v>
      </c>
      <c r="N28" s="305"/>
      <c r="O28" s="534">
        <v>98.430493273542595</v>
      </c>
      <c r="Q28" s="310">
        <v>62.067216000000002</v>
      </c>
      <c r="R28" s="310">
        <v>68.732784000000009</v>
      </c>
      <c r="S28" s="95"/>
      <c r="T28" s="95"/>
      <c r="U28" s="95"/>
      <c r="X28" s="95"/>
      <c r="Z28" s="95"/>
    </row>
    <row r="29" spans="1:26" x14ac:dyDescent="0.25">
      <c r="B29" s="253" t="s">
        <v>215</v>
      </c>
      <c r="C29" s="300"/>
      <c r="D29" s="301">
        <v>5.0999999999999996</v>
      </c>
      <c r="E29" s="533">
        <v>14.253496078431374</v>
      </c>
      <c r="F29" s="302"/>
      <c r="G29" s="307">
        <v>1.7188765384426496</v>
      </c>
      <c r="H29" s="302"/>
      <c r="I29" s="537">
        <v>24.5</v>
      </c>
      <c r="J29" s="307"/>
      <c r="K29" s="308"/>
      <c r="L29" s="307"/>
      <c r="M29" s="309">
        <v>180</v>
      </c>
      <c r="N29" s="305"/>
      <c r="O29" s="534">
        <v>4.0358744394618835</v>
      </c>
      <c r="Q29" s="310">
        <v>2.6509800000000001</v>
      </c>
      <c r="R29" s="310">
        <v>7.5490199999999987</v>
      </c>
      <c r="S29" s="95"/>
      <c r="T29" s="95"/>
      <c r="U29" s="95"/>
      <c r="X29" s="95"/>
      <c r="Z29" s="95"/>
    </row>
    <row r="30" spans="1:26" x14ac:dyDescent="0.25">
      <c r="B30" s="253" t="s">
        <v>216</v>
      </c>
      <c r="C30" s="300"/>
      <c r="D30" s="301">
        <v>40.5</v>
      </c>
      <c r="E30" s="533">
        <v>2.1022634567901233</v>
      </c>
      <c r="F30" s="302"/>
      <c r="G30" s="307">
        <v>0.95135554658488619</v>
      </c>
      <c r="H30" s="302"/>
      <c r="I30" s="537">
        <v>2</v>
      </c>
      <c r="J30" s="307"/>
      <c r="K30" s="308"/>
      <c r="L30" s="307"/>
      <c r="M30" s="309">
        <v>3490</v>
      </c>
      <c r="N30" s="305"/>
      <c r="O30" s="534">
        <v>78.25112107623319</v>
      </c>
      <c r="Q30" s="310">
        <v>38.912399999999998</v>
      </c>
      <c r="R30" s="310">
        <v>42.087600000000002</v>
      </c>
      <c r="S30" s="95"/>
      <c r="T30" s="95"/>
      <c r="U30" s="95"/>
      <c r="X30" s="95"/>
      <c r="Z30" s="95"/>
    </row>
    <row r="31" spans="1:26" x14ac:dyDescent="0.25">
      <c r="B31" s="253" t="s">
        <v>217</v>
      </c>
      <c r="C31" s="300"/>
      <c r="D31" s="301">
        <v>40.299999999999997</v>
      </c>
      <c r="E31" s="533">
        <v>2.4397781637717122</v>
      </c>
      <c r="F31" s="302"/>
      <c r="G31" s="307">
        <v>0.81974665963406756</v>
      </c>
      <c r="H31" s="302"/>
      <c r="I31" s="537">
        <v>2</v>
      </c>
      <c r="J31" s="307"/>
      <c r="K31" s="308"/>
      <c r="L31" s="307"/>
      <c r="M31" s="309">
        <v>4370</v>
      </c>
      <c r="N31" s="305"/>
      <c r="O31" s="534">
        <v>97.982062780269061</v>
      </c>
      <c r="Q31" s="310">
        <v>38.720239999999997</v>
      </c>
      <c r="R31" s="310">
        <v>41.879759999999997</v>
      </c>
      <c r="S31" s="95"/>
      <c r="T31" s="95"/>
      <c r="U31" s="95"/>
      <c r="X31" s="95"/>
      <c r="Z31" s="95"/>
    </row>
    <row r="32" spans="1:26" ht="3" customHeight="1" x14ac:dyDescent="0.25">
      <c r="A32" s="311"/>
      <c r="B32" s="311"/>
      <c r="C32" s="312"/>
      <c r="D32" s="312"/>
      <c r="E32" s="312"/>
      <c r="F32" s="312"/>
      <c r="G32" s="312"/>
      <c r="H32" s="312"/>
      <c r="I32" s="312"/>
      <c r="J32" s="312"/>
      <c r="K32" s="290"/>
      <c r="L32" s="312"/>
      <c r="M32" s="289"/>
      <c r="N32" s="290"/>
      <c r="O32" s="313"/>
      <c r="P32" s="313"/>
      <c r="Q32" s="313"/>
      <c r="R32" s="313"/>
    </row>
    <row r="34" spans="1:15" x14ac:dyDescent="0.25">
      <c r="A34" s="96"/>
    </row>
    <row r="35" spans="1:15" x14ac:dyDescent="0.25">
      <c r="D35" s="95"/>
      <c r="E35" s="97"/>
      <c r="G35" s="97"/>
      <c r="I35" s="97"/>
      <c r="M35" s="97"/>
      <c r="O35" s="97"/>
    </row>
    <row r="36" spans="1:15" ht="15" x14ac:dyDescent="0.25">
      <c r="B36" s="470"/>
      <c r="D36" s="95"/>
      <c r="E36" s="95"/>
      <c r="F36" s="95"/>
      <c r="G36" s="95"/>
      <c r="H36" s="95"/>
      <c r="I36" s="95"/>
      <c r="J36" s="95"/>
      <c r="K36" s="95"/>
      <c r="L36" s="95"/>
      <c r="M36" s="95"/>
      <c r="N36" s="95"/>
      <c r="O36" s="95"/>
    </row>
    <row r="37" spans="1:15" x14ac:dyDescent="0.25">
      <c r="D37" s="95"/>
      <c r="E37" s="97"/>
      <c r="G37" s="97"/>
      <c r="I37" s="97"/>
      <c r="M37" s="97"/>
      <c r="O37" s="97"/>
    </row>
    <row r="38" spans="1:15" x14ac:dyDescent="0.25">
      <c r="D38" s="95"/>
      <c r="E38" s="97"/>
      <c r="G38" s="97"/>
      <c r="I38" s="97"/>
      <c r="M38" s="97"/>
      <c r="O38" s="97"/>
    </row>
    <row r="39" spans="1:15" x14ac:dyDescent="0.25">
      <c r="D39" s="95"/>
      <c r="E39" s="97"/>
      <c r="G39" s="97"/>
      <c r="I39" s="97"/>
      <c r="M39" s="97"/>
      <c r="O39" s="97"/>
    </row>
    <row r="40" spans="1:15" x14ac:dyDescent="0.25">
      <c r="D40" s="95"/>
      <c r="E40" s="97"/>
      <c r="G40" s="97"/>
      <c r="I40" s="97"/>
      <c r="M40" s="97"/>
      <c r="O40" s="97"/>
    </row>
    <row r="41" spans="1:15" x14ac:dyDescent="0.25">
      <c r="D41" s="95"/>
      <c r="E41" s="95"/>
      <c r="F41" s="95"/>
      <c r="G41" s="95"/>
      <c r="H41" s="95"/>
      <c r="I41" s="95"/>
      <c r="J41" s="95"/>
      <c r="K41" s="95"/>
      <c r="L41" s="95"/>
      <c r="M41" s="95"/>
      <c r="N41" s="95"/>
      <c r="O41" s="95"/>
    </row>
    <row r="42" spans="1:15" x14ac:dyDescent="0.25">
      <c r="D42" s="95"/>
      <c r="E42" s="97"/>
      <c r="G42" s="97"/>
      <c r="I42" s="97"/>
      <c r="M42" s="97"/>
      <c r="O42" s="97"/>
    </row>
    <row r="43" spans="1:15" x14ac:dyDescent="0.25">
      <c r="D43" s="95"/>
      <c r="E43" s="97"/>
      <c r="G43" s="97"/>
      <c r="I43" s="97"/>
      <c r="M43" s="97"/>
      <c r="O43" s="97"/>
    </row>
    <row r="44" spans="1:15" x14ac:dyDescent="0.25">
      <c r="D44" s="95"/>
      <c r="E44" s="97"/>
      <c r="G44" s="97"/>
      <c r="I44" s="97"/>
      <c r="M44" s="97"/>
      <c r="O44" s="97"/>
    </row>
    <row r="45" spans="1:15" x14ac:dyDescent="0.25">
      <c r="D45" s="95"/>
      <c r="E45" s="97"/>
      <c r="G45" s="97"/>
      <c r="I45" s="97"/>
      <c r="M45" s="97"/>
      <c r="O45" s="97"/>
    </row>
    <row r="46" spans="1:15" x14ac:dyDescent="0.25">
      <c r="D46" s="95"/>
      <c r="E46" s="95"/>
      <c r="F46" s="95"/>
      <c r="G46" s="95"/>
      <c r="H46" s="95"/>
      <c r="I46" s="95"/>
      <c r="J46" s="95"/>
      <c r="K46" s="95"/>
      <c r="L46" s="95"/>
      <c r="M46" s="95"/>
      <c r="N46" s="95"/>
      <c r="O46" s="95"/>
    </row>
    <row r="47" spans="1:15" x14ac:dyDescent="0.25">
      <c r="D47" s="95"/>
      <c r="E47" s="97"/>
      <c r="G47" s="97"/>
      <c r="I47" s="97"/>
      <c r="M47" s="97"/>
      <c r="O47" s="97"/>
    </row>
    <row r="48" spans="1:15" x14ac:dyDescent="0.25">
      <c r="D48" s="95"/>
      <c r="E48" s="97"/>
      <c r="G48" s="97"/>
      <c r="I48" s="97"/>
      <c r="M48" s="97"/>
      <c r="O48" s="97"/>
    </row>
    <row r="49" spans="4:15" x14ac:dyDescent="0.25">
      <c r="D49" s="95"/>
      <c r="E49" s="97"/>
      <c r="G49" s="97"/>
      <c r="I49" s="97"/>
      <c r="M49" s="97"/>
      <c r="O49" s="97"/>
    </row>
    <row r="50" spans="4:15" x14ac:dyDescent="0.25">
      <c r="D50" s="95"/>
      <c r="E50" s="97"/>
      <c r="G50" s="97"/>
      <c r="I50" s="97"/>
      <c r="M50" s="97"/>
      <c r="O50" s="97"/>
    </row>
    <row r="51" spans="4:15" x14ac:dyDescent="0.25">
      <c r="D51" s="95"/>
      <c r="E51" s="95"/>
      <c r="F51" s="95"/>
      <c r="G51" s="95"/>
      <c r="H51" s="95"/>
      <c r="I51" s="95"/>
      <c r="J51" s="95"/>
      <c r="K51" s="95"/>
      <c r="L51" s="95"/>
      <c r="M51" s="95"/>
      <c r="N51" s="95"/>
      <c r="O51" s="95"/>
    </row>
  </sheetData>
  <mergeCells count="3">
    <mergeCell ref="K6:O6"/>
    <mergeCell ref="K7:O7"/>
    <mergeCell ref="Q7:R7"/>
  </mergeCells>
  <hyperlinks>
    <hyperlink ref="T1" location="Index!A1" display="Return to index" xr:uid="{00000000-0004-0000-0E00-000000000000}"/>
  </hyperlinks>
  <pageMargins left="0.74803149606299213" right="0.74803149606299213" top="0.98425196850393704" bottom="0.98425196850393704" header="0.51181102362204722" footer="0.51181102362204722"/>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dimension ref="A1:Y160"/>
  <sheetViews>
    <sheetView showGridLines="0" topLeftCell="A113" zoomScale="90" zoomScaleNormal="90" workbookViewId="0">
      <selection activeCell="V57" sqref="V57"/>
    </sheetView>
  </sheetViews>
  <sheetFormatPr defaultColWidth="9.88671875" defaultRowHeight="11.1" customHeight="1" x14ac:dyDescent="0.3"/>
  <cols>
    <col min="1" max="1" width="1.109375" style="105" customWidth="1"/>
    <col min="2" max="2" width="1.44140625" style="104" customWidth="1"/>
    <col min="3" max="3" width="7.44140625" style="104" customWidth="1"/>
    <col min="4" max="4" width="28.5546875" style="101" customWidth="1"/>
    <col min="5" max="5" width="8.5546875" style="100" customWidth="1"/>
    <col min="6" max="6" width="11.109375" style="101" customWidth="1"/>
    <col min="7" max="7" width="9.109375" style="103" customWidth="1"/>
    <col min="8" max="8" width="0.88671875" style="101" customWidth="1"/>
    <col min="9" max="9" width="0.88671875" style="102" customWidth="1"/>
    <col min="10" max="10" width="2" style="101" customWidth="1"/>
    <col min="11" max="11" width="5" style="102" customWidth="1"/>
    <col min="12" max="12" width="25.44140625" style="101" customWidth="1"/>
    <col min="13" max="13" width="8.44140625" style="100" customWidth="1"/>
    <col min="14" max="14" width="11.109375" style="98" customWidth="1"/>
    <col min="15" max="15" width="9.109375" style="99" customWidth="1"/>
    <col min="16" max="16384" width="9.88671875" style="98"/>
  </cols>
  <sheetData>
    <row r="1" spans="1:25" s="133" customFormat="1" ht="16.5" customHeight="1" x14ac:dyDescent="0.25">
      <c r="A1" s="29" t="s">
        <v>218</v>
      </c>
      <c r="B1" s="132"/>
      <c r="C1" s="132"/>
      <c r="E1" s="122"/>
      <c r="F1" s="122"/>
      <c r="G1" s="122"/>
      <c r="H1" s="122"/>
      <c r="I1" s="122"/>
      <c r="J1" s="122"/>
      <c r="K1" s="122"/>
      <c r="L1" s="125"/>
      <c r="M1" s="134"/>
      <c r="N1" s="123"/>
      <c r="O1" s="124"/>
      <c r="Q1" s="352" t="s">
        <v>23</v>
      </c>
    </row>
    <row r="2" spans="1:25" s="118" customFormat="1" ht="13.5" customHeight="1" x14ac:dyDescent="0.25">
      <c r="A2" s="488" t="s">
        <v>432</v>
      </c>
      <c r="B2" s="132"/>
      <c r="C2" s="132"/>
      <c r="D2" s="121"/>
      <c r="E2" s="120"/>
      <c r="F2" s="119"/>
      <c r="G2" s="131"/>
      <c r="H2" s="129"/>
      <c r="I2" s="130"/>
      <c r="J2" s="129"/>
      <c r="K2" s="130"/>
      <c r="L2" s="129"/>
      <c r="M2" s="128"/>
      <c r="O2" s="99"/>
    </row>
    <row r="3" spans="1:25" ht="4.5" customHeight="1" x14ac:dyDescent="0.3">
      <c r="B3" s="114"/>
      <c r="C3" s="114"/>
      <c r="D3" s="111"/>
      <c r="E3" s="113"/>
      <c r="F3" s="111"/>
      <c r="G3" s="110"/>
      <c r="H3" s="111"/>
      <c r="I3" s="117"/>
      <c r="J3" s="111"/>
      <c r="K3" s="117"/>
      <c r="L3" s="111"/>
      <c r="M3" s="113"/>
      <c r="N3" s="111"/>
      <c r="O3" s="126"/>
    </row>
    <row r="4" spans="1:25" s="115" customFormat="1" ht="6" customHeight="1" x14ac:dyDescent="0.25">
      <c r="A4" s="106"/>
      <c r="B4" s="105"/>
      <c r="C4" s="116"/>
      <c r="D4" s="116"/>
      <c r="E4" s="109"/>
      <c r="F4" s="314"/>
      <c r="G4" s="315"/>
      <c r="H4" s="127"/>
      <c r="I4" s="105"/>
      <c r="J4" s="314"/>
      <c r="K4" s="105"/>
      <c r="L4" s="314"/>
      <c r="M4" s="109"/>
      <c r="N4" s="314"/>
      <c r="O4" s="315"/>
    </row>
    <row r="5" spans="1:25" s="105" customFormat="1" ht="16.5" customHeight="1" x14ac:dyDescent="0.3">
      <c r="A5" s="365"/>
      <c r="B5" s="365"/>
      <c r="C5" s="365"/>
      <c r="D5" s="372"/>
      <c r="E5" s="383" t="s">
        <v>219</v>
      </c>
      <c r="F5" s="383" t="s">
        <v>189</v>
      </c>
      <c r="G5" s="384" t="s">
        <v>220</v>
      </c>
      <c r="H5" s="382"/>
      <c r="I5" s="372"/>
      <c r="J5" s="372"/>
      <c r="K5" s="372"/>
      <c r="L5" s="372"/>
      <c r="M5" s="383" t="s">
        <v>219</v>
      </c>
      <c r="N5" s="383" t="s">
        <v>189</v>
      </c>
      <c r="O5" s="384" t="s">
        <v>220</v>
      </c>
    </row>
    <row r="6" spans="1:25" s="105" customFormat="1" ht="11.25" customHeight="1" x14ac:dyDescent="0.3">
      <c r="A6" s="365"/>
      <c r="B6" s="365"/>
      <c r="C6" s="365"/>
      <c r="D6" s="372"/>
      <c r="E6" s="383" t="s">
        <v>200</v>
      </c>
      <c r="F6" s="383" t="s">
        <v>221</v>
      </c>
      <c r="G6" s="384" t="s">
        <v>222</v>
      </c>
      <c r="H6" s="382"/>
      <c r="I6" s="372"/>
      <c r="J6" s="372"/>
      <c r="K6" s="372"/>
      <c r="L6" s="372"/>
      <c r="M6" s="383" t="s">
        <v>200</v>
      </c>
      <c r="N6" s="383" t="s">
        <v>221</v>
      </c>
      <c r="O6" s="384" t="s">
        <v>222</v>
      </c>
    </row>
    <row r="7" spans="1:25" s="105" customFormat="1" ht="11.25" customHeight="1" x14ac:dyDescent="0.3">
      <c r="A7" s="365"/>
      <c r="B7" s="365"/>
      <c r="C7" s="365"/>
      <c r="D7" s="372"/>
      <c r="E7" s="383" t="s">
        <v>223</v>
      </c>
      <c r="F7" s="383" t="s">
        <v>224</v>
      </c>
      <c r="G7" s="384" t="s">
        <v>225</v>
      </c>
      <c r="H7" s="382"/>
      <c r="I7" s="372"/>
      <c r="J7" s="372"/>
      <c r="K7" s="372"/>
      <c r="L7" s="372"/>
      <c r="M7" s="383" t="s">
        <v>223</v>
      </c>
      <c r="N7" s="383" t="s">
        <v>224</v>
      </c>
      <c r="O7" s="384" t="s">
        <v>225</v>
      </c>
    </row>
    <row r="8" spans="1:25" s="105" customFormat="1" ht="10.5" customHeight="1" x14ac:dyDescent="0.3">
      <c r="A8" s="365"/>
      <c r="B8" s="365"/>
      <c r="C8" s="365"/>
      <c r="D8" s="372"/>
      <c r="E8" s="383" t="s">
        <v>222</v>
      </c>
      <c r="F8" s="383" t="s">
        <v>222</v>
      </c>
      <c r="G8" s="384" t="s">
        <v>226</v>
      </c>
      <c r="H8" s="382"/>
      <c r="I8" s="372"/>
      <c r="J8" s="372"/>
      <c r="K8" s="372"/>
      <c r="L8" s="372"/>
      <c r="M8" s="383" t="s">
        <v>222</v>
      </c>
      <c r="N8" s="383" t="s">
        <v>222</v>
      </c>
      <c r="O8" s="384" t="s">
        <v>226</v>
      </c>
    </row>
    <row r="9" spans="1:25" s="105" customFormat="1" ht="11.25" customHeight="1" x14ac:dyDescent="0.3">
      <c r="A9" s="365"/>
      <c r="B9" s="365"/>
      <c r="C9" s="365"/>
      <c r="D9" s="372"/>
      <c r="E9" s="383"/>
      <c r="F9" s="383" t="s">
        <v>227</v>
      </c>
      <c r="G9" s="385" t="s">
        <v>228</v>
      </c>
      <c r="H9" s="382"/>
      <c r="I9" s="372"/>
      <c r="J9" s="372"/>
      <c r="K9" s="372"/>
      <c r="L9" s="372"/>
      <c r="M9" s="383"/>
      <c r="N9" s="383" t="s">
        <v>227</v>
      </c>
      <c r="O9" s="385" t="s">
        <v>228</v>
      </c>
    </row>
    <row r="10" spans="1:25" s="105" customFormat="1" ht="6" customHeight="1" x14ac:dyDescent="0.3">
      <c r="A10" s="365"/>
      <c r="B10" s="386"/>
      <c r="C10" s="386"/>
      <c r="D10" s="386"/>
      <c r="E10" s="387"/>
      <c r="F10" s="386"/>
      <c r="G10" s="388"/>
      <c r="H10" s="389"/>
      <c r="I10" s="386"/>
      <c r="J10" s="386"/>
      <c r="K10" s="386"/>
      <c r="L10" s="386"/>
      <c r="M10" s="387"/>
      <c r="N10" s="386"/>
      <c r="O10" s="388"/>
    </row>
    <row r="11" spans="1:25" s="105" customFormat="1" ht="4.5" customHeight="1" x14ac:dyDescent="0.3">
      <c r="A11" s="365"/>
      <c r="B11" s="365"/>
      <c r="C11" s="365"/>
      <c r="D11" s="365"/>
      <c r="E11" s="373"/>
      <c r="F11" s="365"/>
      <c r="G11" s="374"/>
      <c r="H11" s="390"/>
      <c r="I11" s="365"/>
      <c r="J11" s="365"/>
      <c r="K11" s="365"/>
      <c r="L11" s="365"/>
      <c r="M11" s="373"/>
      <c r="N11" s="365"/>
      <c r="O11" s="374"/>
    </row>
    <row r="12" spans="1:25" s="105" customFormat="1" ht="12.75" customHeight="1" x14ac:dyDescent="0.25">
      <c r="A12" s="365"/>
      <c r="B12" s="366" t="s">
        <v>33</v>
      </c>
      <c r="C12" s="366"/>
      <c r="D12" s="366"/>
      <c r="E12" s="373">
        <v>100</v>
      </c>
      <c r="F12" s="392">
        <v>29290</v>
      </c>
      <c r="G12" s="458">
        <v>4460</v>
      </c>
      <c r="H12" s="390"/>
      <c r="I12" s="365"/>
      <c r="J12" s="366" t="s">
        <v>229</v>
      </c>
      <c r="K12" s="365"/>
      <c r="L12" s="365"/>
      <c r="M12" s="373"/>
      <c r="N12" s="365"/>
      <c r="O12" s="374"/>
      <c r="T12" s="434"/>
      <c r="U12" s="435"/>
      <c r="V12" s="435"/>
      <c r="W12" s="436"/>
      <c r="X12" s="437"/>
      <c r="Y12" s="437"/>
    </row>
    <row r="13" spans="1:25" s="105" customFormat="1" ht="12.75" customHeight="1" x14ac:dyDescent="0.3">
      <c r="A13" s="365"/>
      <c r="B13" s="365"/>
      <c r="C13" s="365"/>
      <c r="D13" s="365"/>
      <c r="E13" s="373"/>
      <c r="F13" s="365"/>
      <c r="G13" s="392"/>
      <c r="H13" s="390"/>
      <c r="I13" s="365"/>
      <c r="J13" s="365"/>
      <c r="K13" s="365"/>
      <c r="L13" s="365"/>
      <c r="M13" s="391"/>
      <c r="N13" s="392"/>
      <c r="O13" s="392"/>
      <c r="T13" s="435"/>
      <c r="U13" s="435"/>
      <c r="V13" s="435"/>
      <c r="W13" s="438"/>
      <c r="X13" s="435"/>
      <c r="Y13" s="437"/>
    </row>
    <row r="14" spans="1:25" s="105" customFormat="1" ht="12.75" customHeight="1" x14ac:dyDescent="0.3">
      <c r="A14" s="365"/>
      <c r="B14" s="366" t="s">
        <v>230</v>
      </c>
      <c r="C14" s="365"/>
      <c r="D14" s="365"/>
      <c r="E14" s="373"/>
      <c r="F14" s="365"/>
      <c r="G14" s="374"/>
      <c r="H14" s="390"/>
      <c r="I14" s="365"/>
      <c r="J14" s="365" t="s">
        <v>231</v>
      </c>
      <c r="K14" s="365"/>
      <c r="L14" s="365"/>
      <c r="M14" s="373">
        <v>2</v>
      </c>
      <c r="N14" s="374">
        <v>470</v>
      </c>
      <c r="O14" s="374">
        <v>60</v>
      </c>
      <c r="T14" s="434"/>
      <c r="U14" s="435"/>
      <c r="V14" s="435"/>
      <c r="W14" s="438"/>
      <c r="X14" s="435"/>
      <c r="Y14" s="439"/>
    </row>
    <row r="15" spans="1:25" s="105" customFormat="1" ht="12.75" customHeight="1" x14ac:dyDescent="0.3">
      <c r="A15" s="365"/>
      <c r="B15" s="365" t="s">
        <v>232</v>
      </c>
      <c r="C15" s="365"/>
      <c r="D15" s="365"/>
      <c r="E15" s="373">
        <v>30</v>
      </c>
      <c r="F15" s="374">
        <v>8830</v>
      </c>
      <c r="G15" s="374">
        <v>1290</v>
      </c>
      <c r="H15" s="390"/>
      <c r="I15" s="365"/>
      <c r="J15" s="365"/>
      <c r="K15" s="365"/>
      <c r="L15" s="365"/>
      <c r="M15" s="375" t="s">
        <v>233</v>
      </c>
      <c r="N15" s="392"/>
      <c r="O15" s="392"/>
      <c r="T15" s="435"/>
      <c r="U15" s="435"/>
      <c r="V15" s="435"/>
      <c r="W15" s="436"/>
      <c r="X15" s="439"/>
      <c r="Y15" s="439"/>
    </row>
    <row r="16" spans="1:25" s="105" customFormat="1" ht="12.75" customHeight="1" x14ac:dyDescent="0.3">
      <c r="A16" s="365"/>
      <c r="B16" s="365" t="s">
        <v>234</v>
      </c>
      <c r="C16" s="365"/>
      <c r="D16" s="365"/>
      <c r="E16" s="373">
        <v>38</v>
      </c>
      <c r="F16" s="374">
        <v>11100</v>
      </c>
      <c r="G16" s="374">
        <v>1820</v>
      </c>
      <c r="H16" s="390"/>
      <c r="I16" s="365"/>
      <c r="J16" s="365" t="s">
        <v>235</v>
      </c>
      <c r="K16" s="365"/>
      <c r="L16" s="365"/>
      <c r="M16" s="375">
        <v>1</v>
      </c>
      <c r="N16" s="392">
        <v>170</v>
      </c>
      <c r="O16" s="392">
        <v>20</v>
      </c>
      <c r="T16" s="435"/>
      <c r="U16" s="435"/>
      <c r="V16" s="435"/>
      <c r="W16" s="436"/>
      <c r="X16" s="439"/>
      <c r="Y16" s="439"/>
    </row>
    <row r="17" spans="1:25" s="105" customFormat="1" ht="12.75" customHeight="1" x14ac:dyDescent="0.3">
      <c r="A17" s="365"/>
      <c r="B17" s="365" t="s">
        <v>236</v>
      </c>
      <c r="C17" s="365"/>
      <c r="D17" s="365"/>
      <c r="E17" s="373">
        <v>14</v>
      </c>
      <c r="F17" s="374">
        <v>4210</v>
      </c>
      <c r="G17" s="374">
        <v>620</v>
      </c>
      <c r="H17" s="390"/>
      <c r="I17" s="365"/>
      <c r="J17" s="365" t="s">
        <v>237</v>
      </c>
      <c r="K17" s="365"/>
      <c r="L17" s="365"/>
      <c r="M17" s="373">
        <v>0</v>
      </c>
      <c r="N17" s="374">
        <v>80</v>
      </c>
      <c r="O17" s="374">
        <v>10</v>
      </c>
      <c r="T17" s="435"/>
      <c r="U17" s="435"/>
      <c r="V17" s="435"/>
      <c r="W17" s="436"/>
      <c r="X17" s="439"/>
      <c r="Y17" s="439"/>
    </row>
    <row r="18" spans="1:25" s="105" customFormat="1" ht="12.75" customHeight="1" x14ac:dyDescent="0.3">
      <c r="A18" s="365"/>
      <c r="B18" s="365" t="s">
        <v>238</v>
      </c>
      <c r="C18" s="365"/>
      <c r="D18" s="365"/>
      <c r="E18" s="373">
        <v>12</v>
      </c>
      <c r="F18" s="374">
        <v>3540</v>
      </c>
      <c r="G18" s="374">
        <v>500</v>
      </c>
      <c r="H18" s="390"/>
      <c r="I18" s="365"/>
      <c r="J18" s="365"/>
      <c r="K18" s="365"/>
      <c r="L18" s="365"/>
      <c r="M18" s="375"/>
      <c r="N18" s="392"/>
      <c r="O18" s="392"/>
      <c r="T18" s="435"/>
      <c r="U18" s="435"/>
      <c r="V18" s="435"/>
      <c r="W18" s="436"/>
      <c r="X18" s="439"/>
      <c r="Y18" s="439"/>
    </row>
    <row r="19" spans="1:25" s="105" customFormat="1" ht="12.75" customHeight="1" x14ac:dyDescent="0.3">
      <c r="A19" s="365"/>
      <c r="B19" s="365" t="s">
        <v>239</v>
      </c>
      <c r="C19" s="365"/>
      <c r="D19" s="365"/>
      <c r="E19" s="373">
        <v>4</v>
      </c>
      <c r="F19" s="374">
        <v>1040</v>
      </c>
      <c r="G19" s="374">
        <v>160</v>
      </c>
      <c r="H19" s="390"/>
      <c r="I19" s="365"/>
      <c r="J19" s="365" t="s">
        <v>240</v>
      </c>
      <c r="K19" s="365"/>
      <c r="L19" s="365"/>
      <c r="M19" s="459">
        <v>0</v>
      </c>
      <c r="N19" s="374">
        <v>120</v>
      </c>
      <c r="O19" s="374">
        <v>10</v>
      </c>
      <c r="T19" s="435"/>
      <c r="U19" s="435"/>
      <c r="V19" s="435"/>
      <c r="W19" s="436"/>
      <c r="X19" s="439"/>
      <c r="Y19" s="439"/>
    </row>
    <row r="20" spans="1:25" s="105" customFormat="1" ht="12.75" customHeight="1" x14ac:dyDescent="0.3">
      <c r="A20" s="365"/>
      <c r="B20" s="365" t="s">
        <v>241</v>
      </c>
      <c r="C20" s="365"/>
      <c r="D20" s="365"/>
      <c r="E20" s="373">
        <v>1</v>
      </c>
      <c r="F20" s="374">
        <v>370</v>
      </c>
      <c r="G20" s="374">
        <v>50</v>
      </c>
      <c r="H20" s="390"/>
      <c r="I20" s="365"/>
      <c r="J20" s="365" t="s">
        <v>242</v>
      </c>
      <c r="K20" s="365"/>
      <c r="L20" s="365"/>
      <c r="M20" s="375"/>
      <c r="N20" s="374"/>
      <c r="O20" s="394"/>
      <c r="T20" s="435"/>
      <c r="U20" s="435"/>
      <c r="V20" s="435"/>
      <c r="W20" s="436"/>
      <c r="X20" s="439"/>
      <c r="Y20" s="439"/>
    </row>
    <row r="21" spans="1:25" s="105" customFormat="1" ht="12.75" customHeight="1" x14ac:dyDescent="0.3">
      <c r="A21" s="365"/>
      <c r="B21" s="365" t="s">
        <v>243</v>
      </c>
      <c r="C21" s="365"/>
      <c r="D21" s="365"/>
      <c r="E21" s="459">
        <v>1</v>
      </c>
      <c r="F21" s="374">
        <v>180</v>
      </c>
      <c r="G21" s="374">
        <v>20</v>
      </c>
      <c r="H21" s="390"/>
      <c r="I21" s="365"/>
      <c r="J21" s="365" t="s">
        <v>244</v>
      </c>
      <c r="K21" s="365"/>
      <c r="L21" s="365"/>
      <c r="M21" s="375">
        <v>0</v>
      </c>
      <c r="N21" s="374">
        <v>20</v>
      </c>
      <c r="O21" s="394">
        <v>0</v>
      </c>
      <c r="T21" s="435"/>
      <c r="U21" s="435"/>
      <c r="V21" s="435"/>
      <c r="W21" s="440"/>
      <c r="X21" s="439"/>
      <c r="Y21" s="439"/>
    </row>
    <row r="22" spans="1:25" s="105" customFormat="1" ht="12.75" customHeight="1" x14ac:dyDescent="0.3">
      <c r="A22" s="365"/>
      <c r="B22" s="365" t="s">
        <v>245</v>
      </c>
      <c r="C22" s="365"/>
      <c r="D22" s="365"/>
      <c r="E22" s="459">
        <v>0</v>
      </c>
      <c r="F22" s="374">
        <v>20</v>
      </c>
      <c r="G22" s="374">
        <v>10</v>
      </c>
      <c r="H22" s="390"/>
      <c r="I22" s="365"/>
      <c r="J22" s="365" t="s">
        <v>246</v>
      </c>
      <c r="K22" s="365"/>
      <c r="L22" s="365"/>
      <c r="M22" s="375"/>
      <c r="N22" s="392"/>
      <c r="O22" s="392"/>
      <c r="T22" s="435"/>
      <c r="U22" s="435"/>
      <c r="V22" s="435"/>
      <c r="W22" s="440"/>
      <c r="X22" s="439"/>
      <c r="Y22" s="439"/>
    </row>
    <row r="23" spans="1:25" s="105" customFormat="1" ht="12.75" customHeight="1" x14ac:dyDescent="0.3">
      <c r="A23" s="365"/>
      <c r="B23" s="365" t="s">
        <v>247</v>
      </c>
      <c r="C23" s="365"/>
      <c r="D23" s="365"/>
      <c r="E23" s="459">
        <v>0</v>
      </c>
      <c r="F23" s="374">
        <v>10</v>
      </c>
      <c r="G23" s="374">
        <v>0</v>
      </c>
      <c r="H23" s="390"/>
      <c r="I23" s="365"/>
      <c r="J23" s="365" t="s">
        <v>246</v>
      </c>
      <c r="K23" s="365"/>
      <c r="L23" s="365"/>
      <c r="M23" s="375">
        <v>0</v>
      </c>
      <c r="N23" s="374">
        <v>10</v>
      </c>
      <c r="O23" s="394">
        <v>0</v>
      </c>
      <c r="T23" s="435"/>
      <c r="U23" s="435"/>
      <c r="V23" s="435"/>
      <c r="W23" s="440"/>
      <c r="X23" s="439"/>
      <c r="Y23" s="439"/>
    </row>
    <row r="24" spans="1:25" s="105" customFormat="1" ht="12.75" customHeight="1" x14ac:dyDescent="0.3">
      <c r="A24" s="365"/>
      <c r="B24" s="365"/>
      <c r="C24" s="365"/>
      <c r="D24" s="365"/>
      <c r="E24" s="373"/>
      <c r="F24" s="374"/>
      <c r="G24" s="374"/>
      <c r="H24" s="390"/>
      <c r="I24" s="365"/>
      <c r="J24" s="365"/>
      <c r="K24" s="365"/>
      <c r="L24" s="365"/>
      <c r="M24" s="375">
        <v>0</v>
      </c>
      <c r="N24" s="374">
        <v>30</v>
      </c>
      <c r="O24" s="394">
        <v>0</v>
      </c>
      <c r="T24" s="435"/>
      <c r="U24" s="435"/>
      <c r="V24" s="435"/>
      <c r="W24" s="438"/>
      <c r="X24" s="439"/>
      <c r="Y24" s="439"/>
    </row>
    <row r="25" spans="1:25" s="105" customFormat="1" ht="12.75" customHeight="1" x14ac:dyDescent="0.3">
      <c r="A25" s="365"/>
      <c r="B25" s="366" t="s">
        <v>248</v>
      </c>
      <c r="C25" s="365"/>
      <c r="D25" s="365"/>
      <c r="E25" s="373"/>
      <c r="F25" s="374"/>
      <c r="G25" s="374"/>
      <c r="H25" s="390"/>
      <c r="I25" s="365"/>
      <c r="J25" s="365"/>
      <c r="K25" s="365"/>
      <c r="L25" s="365"/>
      <c r="M25" s="393"/>
      <c r="N25" s="365"/>
      <c r="O25" s="365"/>
      <c r="T25" s="434"/>
      <c r="U25" s="435"/>
      <c r="V25" s="435"/>
      <c r="W25" s="438"/>
      <c r="X25" s="439"/>
      <c r="Y25" s="439"/>
    </row>
    <row r="26" spans="1:25" s="105" customFormat="1" ht="12.75" customHeight="1" x14ac:dyDescent="0.3">
      <c r="A26" s="365"/>
      <c r="B26" s="365" t="s">
        <v>249</v>
      </c>
      <c r="C26" s="365"/>
      <c r="D26" s="365"/>
      <c r="E26" s="373">
        <v>30</v>
      </c>
      <c r="F26" s="374">
        <v>8830</v>
      </c>
      <c r="G26" s="374">
        <v>1290</v>
      </c>
      <c r="H26" s="390"/>
      <c r="I26" s="365"/>
      <c r="J26" s="366" t="s">
        <v>250</v>
      </c>
      <c r="K26" s="365"/>
      <c r="L26" s="365"/>
      <c r="M26" s="393"/>
      <c r="N26" s="377"/>
      <c r="O26" s="377"/>
      <c r="T26" s="435"/>
      <c r="U26" s="435"/>
      <c r="V26" s="435"/>
      <c r="W26" s="436"/>
      <c r="X26" s="439"/>
      <c r="Y26" s="439"/>
    </row>
    <row r="27" spans="1:25" s="105" customFormat="1" ht="12.75" customHeight="1" x14ac:dyDescent="0.3">
      <c r="A27" s="365"/>
      <c r="B27" s="365"/>
      <c r="C27" s="395" t="s">
        <v>251</v>
      </c>
      <c r="D27" s="365"/>
      <c r="E27" s="373"/>
      <c r="F27" s="374"/>
      <c r="G27" s="374"/>
      <c r="H27" s="390"/>
      <c r="I27" s="365"/>
      <c r="J27" s="366" t="s">
        <v>252</v>
      </c>
      <c r="K27" s="365"/>
      <c r="L27" s="365"/>
      <c r="M27" s="393"/>
      <c r="N27" s="374"/>
      <c r="O27" s="374"/>
      <c r="T27" s="435"/>
      <c r="U27" s="441"/>
      <c r="V27" s="435"/>
      <c r="W27" s="438"/>
      <c r="X27" s="439"/>
      <c r="Y27" s="439"/>
    </row>
    <row r="28" spans="1:25" s="105" customFormat="1" ht="12.75" customHeight="1" x14ac:dyDescent="0.3">
      <c r="A28" s="365"/>
      <c r="B28" s="365"/>
      <c r="C28" s="395" t="s">
        <v>253</v>
      </c>
      <c r="D28" s="365"/>
      <c r="E28" s="373">
        <v>3</v>
      </c>
      <c r="F28" s="374">
        <v>860</v>
      </c>
      <c r="G28" s="374">
        <v>130</v>
      </c>
      <c r="H28" s="390"/>
      <c r="I28" s="365"/>
      <c r="J28" s="365" t="s">
        <v>254</v>
      </c>
      <c r="K28" s="365"/>
      <c r="L28" s="365"/>
      <c r="M28" s="375">
        <v>30</v>
      </c>
      <c r="N28" s="392">
        <v>8860</v>
      </c>
      <c r="O28" s="392">
        <v>1490</v>
      </c>
      <c r="T28" s="435"/>
      <c r="U28" s="441"/>
      <c r="V28" s="435"/>
      <c r="W28" s="436"/>
      <c r="X28" s="439"/>
      <c r="Y28" s="439"/>
    </row>
    <row r="29" spans="1:25" s="105" customFormat="1" ht="12.75" customHeight="1" x14ac:dyDescent="0.3">
      <c r="A29" s="365"/>
      <c r="B29" s="365"/>
      <c r="C29" s="365" t="s">
        <v>255</v>
      </c>
      <c r="D29" s="365"/>
      <c r="E29" s="373">
        <v>9</v>
      </c>
      <c r="F29" s="374">
        <v>2640</v>
      </c>
      <c r="G29" s="374">
        <v>420</v>
      </c>
      <c r="H29" s="390"/>
      <c r="I29" s="365"/>
      <c r="J29" s="365" t="s">
        <v>256</v>
      </c>
      <c r="K29" s="365"/>
      <c r="L29" s="365"/>
      <c r="M29" s="375">
        <v>31</v>
      </c>
      <c r="N29" s="392">
        <v>8970</v>
      </c>
      <c r="O29" s="392">
        <v>1320</v>
      </c>
      <c r="T29" s="435"/>
      <c r="U29" s="435"/>
      <c r="V29" s="435"/>
      <c r="W29" s="436"/>
      <c r="X29" s="439"/>
      <c r="Y29" s="439"/>
    </row>
    <row r="30" spans="1:25" s="105" customFormat="1" ht="12.75" customHeight="1" x14ac:dyDescent="0.3">
      <c r="A30" s="365"/>
      <c r="B30" s="365"/>
      <c r="C30" s="365" t="s">
        <v>257</v>
      </c>
      <c r="D30" s="365"/>
      <c r="E30" s="373">
        <v>18</v>
      </c>
      <c r="F30" s="374">
        <v>5330</v>
      </c>
      <c r="G30" s="374">
        <v>740</v>
      </c>
      <c r="H30" s="390"/>
      <c r="I30" s="365"/>
      <c r="J30" s="365" t="s">
        <v>258</v>
      </c>
      <c r="K30" s="365"/>
      <c r="L30" s="365"/>
      <c r="M30" s="375">
        <v>39</v>
      </c>
      <c r="N30" s="392">
        <v>11460</v>
      </c>
      <c r="O30" s="392">
        <v>1660</v>
      </c>
      <c r="T30" s="435"/>
      <c r="U30" s="435"/>
      <c r="V30" s="435"/>
      <c r="W30" s="436"/>
      <c r="X30" s="439"/>
      <c r="Y30" s="439"/>
    </row>
    <row r="31" spans="1:25" s="105" customFormat="1" ht="12.75" customHeight="1" x14ac:dyDescent="0.3">
      <c r="A31" s="365"/>
      <c r="B31" s="365" t="s">
        <v>259</v>
      </c>
      <c r="C31" s="365"/>
      <c r="D31" s="365"/>
      <c r="E31" s="373">
        <v>14</v>
      </c>
      <c r="F31" s="374">
        <v>4140</v>
      </c>
      <c r="G31" s="374">
        <v>560</v>
      </c>
      <c r="H31" s="390"/>
      <c r="I31" s="365"/>
      <c r="J31" s="365"/>
      <c r="K31" s="365" t="s">
        <v>234</v>
      </c>
      <c r="L31" s="365"/>
      <c r="M31" s="375">
        <v>33</v>
      </c>
      <c r="N31" s="392">
        <v>9680</v>
      </c>
      <c r="O31" s="392">
        <v>1420</v>
      </c>
      <c r="T31" s="435"/>
      <c r="U31" s="435"/>
      <c r="V31" s="435"/>
      <c r="W31" s="436"/>
      <c r="X31" s="439"/>
      <c r="Y31" s="439"/>
    </row>
    <row r="32" spans="1:25" s="105" customFormat="1" ht="12.75" customHeight="1" x14ac:dyDescent="0.3">
      <c r="A32" s="365"/>
      <c r="B32" s="365"/>
      <c r="C32" s="365" t="s">
        <v>260</v>
      </c>
      <c r="D32" s="365"/>
      <c r="E32" s="373">
        <v>10</v>
      </c>
      <c r="F32" s="374">
        <v>2800</v>
      </c>
      <c r="G32" s="374">
        <v>320</v>
      </c>
      <c r="H32" s="390"/>
      <c r="I32" s="365"/>
      <c r="J32" s="365"/>
      <c r="K32" s="365" t="s">
        <v>236</v>
      </c>
      <c r="L32" s="365"/>
      <c r="M32" s="375">
        <v>4</v>
      </c>
      <c r="N32" s="392">
        <v>1300</v>
      </c>
      <c r="O32" s="392">
        <v>180</v>
      </c>
      <c r="T32" s="435"/>
      <c r="U32" s="435"/>
      <c r="V32" s="435"/>
      <c r="W32" s="436"/>
      <c r="X32" s="439"/>
      <c r="Y32" s="439"/>
    </row>
    <row r="33" spans="1:25" s="105" customFormat="1" ht="12.75" customHeight="1" x14ac:dyDescent="0.3">
      <c r="A33" s="365"/>
      <c r="B33" s="365"/>
      <c r="C33" s="365" t="s">
        <v>261</v>
      </c>
      <c r="D33" s="365"/>
      <c r="E33" s="373">
        <v>5</v>
      </c>
      <c r="F33" s="374">
        <v>1340</v>
      </c>
      <c r="G33" s="374">
        <v>240</v>
      </c>
      <c r="H33" s="390"/>
      <c r="I33" s="365"/>
      <c r="J33" s="365"/>
      <c r="K33" s="365" t="s">
        <v>238</v>
      </c>
      <c r="L33" s="365"/>
      <c r="M33" s="375">
        <v>2</v>
      </c>
      <c r="N33" s="392">
        <v>450</v>
      </c>
      <c r="O33" s="392">
        <v>60</v>
      </c>
      <c r="T33" s="435"/>
      <c r="U33" s="435"/>
      <c r="V33" s="435"/>
      <c r="W33" s="436"/>
      <c r="X33" s="439"/>
      <c r="Y33" s="439"/>
    </row>
    <row r="34" spans="1:25" s="105" customFormat="1" ht="12.75" customHeight="1" x14ac:dyDescent="0.3">
      <c r="A34" s="365"/>
      <c r="B34" s="365" t="s">
        <v>262</v>
      </c>
      <c r="C34" s="365"/>
      <c r="D34" s="365"/>
      <c r="E34" s="373">
        <v>16</v>
      </c>
      <c r="F34" s="374">
        <v>4690</v>
      </c>
      <c r="G34" s="374">
        <v>730</v>
      </c>
      <c r="H34" s="390"/>
      <c r="I34" s="365"/>
      <c r="J34" s="365"/>
      <c r="K34" s="365" t="s">
        <v>239</v>
      </c>
      <c r="L34" s="365"/>
      <c r="M34" s="375">
        <v>0</v>
      </c>
      <c r="N34" s="392">
        <v>30</v>
      </c>
      <c r="O34" s="392">
        <v>0</v>
      </c>
      <c r="T34" s="435"/>
      <c r="U34" s="435"/>
      <c r="V34" s="435"/>
      <c r="W34" s="436"/>
      <c r="X34" s="439"/>
      <c r="Y34" s="439"/>
    </row>
    <row r="35" spans="1:25" s="105" customFormat="1" ht="12.75" customHeight="1" x14ac:dyDescent="0.3">
      <c r="A35" s="365"/>
      <c r="B35" s="365"/>
      <c r="C35" s="365" t="s">
        <v>263</v>
      </c>
      <c r="D35" s="365"/>
      <c r="E35" s="373">
        <v>6</v>
      </c>
      <c r="F35" s="374">
        <v>1630</v>
      </c>
      <c r="G35" s="374">
        <v>260</v>
      </c>
      <c r="H35" s="390"/>
      <c r="I35" s="365"/>
      <c r="J35" s="365"/>
      <c r="K35" s="365" t="s">
        <v>264</v>
      </c>
      <c r="L35" s="365"/>
      <c r="M35" s="391">
        <v>0</v>
      </c>
      <c r="N35" s="374">
        <v>0</v>
      </c>
      <c r="O35" s="394">
        <v>0</v>
      </c>
      <c r="T35" s="435"/>
      <c r="U35" s="435"/>
      <c r="V35" s="435"/>
      <c r="W35" s="436"/>
      <c r="X35" s="439"/>
      <c r="Y35" s="439"/>
    </row>
    <row r="36" spans="1:25" s="105" customFormat="1" ht="12.75" customHeight="1" x14ac:dyDescent="0.3">
      <c r="A36" s="365"/>
      <c r="B36" s="365"/>
      <c r="C36" s="365" t="s">
        <v>265</v>
      </c>
      <c r="D36" s="365"/>
      <c r="E36" s="373">
        <v>10</v>
      </c>
      <c r="F36" s="374">
        <v>3060</v>
      </c>
      <c r="G36" s="374">
        <v>470</v>
      </c>
      <c r="H36" s="390"/>
      <c r="I36" s="365"/>
      <c r="J36" s="365"/>
      <c r="K36" s="365"/>
      <c r="L36" s="365"/>
      <c r="M36" s="373"/>
      <c r="N36" s="365"/>
      <c r="O36" s="365"/>
      <c r="T36" s="435"/>
      <c r="U36" s="435"/>
      <c r="V36" s="435"/>
      <c r="W36" s="436"/>
      <c r="X36" s="439"/>
      <c r="Y36" s="439"/>
    </row>
    <row r="37" spans="1:25" s="105" customFormat="1" ht="12.75" customHeight="1" x14ac:dyDescent="0.3">
      <c r="A37" s="365"/>
      <c r="B37" s="365"/>
      <c r="C37" s="365"/>
      <c r="D37" s="365"/>
      <c r="E37" s="373"/>
      <c r="F37" s="374"/>
      <c r="G37" s="374"/>
      <c r="H37" s="390"/>
      <c r="I37" s="365"/>
      <c r="J37" s="365" t="s">
        <v>266</v>
      </c>
      <c r="K37" s="365"/>
      <c r="L37" s="365"/>
      <c r="M37" s="373">
        <v>44</v>
      </c>
      <c r="N37" s="374">
        <v>12740</v>
      </c>
      <c r="O37" s="374">
        <v>2130</v>
      </c>
      <c r="T37" s="435"/>
      <c r="U37" s="435"/>
      <c r="V37" s="435"/>
      <c r="W37" s="438"/>
      <c r="X37" s="439"/>
      <c r="Y37" s="439"/>
    </row>
    <row r="38" spans="1:25" s="105" customFormat="1" ht="12.75" customHeight="1" x14ac:dyDescent="0.3">
      <c r="A38" s="365"/>
      <c r="B38" s="365" t="s">
        <v>267</v>
      </c>
      <c r="C38" s="365"/>
      <c r="D38" s="365"/>
      <c r="E38" s="373">
        <v>3</v>
      </c>
      <c r="F38" s="374">
        <v>800</v>
      </c>
      <c r="G38" s="374">
        <v>110</v>
      </c>
      <c r="H38" s="390"/>
      <c r="I38" s="365"/>
      <c r="J38" s="365" t="s">
        <v>268</v>
      </c>
      <c r="K38" s="365"/>
      <c r="L38" s="365"/>
      <c r="M38" s="375"/>
      <c r="N38" s="392"/>
      <c r="O38" s="392"/>
      <c r="T38" s="435"/>
      <c r="U38" s="435"/>
      <c r="V38" s="435"/>
      <c r="W38" s="436"/>
      <c r="X38" s="439"/>
      <c r="Y38" s="439"/>
    </row>
    <row r="39" spans="1:25" s="105" customFormat="1" ht="12.75" customHeight="1" x14ac:dyDescent="0.3">
      <c r="A39" s="365"/>
      <c r="B39" s="365"/>
      <c r="C39" s="365" t="s">
        <v>269</v>
      </c>
      <c r="D39" s="365"/>
      <c r="E39" s="459">
        <v>0</v>
      </c>
      <c r="F39" s="374">
        <v>110</v>
      </c>
      <c r="G39" s="374">
        <v>10</v>
      </c>
      <c r="H39" s="390"/>
      <c r="I39" s="365"/>
      <c r="J39" s="365" t="s">
        <v>270</v>
      </c>
      <c r="K39" s="365"/>
      <c r="L39" s="365"/>
      <c r="M39" s="375">
        <v>25</v>
      </c>
      <c r="N39" s="392">
        <v>7210</v>
      </c>
      <c r="O39" s="392">
        <v>1160</v>
      </c>
      <c r="T39" s="435"/>
      <c r="U39" s="435"/>
      <c r="V39" s="435"/>
      <c r="W39" s="440"/>
      <c r="X39" s="439"/>
      <c r="Y39" s="439"/>
    </row>
    <row r="40" spans="1:25" s="105" customFormat="1" ht="12.75" customHeight="1" x14ac:dyDescent="0.3">
      <c r="A40" s="365"/>
      <c r="B40" s="365"/>
      <c r="C40" s="365" t="s">
        <v>271</v>
      </c>
      <c r="D40" s="365"/>
      <c r="E40" s="373">
        <v>2</v>
      </c>
      <c r="F40" s="374">
        <v>690</v>
      </c>
      <c r="G40" s="374">
        <v>100</v>
      </c>
      <c r="H40" s="390"/>
      <c r="I40" s="365"/>
      <c r="J40" s="395"/>
      <c r="K40" s="365" t="s">
        <v>272</v>
      </c>
      <c r="L40" s="365"/>
      <c r="M40" s="375">
        <v>12</v>
      </c>
      <c r="N40" s="392">
        <v>3470</v>
      </c>
      <c r="O40" s="392">
        <v>590</v>
      </c>
      <c r="T40" s="435"/>
      <c r="U40" s="435"/>
      <c r="V40" s="435"/>
      <c r="W40" s="436"/>
      <c r="X40" s="439"/>
      <c r="Y40" s="439"/>
    </row>
    <row r="41" spans="1:25" s="105" customFormat="1" ht="12.75" customHeight="1" x14ac:dyDescent="0.3">
      <c r="A41" s="365"/>
      <c r="B41" s="365" t="s">
        <v>273</v>
      </c>
      <c r="C41" s="365"/>
      <c r="D41" s="365"/>
      <c r="E41" s="373">
        <v>2</v>
      </c>
      <c r="F41" s="374">
        <v>710</v>
      </c>
      <c r="G41" s="374">
        <v>100</v>
      </c>
      <c r="H41" s="390"/>
      <c r="I41" s="365"/>
      <c r="J41" s="365"/>
      <c r="K41" s="365" t="s">
        <v>274</v>
      </c>
      <c r="L41" s="365"/>
      <c r="M41" s="375">
        <v>13</v>
      </c>
      <c r="N41" s="392">
        <v>3740</v>
      </c>
      <c r="O41" s="392">
        <v>570</v>
      </c>
      <c r="T41" s="435"/>
      <c r="U41" s="435"/>
      <c r="V41" s="435"/>
      <c r="W41" s="436"/>
      <c r="X41" s="439"/>
      <c r="Y41" s="439"/>
    </row>
    <row r="42" spans="1:25" s="105" customFormat="1" ht="12.75" customHeight="1" x14ac:dyDescent="0.3">
      <c r="A42" s="365"/>
      <c r="B42" s="365"/>
      <c r="C42" s="365" t="s">
        <v>275</v>
      </c>
      <c r="D42" s="365"/>
      <c r="E42" s="459">
        <v>0</v>
      </c>
      <c r="F42" s="374">
        <v>80</v>
      </c>
      <c r="G42" s="374">
        <v>10</v>
      </c>
      <c r="H42" s="390"/>
      <c r="I42" s="365"/>
      <c r="J42" s="365"/>
      <c r="K42" s="365"/>
      <c r="L42" s="365" t="s">
        <v>276</v>
      </c>
      <c r="M42" s="375">
        <v>5</v>
      </c>
      <c r="N42" s="392">
        <v>1490</v>
      </c>
      <c r="O42" s="392">
        <v>230</v>
      </c>
      <c r="T42" s="435"/>
      <c r="U42" s="435"/>
      <c r="V42" s="435"/>
      <c r="W42" s="440"/>
      <c r="X42" s="439"/>
      <c r="Y42" s="439"/>
    </row>
    <row r="43" spans="1:25" s="105" customFormat="1" ht="12.75" customHeight="1" x14ac:dyDescent="0.3">
      <c r="A43" s="365"/>
      <c r="B43" s="365"/>
      <c r="C43" s="365" t="s">
        <v>277</v>
      </c>
      <c r="D43" s="365"/>
      <c r="E43" s="373">
        <v>2</v>
      </c>
      <c r="F43" s="374">
        <v>630</v>
      </c>
      <c r="G43" s="374">
        <v>90</v>
      </c>
      <c r="H43" s="390"/>
      <c r="I43" s="365"/>
      <c r="J43" s="365"/>
      <c r="K43" s="365"/>
      <c r="L43" s="365" t="s">
        <v>278</v>
      </c>
      <c r="M43" s="375">
        <v>6</v>
      </c>
      <c r="N43" s="392">
        <v>1800</v>
      </c>
      <c r="O43" s="392">
        <v>270</v>
      </c>
      <c r="T43" s="435"/>
      <c r="U43" s="435"/>
      <c r="V43" s="435"/>
      <c r="W43" s="436"/>
      <c r="X43" s="439"/>
      <c r="Y43" s="439"/>
    </row>
    <row r="44" spans="1:25" s="105" customFormat="1" ht="12.75" customHeight="1" x14ac:dyDescent="0.3">
      <c r="A44" s="365"/>
      <c r="B44" s="365"/>
      <c r="C44" s="365"/>
      <c r="D44" s="365"/>
      <c r="E44" s="373"/>
      <c r="F44" s="374"/>
      <c r="G44" s="374"/>
      <c r="H44" s="390"/>
      <c r="I44" s="365"/>
      <c r="J44" s="365"/>
      <c r="K44" s="365"/>
      <c r="L44" s="365" t="s">
        <v>279</v>
      </c>
      <c r="M44" s="391">
        <v>1</v>
      </c>
      <c r="N44" s="392">
        <v>370</v>
      </c>
      <c r="O44" s="392">
        <v>60</v>
      </c>
      <c r="T44" s="435"/>
      <c r="U44" s="435"/>
      <c r="V44" s="435"/>
      <c r="W44" s="436"/>
      <c r="X44" s="439"/>
      <c r="Y44" s="439"/>
    </row>
    <row r="45" spans="1:25" s="105" customFormat="1" ht="12.75" customHeight="1" x14ac:dyDescent="0.3">
      <c r="A45" s="365"/>
      <c r="B45" s="365" t="s">
        <v>280</v>
      </c>
      <c r="C45" s="365"/>
      <c r="D45" s="365"/>
      <c r="E45" s="373">
        <v>31</v>
      </c>
      <c r="F45" s="374">
        <v>9170</v>
      </c>
      <c r="G45" s="374">
        <v>1540</v>
      </c>
      <c r="H45" s="390"/>
      <c r="I45" s="365"/>
      <c r="J45" s="365"/>
      <c r="K45" s="365"/>
      <c r="L45" s="365" t="s">
        <v>281</v>
      </c>
      <c r="M45" s="393">
        <v>0</v>
      </c>
      <c r="N45" s="374">
        <v>70</v>
      </c>
      <c r="O45" s="374">
        <v>10</v>
      </c>
      <c r="T45" s="435"/>
      <c r="U45" s="435"/>
      <c r="V45" s="435"/>
      <c r="W45" s="436"/>
      <c r="X45" s="439"/>
      <c r="Y45" s="439"/>
    </row>
    <row r="46" spans="1:25" s="105" customFormat="1" ht="12.75" customHeight="1" x14ac:dyDescent="0.3">
      <c r="A46" s="365"/>
      <c r="B46" s="365"/>
      <c r="C46" s="395" t="s">
        <v>251</v>
      </c>
      <c r="D46" s="365"/>
      <c r="E46" s="373"/>
      <c r="F46" s="374"/>
      <c r="G46" s="374"/>
      <c r="H46" s="390"/>
      <c r="I46" s="365"/>
      <c r="J46" s="365"/>
      <c r="K46" s="365"/>
      <c r="L46" s="365"/>
      <c r="T46" s="435"/>
      <c r="U46" s="441"/>
      <c r="V46" s="435"/>
      <c r="W46" s="438"/>
      <c r="X46" s="439"/>
      <c r="Y46" s="439"/>
    </row>
    <row r="47" spans="1:25" s="105" customFormat="1" ht="12.75" customHeight="1" x14ac:dyDescent="0.3">
      <c r="A47" s="365"/>
      <c r="B47" s="365"/>
      <c r="C47" s="395" t="s">
        <v>253</v>
      </c>
      <c r="D47" s="365"/>
      <c r="E47" s="373">
        <v>1</v>
      </c>
      <c r="F47" s="374">
        <v>410</v>
      </c>
      <c r="G47" s="374">
        <v>70</v>
      </c>
      <c r="H47" s="390"/>
      <c r="I47" s="365"/>
      <c r="J47" s="365" t="s">
        <v>266</v>
      </c>
      <c r="K47" s="365"/>
      <c r="L47" s="365"/>
      <c r="M47" s="373" t="s">
        <v>233</v>
      </c>
      <c r="N47" s="374"/>
      <c r="O47" s="374"/>
      <c r="T47" s="435"/>
      <c r="U47" s="441"/>
      <c r="V47" s="435"/>
      <c r="W47" s="436"/>
      <c r="X47" s="439"/>
      <c r="Y47" s="439"/>
    </row>
    <row r="48" spans="1:25" s="105" customFormat="1" ht="12.75" customHeight="1" x14ac:dyDescent="0.3">
      <c r="A48" s="365"/>
      <c r="B48" s="365"/>
      <c r="C48" s="365" t="s">
        <v>255</v>
      </c>
      <c r="D48" s="365"/>
      <c r="E48" s="373">
        <v>9</v>
      </c>
      <c r="F48" s="374">
        <v>2690</v>
      </c>
      <c r="G48" s="374">
        <v>520</v>
      </c>
      <c r="H48" s="390"/>
      <c r="I48" s="365"/>
      <c r="J48" s="395" t="s">
        <v>282</v>
      </c>
      <c r="K48" s="365"/>
      <c r="L48" s="365"/>
      <c r="M48" s="375">
        <v>19</v>
      </c>
      <c r="N48" s="392">
        <v>5540</v>
      </c>
      <c r="O48" s="392">
        <v>970</v>
      </c>
      <c r="T48" s="435"/>
      <c r="U48" s="435"/>
      <c r="V48" s="435"/>
      <c r="W48" s="436"/>
      <c r="X48" s="439"/>
      <c r="Y48" s="439"/>
    </row>
    <row r="49" spans="1:25" s="105" customFormat="1" ht="12.75" customHeight="1" x14ac:dyDescent="0.3">
      <c r="A49" s="365"/>
      <c r="B49" s="365"/>
      <c r="C49" s="365" t="s">
        <v>257</v>
      </c>
      <c r="D49" s="365"/>
      <c r="E49" s="373">
        <v>21</v>
      </c>
      <c r="F49" s="374">
        <v>6070</v>
      </c>
      <c r="G49" s="374">
        <v>940</v>
      </c>
      <c r="H49" s="390"/>
      <c r="I49" s="365"/>
      <c r="J49" s="395"/>
      <c r="K49" s="365" t="s">
        <v>272</v>
      </c>
      <c r="L49" s="365"/>
      <c r="M49" s="375">
        <v>15</v>
      </c>
      <c r="N49" s="392">
        <v>4350</v>
      </c>
      <c r="O49" s="392">
        <v>810</v>
      </c>
      <c r="T49" s="435"/>
      <c r="U49" s="435"/>
      <c r="V49" s="435"/>
      <c r="W49" s="436"/>
      <c r="X49" s="439"/>
      <c r="Y49" s="439"/>
    </row>
    <row r="50" spans="1:25" s="105" customFormat="1" ht="12.75" customHeight="1" x14ac:dyDescent="0.3">
      <c r="A50" s="365"/>
      <c r="B50" s="365" t="s">
        <v>283</v>
      </c>
      <c r="C50" s="365"/>
      <c r="D50" s="365"/>
      <c r="E50" s="373">
        <v>4</v>
      </c>
      <c r="F50" s="374">
        <v>1130</v>
      </c>
      <c r="G50" s="374">
        <v>170</v>
      </c>
      <c r="H50" s="390"/>
      <c r="I50" s="365"/>
      <c r="J50" s="365"/>
      <c r="K50" s="365" t="s">
        <v>274</v>
      </c>
      <c r="L50" s="365"/>
      <c r="M50" s="375">
        <v>4</v>
      </c>
      <c r="N50" s="392">
        <v>1180</v>
      </c>
      <c r="O50" s="392">
        <v>160</v>
      </c>
      <c r="T50" s="435"/>
      <c r="U50" s="435"/>
      <c r="V50" s="435"/>
      <c r="W50" s="436"/>
      <c r="X50" s="439"/>
      <c r="Y50" s="439"/>
    </row>
    <row r="51" spans="1:25" s="105" customFormat="1" ht="12.75" customHeight="1" x14ac:dyDescent="0.3">
      <c r="A51" s="365"/>
      <c r="B51" s="365"/>
      <c r="C51" s="365"/>
      <c r="D51" s="365"/>
      <c r="E51" s="373"/>
      <c r="F51" s="374"/>
      <c r="G51" s="374"/>
      <c r="H51" s="390"/>
      <c r="I51" s="365"/>
      <c r="J51" s="365"/>
      <c r="K51" s="365"/>
      <c r="L51" s="365" t="s">
        <v>276</v>
      </c>
      <c r="M51" s="375">
        <v>2</v>
      </c>
      <c r="N51" s="392">
        <v>470</v>
      </c>
      <c r="O51" s="392">
        <v>60</v>
      </c>
      <c r="T51" s="435"/>
      <c r="U51" s="435"/>
      <c r="V51" s="435"/>
      <c r="W51" s="436"/>
      <c r="X51" s="439"/>
      <c r="Y51" s="439"/>
    </row>
    <row r="52" spans="1:25" s="105" customFormat="1" ht="12.75" customHeight="1" x14ac:dyDescent="0.3">
      <c r="A52" s="365"/>
      <c r="B52" s="365" t="s">
        <v>284</v>
      </c>
      <c r="C52" s="365"/>
      <c r="D52" s="365"/>
      <c r="E52" s="373">
        <v>19</v>
      </c>
      <c r="F52" s="374">
        <v>5680</v>
      </c>
      <c r="G52" s="374">
        <v>840</v>
      </c>
      <c r="H52" s="390"/>
      <c r="I52" s="365"/>
      <c r="J52" s="365"/>
      <c r="K52" s="365"/>
      <c r="L52" s="365" t="s">
        <v>278</v>
      </c>
      <c r="M52" s="375">
        <v>1</v>
      </c>
      <c r="N52" s="392">
        <v>360</v>
      </c>
      <c r="O52" s="392">
        <v>60</v>
      </c>
      <c r="T52" s="435"/>
      <c r="U52" s="435"/>
      <c r="V52" s="435"/>
      <c r="W52" s="436"/>
      <c r="X52" s="439"/>
      <c r="Y52" s="439"/>
    </row>
    <row r="53" spans="1:25" s="105" customFormat="1" ht="12.75" customHeight="1" x14ac:dyDescent="0.3">
      <c r="A53" s="365"/>
      <c r="B53" s="365"/>
      <c r="C53" s="365" t="s">
        <v>285</v>
      </c>
      <c r="D53" s="365"/>
      <c r="E53" s="373">
        <v>7</v>
      </c>
      <c r="F53" s="374">
        <v>2170</v>
      </c>
      <c r="G53" s="374">
        <v>310</v>
      </c>
      <c r="H53" s="390"/>
      <c r="I53" s="365"/>
      <c r="J53" s="365"/>
      <c r="K53" s="365"/>
      <c r="L53" s="365" t="s">
        <v>279</v>
      </c>
      <c r="M53" s="391">
        <v>1</v>
      </c>
      <c r="N53" s="392">
        <v>210</v>
      </c>
      <c r="O53" s="392">
        <v>30</v>
      </c>
      <c r="T53" s="435"/>
      <c r="U53" s="435"/>
      <c r="V53" s="435"/>
      <c r="W53" s="436"/>
      <c r="X53" s="439"/>
      <c r="Y53" s="439"/>
    </row>
    <row r="54" spans="1:25" s="105" customFormat="1" ht="12.75" customHeight="1" x14ac:dyDescent="0.3">
      <c r="A54" s="365"/>
      <c r="B54" s="365"/>
      <c r="C54" s="365" t="s">
        <v>286</v>
      </c>
      <c r="D54" s="365"/>
      <c r="E54" s="459">
        <v>0</v>
      </c>
      <c r="F54" s="374">
        <v>110</v>
      </c>
      <c r="G54" s="374">
        <v>20</v>
      </c>
      <c r="H54" s="390"/>
      <c r="I54" s="365"/>
      <c r="J54" s="365"/>
      <c r="K54" s="365"/>
      <c r="L54" s="365" t="s">
        <v>281</v>
      </c>
      <c r="M54" s="393">
        <v>0</v>
      </c>
      <c r="N54" s="374">
        <v>140</v>
      </c>
      <c r="O54" s="374">
        <v>20</v>
      </c>
      <c r="T54" s="435"/>
      <c r="U54" s="435"/>
      <c r="V54" s="435"/>
      <c r="W54" s="440"/>
      <c r="X54" s="439"/>
      <c r="Y54" s="439"/>
    </row>
    <row r="55" spans="1:25" s="105" customFormat="1" ht="12.75" customHeight="1" x14ac:dyDescent="0.3">
      <c r="A55" s="365"/>
      <c r="B55" s="365"/>
      <c r="C55" s="365" t="s">
        <v>287</v>
      </c>
      <c r="D55" s="365"/>
      <c r="E55" s="373">
        <v>8</v>
      </c>
      <c r="F55" s="374">
        <v>2470</v>
      </c>
      <c r="G55" s="374">
        <v>370</v>
      </c>
      <c r="H55" s="390"/>
      <c r="I55" s="365"/>
      <c r="J55" s="365"/>
      <c r="K55" s="365"/>
      <c r="L55" s="365"/>
      <c r="T55" s="435"/>
      <c r="U55" s="435"/>
      <c r="V55" s="435"/>
      <c r="W55" s="436"/>
      <c r="X55" s="439"/>
      <c r="Y55" s="439"/>
    </row>
    <row r="56" spans="1:25" s="105" customFormat="1" ht="12.75" customHeight="1" x14ac:dyDescent="0.3">
      <c r="A56" s="365"/>
      <c r="B56" s="365"/>
      <c r="C56" s="395" t="s">
        <v>288</v>
      </c>
      <c r="D56" s="365"/>
      <c r="E56" s="373"/>
      <c r="F56" s="374"/>
      <c r="G56" s="374"/>
      <c r="H56" s="390"/>
      <c r="I56" s="365"/>
      <c r="J56" s="365"/>
      <c r="K56" s="365"/>
      <c r="L56" s="365"/>
      <c r="M56" s="375"/>
      <c r="N56" s="365"/>
      <c r="O56" s="365"/>
      <c r="T56" s="435"/>
      <c r="U56" s="441"/>
      <c r="V56" s="435"/>
      <c r="W56" s="436"/>
      <c r="X56" s="439"/>
      <c r="Y56" s="439"/>
    </row>
    <row r="57" spans="1:25" s="105" customFormat="1" ht="12.75" customHeight="1" x14ac:dyDescent="0.3">
      <c r="A57" s="365"/>
      <c r="B57" s="365"/>
      <c r="C57" s="395" t="s">
        <v>289</v>
      </c>
      <c r="D57" s="365"/>
      <c r="E57" s="373">
        <v>0</v>
      </c>
      <c r="F57" s="374">
        <v>70</v>
      </c>
      <c r="G57" s="374">
        <v>10</v>
      </c>
      <c r="H57" s="390"/>
      <c r="I57" s="365"/>
      <c r="J57" s="365"/>
      <c r="K57" s="365"/>
      <c r="L57" s="365"/>
      <c r="M57" s="375"/>
      <c r="N57" s="365"/>
      <c r="O57" s="365"/>
      <c r="T57" s="435"/>
      <c r="U57" s="441"/>
      <c r="V57" s="435"/>
      <c r="W57" s="436"/>
      <c r="X57" s="439"/>
      <c r="Y57" s="439"/>
    </row>
    <row r="58" spans="1:25" s="105" customFormat="1" ht="12.75" customHeight="1" x14ac:dyDescent="0.3">
      <c r="A58" s="365"/>
      <c r="B58" s="365"/>
      <c r="C58" s="365" t="s">
        <v>290</v>
      </c>
      <c r="D58" s="365"/>
      <c r="E58" s="373">
        <v>2</v>
      </c>
      <c r="F58" s="374">
        <v>560</v>
      </c>
      <c r="G58" s="374">
        <v>100</v>
      </c>
      <c r="H58" s="390"/>
      <c r="I58" s="365"/>
      <c r="J58" s="366" t="s">
        <v>291</v>
      </c>
      <c r="K58" s="367"/>
      <c r="L58" s="371"/>
      <c r="M58" s="375"/>
      <c r="N58" s="392"/>
      <c r="O58" s="392"/>
      <c r="T58" s="435"/>
      <c r="U58" s="435"/>
      <c r="V58" s="435"/>
      <c r="W58" s="436"/>
      <c r="X58" s="439"/>
      <c r="Y58" s="439"/>
    </row>
    <row r="59" spans="1:25" s="105" customFormat="1" ht="12.75" customHeight="1" x14ac:dyDescent="0.3">
      <c r="A59" s="365"/>
      <c r="B59" s="365"/>
      <c r="C59" s="395" t="s">
        <v>288</v>
      </c>
      <c r="D59" s="365"/>
      <c r="E59" s="373"/>
      <c r="F59" s="374"/>
      <c r="G59" s="374"/>
      <c r="H59" s="390"/>
      <c r="I59" s="365"/>
      <c r="J59" s="365" t="s">
        <v>292</v>
      </c>
      <c r="K59" s="367"/>
      <c r="L59" s="371"/>
      <c r="M59" s="375">
        <v>64</v>
      </c>
      <c r="N59" s="392">
        <v>18820</v>
      </c>
      <c r="O59" s="392">
        <v>2720</v>
      </c>
      <c r="T59" s="435"/>
      <c r="U59" s="441"/>
      <c r="V59" s="435"/>
      <c r="W59" s="438"/>
      <c r="X59" s="439"/>
      <c r="Y59" s="439"/>
    </row>
    <row r="60" spans="1:25" s="105" customFormat="1" ht="12.75" customHeight="1" x14ac:dyDescent="0.3">
      <c r="A60" s="365"/>
      <c r="B60" s="365"/>
      <c r="C60" s="395" t="s">
        <v>293</v>
      </c>
      <c r="D60" s="365"/>
      <c r="E60" s="375">
        <v>0</v>
      </c>
      <c r="F60" s="374">
        <v>20</v>
      </c>
      <c r="G60" s="374">
        <v>0</v>
      </c>
      <c r="H60" s="390"/>
      <c r="I60" s="365"/>
      <c r="J60" s="365"/>
      <c r="K60" s="365" t="s">
        <v>294</v>
      </c>
      <c r="L60" s="371"/>
      <c r="M60" s="375">
        <v>54</v>
      </c>
      <c r="N60" s="392">
        <v>15890</v>
      </c>
      <c r="O60" s="392">
        <v>2360</v>
      </c>
      <c r="T60" s="435"/>
      <c r="U60" s="441"/>
      <c r="V60" s="435"/>
      <c r="W60" s="442"/>
      <c r="X60" s="439"/>
      <c r="Y60" s="439"/>
    </row>
    <row r="61" spans="1:25" s="105" customFormat="1" ht="12.75" customHeight="1" x14ac:dyDescent="0.3">
      <c r="A61" s="365"/>
      <c r="B61" s="365"/>
      <c r="C61" s="365" t="s">
        <v>295</v>
      </c>
      <c r="D61" s="365"/>
      <c r="E61" s="373">
        <v>1</v>
      </c>
      <c r="F61" s="374">
        <v>220</v>
      </c>
      <c r="G61" s="374">
        <v>30</v>
      </c>
      <c r="H61" s="390"/>
      <c r="I61" s="365"/>
      <c r="J61" s="365"/>
      <c r="K61" s="365"/>
      <c r="L61" s="365" t="s">
        <v>296</v>
      </c>
      <c r="M61" s="375">
        <v>43</v>
      </c>
      <c r="N61" s="392">
        <v>12700</v>
      </c>
      <c r="O61" s="392">
        <v>1880</v>
      </c>
      <c r="T61" s="435"/>
      <c r="U61" s="435"/>
      <c r="V61" s="435"/>
      <c r="W61" s="436"/>
      <c r="X61" s="439"/>
      <c r="Y61" s="439"/>
    </row>
    <row r="62" spans="1:25" s="105" customFormat="1" ht="12.75" customHeight="1" x14ac:dyDescent="0.3">
      <c r="A62" s="365"/>
      <c r="B62" s="365"/>
      <c r="C62" s="365" t="s">
        <v>297</v>
      </c>
      <c r="D62" s="365"/>
      <c r="E62" s="459">
        <v>0</v>
      </c>
      <c r="F62" s="374">
        <v>40</v>
      </c>
      <c r="G62" s="374">
        <v>10</v>
      </c>
      <c r="H62" s="390"/>
      <c r="I62" s="371"/>
      <c r="J62" s="365"/>
      <c r="K62" s="365"/>
      <c r="L62" s="365" t="s">
        <v>298</v>
      </c>
      <c r="M62" s="459">
        <v>11</v>
      </c>
      <c r="N62" s="374">
        <v>3190</v>
      </c>
      <c r="O62" s="374">
        <v>480</v>
      </c>
      <c r="T62" s="435"/>
      <c r="U62" s="435"/>
      <c r="V62" s="435"/>
      <c r="W62" s="440"/>
      <c r="X62" s="439"/>
      <c r="Y62" s="439"/>
    </row>
    <row r="63" spans="1:25" s="105" customFormat="1" ht="12.75" customHeight="1" x14ac:dyDescent="0.3">
      <c r="A63" s="365"/>
      <c r="B63" s="365"/>
      <c r="C63" s="365" t="s">
        <v>299</v>
      </c>
      <c r="D63" s="365"/>
      <c r="E63" s="459">
        <v>0</v>
      </c>
      <c r="F63" s="374">
        <v>20</v>
      </c>
      <c r="G63" s="374">
        <v>0</v>
      </c>
      <c r="H63" s="390"/>
      <c r="I63" s="371"/>
      <c r="J63" s="365"/>
      <c r="K63" s="365"/>
      <c r="L63" s="365"/>
      <c r="M63" s="375" t="s">
        <v>233</v>
      </c>
      <c r="N63" s="392"/>
      <c r="O63" s="392"/>
      <c r="T63" s="435"/>
      <c r="U63" s="435"/>
      <c r="V63" s="435"/>
      <c r="W63" s="440"/>
      <c r="X63" s="439"/>
      <c r="Y63" s="439"/>
    </row>
    <row r="64" spans="1:25" s="105" customFormat="1" ht="12.75" customHeight="1" x14ac:dyDescent="0.3">
      <c r="A64" s="365"/>
      <c r="B64" s="365"/>
      <c r="C64" s="365"/>
      <c r="D64" s="365"/>
      <c r="E64" s="373"/>
      <c r="F64" s="374"/>
      <c r="G64" s="374"/>
      <c r="H64" s="396"/>
      <c r="I64" s="371"/>
      <c r="J64" s="365"/>
      <c r="K64" s="395" t="s">
        <v>300</v>
      </c>
      <c r="L64" s="371"/>
      <c r="M64" s="373">
        <v>0</v>
      </c>
      <c r="N64" s="374">
        <v>20</v>
      </c>
      <c r="O64" s="394">
        <v>0</v>
      </c>
      <c r="T64" s="435"/>
      <c r="U64" s="435"/>
      <c r="V64" s="435"/>
      <c r="W64" s="440"/>
      <c r="X64" s="439"/>
      <c r="Y64" s="439"/>
    </row>
    <row r="65" spans="1:25" s="105" customFormat="1" ht="12.75" customHeight="1" x14ac:dyDescent="0.3">
      <c r="A65" s="365"/>
      <c r="B65" s="365" t="s">
        <v>301</v>
      </c>
      <c r="C65" s="365"/>
      <c r="D65" s="365"/>
      <c r="E65" s="373">
        <v>5</v>
      </c>
      <c r="F65" s="374">
        <v>1360</v>
      </c>
      <c r="G65" s="374">
        <v>210</v>
      </c>
      <c r="H65" s="396"/>
      <c r="I65" s="371"/>
      <c r="J65" s="365"/>
      <c r="K65" s="367"/>
      <c r="L65" s="371"/>
      <c r="M65" s="375" t="s">
        <v>233</v>
      </c>
      <c r="N65" s="392"/>
      <c r="O65" s="392"/>
    </row>
    <row r="66" spans="1:25" s="105" customFormat="1" ht="12.75" customHeight="1" x14ac:dyDescent="0.3">
      <c r="A66" s="365"/>
      <c r="B66" s="365"/>
      <c r="C66" s="365"/>
      <c r="D66" s="365"/>
      <c r="E66" s="373"/>
      <c r="F66" s="374"/>
      <c r="G66" s="374"/>
      <c r="H66" s="396"/>
      <c r="I66" s="365"/>
      <c r="J66" s="365"/>
      <c r="K66" s="365" t="s">
        <v>302</v>
      </c>
      <c r="L66" s="371"/>
      <c r="M66" s="375">
        <v>2</v>
      </c>
      <c r="N66" s="392">
        <v>510</v>
      </c>
      <c r="O66" s="392">
        <v>50</v>
      </c>
    </row>
    <row r="67" spans="1:25" s="105" customFormat="1" ht="12.75" customHeight="1" x14ac:dyDescent="0.3">
      <c r="A67" s="365"/>
      <c r="B67" s="365" t="s">
        <v>303</v>
      </c>
      <c r="C67" s="365"/>
      <c r="D67" s="365"/>
      <c r="E67" s="373">
        <v>2</v>
      </c>
      <c r="F67" s="374">
        <v>710</v>
      </c>
      <c r="G67" s="374">
        <v>100</v>
      </c>
      <c r="H67" s="396"/>
      <c r="I67" s="365"/>
      <c r="J67" s="365"/>
      <c r="K67" s="365" t="s">
        <v>304</v>
      </c>
      <c r="L67" s="371"/>
      <c r="M67" s="373">
        <v>8</v>
      </c>
      <c r="N67" s="365">
        <v>2400</v>
      </c>
      <c r="O67" s="374">
        <v>300</v>
      </c>
    </row>
    <row r="68" spans="1:25" s="105" customFormat="1" ht="12.75" customHeight="1" x14ac:dyDescent="0.3">
      <c r="A68" s="365"/>
      <c r="B68" s="365"/>
      <c r="C68" s="365" t="s">
        <v>305</v>
      </c>
      <c r="D68" s="365"/>
      <c r="E68" s="373">
        <v>1</v>
      </c>
      <c r="F68" s="374">
        <v>420</v>
      </c>
      <c r="G68" s="374">
        <v>60</v>
      </c>
      <c r="H68" s="396"/>
      <c r="I68" s="365"/>
      <c r="J68" s="365"/>
      <c r="K68" s="367"/>
      <c r="L68" s="371"/>
      <c r="M68" s="375" t="s">
        <v>233</v>
      </c>
      <c r="N68" s="392"/>
      <c r="O68" s="392"/>
    </row>
    <row r="69" spans="1:25" s="105" customFormat="1" ht="12.75" customHeight="1" x14ac:dyDescent="0.3">
      <c r="A69" s="365"/>
      <c r="B69" s="365"/>
      <c r="C69" s="365" t="s">
        <v>306</v>
      </c>
      <c r="D69" s="365"/>
      <c r="E69" s="373">
        <v>1</v>
      </c>
      <c r="F69" s="374">
        <v>170</v>
      </c>
      <c r="G69" s="374">
        <v>30</v>
      </c>
      <c r="H69" s="396"/>
      <c r="I69" s="365"/>
      <c r="J69" s="365" t="s">
        <v>307</v>
      </c>
      <c r="K69" s="367"/>
      <c r="L69" s="371"/>
      <c r="M69" s="374">
        <v>36</v>
      </c>
      <c r="N69" s="365">
        <v>10470</v>
      </c>
      <c r="O69" s="365">
        <v>1740</v>
      </c>
    </row>
    <row r="70" spans="1:25" s="105" customFormat="1" ht="12.75" customHeight="1" x14ac:dyDescent="0.3">
      <c r="A70" s="365"/>
      <c r="B70" s="365"/>
      <c r="C70" s="365" t="s">
        <v>308</v>
      </c>
      <c r="D70" s="365"/>
      <c r="E70" s="459">
        <v>0</v>
      </c>
      <c r="F70" s="374">
        <v>70</v>
      </c>
      <c r="G70" s="374">
        <v>10</v>
      </c>
      <c r="H70" s="396"/>
      <c r="I70" s="365"/>
      <c r="J70" s="365"/>
      <c r="K70" s="365"/>
      <c r="L70" s="365"/>
    </row>
    <row r="71" spans="1:25" s="105" customFormat="1" ht="12.75" customHeight="1" x14ac:dyDescent="0.3">
      <c r="A71" s="365"/>
      <c r="B71" s="365"/>
      <c r="C71" s="365" t="s">
        <v>309</v>
      </c>
      <c r="D71" s="365"/>
      <c r="E71" s="459">
        <v>0</v>
      </c>
      <c r="F71" s="374">
        <v>40</v>
      </c>
      <c r="G71" s="374">
        <v>0</v>
      </c>
      <c r="H71" s="396"/>
      <c r="I71" s="365"/>
      <c r="J71" s="365"/>
      <c r="K71" s="365"/>
      <c r="L71" s="365"/>
      <c r="M71" s="397"/>
      <c r="N71" s="365"/>
      <c r="O71" s="365"/>
    </row>
    <row r="72" spans="1:25" s="105" customFormat="1" ht="6" customHeight="1" x14ac:dyDescent="0.25">
      <c r="A72" s="365"/>
      <c r="B72" s="386"/>
      <c r="C72" s="386"/>
      <c r="D72" s="386"/>
      <c r="E72" s="398"/>
      <c r="F72" s="388"/>
      <c r="G72" s="388"/>
      <c r="H72" s="399"/>
      <c r="I72" s="386"/>
      <c r="J72" s="400"/>
      <c r="K72" s="400"/>
      <c r="L72" s="400"/>
      <c r="M72" s="401"/>
      <c r="N72" s="401"/>
      <c r="O72" s="402"/>
      <c r="T72" s="435"/>
      <c r="U72" s="435"/>
      <c r="V72" s="435"/>
      <c r="W72" s="436"/>
      <c r="X72" s="439"/>
      <c r="Y72" s="439"/>
    </row>
    <row r="73" spans="1:25" s="105" customFormat="1" ht="6" customHeight="1" x14ac:dyDescent="0.3">
      <c r="A73" s="365"/>
      <c r="B73" s="365"/>
      <c r="C73" s="365"/>
      <c r="D73" s="365"/>
      <c r="E73" s="365"/>
      <c r="F73" s="365"/>
      <c r="G73" s="365"/>
      <c r="H73" s="371"/>
      <c r="I73" s="365"/>
      <c r="J73" s="377"/>
      <c r="K73" s="377"/>
      <c r="L73" s="403"/>
      <c r="M73" s="404"/>
      <c r="N73" s="397"/>
      <c r="O73" s="397"/>
      <c r="T73" s="435"/>
      <c r="U73" s="435"/>
      <c r="V73" s="435"/>
      <c r="W73" s="436"/>
      <c r="X73" s="439"/>
      <c r="Y73" s="439"/>
    </row>
    <row r="74" spans="1:25" s="105" customFormat="1" ht="12.75" customHeight="1" x14ac:dyDescent="0.3">
      <c r="A74" s="531" t="s">
        <v>310</v>
      </c>
      <c r="B74" s="531"/>
      <c r="C74" s="531"/>
      <c r="D74" s="531"/>
      <c r="E74" s="531"/>
      <c r="F74" s="531"/>
      <c r="G74" s="531"/>
      <c r="H74" s="531"/>
      <c r="I74" s="531"/>
      <c r="J74" s="531"/>
      <c r="K74" s="531"/>
      <c r="L74" s="531"/>
      <c r="M74" s="531"/>
      <c r="N74" s="365"/>
      <c r="O74" s="365"/>
      <c r="T74" s="435"/>
      <c r="U74" s="435"/>
      <c r="V74" s="435"/>
      <c r="W74" s="436"/>
      <c r="X74" s="439"/>
      <c r="Y74" s="439"/>
    </row>
    <row r="75" spans="1:25" s="105" customFormat="1" ht="12.75" customHeight="1" x14ac:dyDescent="0.3">
      <c r="A75" s="365" t="s">
        <v>311</v>
      </c>
      <c r="B75" s="365"/>
      <c r="C75" s="365"/>
      <c r="D75" s="365"/>
      <c r="E75" s="373"/>
      <c r="F75" s="365"/>
      <c r="G75" s="374"/>
      <c r="H75" s="365"/>
      <c r="I75" s="365"/>
      <c r="J75" s="365"/>
      <c r="K75" s="365"/>
      <c r="L75" s="365"/>
      <c r="M75" s="404"/>
      <c r="N75" s="397"/>
      <c r="O75" s="397"/>
      <c r="T75" s="435"/>
      <c r="U75" s="435"/>
      <c r="V75" s="435"/>
      <c r="W75" s="440"/>
      <c r="X75" s="439"/>
      <c r="Y75" s="439"/>
    </row>
    <row r="76" spans="1:25" s="105" customFormat="1" ht="12.75" customHeight="1" x14ac:dyDescent="0.3">
      <c r="A76" s="365" t="s">
        <v>312</v>
      </c>
      <c r="B76" s="365"/>
      <c r="C76" s="377"/>
      <c r="D76" s="365"/>
      <c r="E76" s="373"/>
      <c r="F76" s="365"/>
      <c r="G76" s="374"/>
      <c r="H76" s="371"/>
      <c r="I76" s="365"/>
      <c r="J76" s="377"/>
      <c r="K76" s="405"/>
      <c r="L76" s="377"/>
      <c r="M76" s="404"/>
      <c r="N76" s="397"/>
      <c r="O76" s="397"/>
      <c r="T76" s="435"/>
      <c r="U76" s="435"/>
      <c r="V76" s="435"/>
      <c r="W76" s="440"/>
      <c r="X76" s="439"/>
      <c r="Y76" s="439"/>
    </row>
    <row r="77" spans="1:25" s="105" customFormat="1" ht="12.75" customHeight="1" x14ac:dyDescent="0.3">
      <c r="A77" s="365" t="s">
        <v>313</v>
      </c>
      <c r="B77" s="365"/>
      <c r="C77" s="365"/>
      <c r="D77" s="365"/>
      <c r="E77" s="373"/>
      <c r="F77" s="365"/>
      <c r="G77" s="374"/>
      <c r="H77" s="371"/>
      <c r="I77" s="365"/>
      <c r="J77" s="377"/>
      <c r="K77" s="405"/>
      <c r="L77" s="377"/>
      <c r="M77" s="404"/>
      <c r="N77" s="365"/>
      <c r="O77" s="397"/>
      <c r="T77" s="435"/>
      <c r="U77" s="435"/>
      <c r="V77" s="435"/>
      <c r="W77" s="440"/>
      <c r="X77" s="439"/>
      <c r="Y77" s="439"/>
    </row>
    <row r="78" spans="1:25" s="105" customFormat="1" ht="3" customHeight="1" x14ac:dyDescent="0.3">
      <c r="A78" s="365"/>
      <c r="B78" s="365"/>
      <c r="C78" s="365"/>
      <c r="D78" s="365"/>
      <c r="E78" s="373"/>
      <c r="F78" s="365"/>
      <c r="G78" s="374"/>
      <c r="H78" s="371"/>
      <c r="I78" s="365"/>
      <c r="J78" s="377"/>
      <c r="K78" s="405"/>
      <c r="L78" s="377"/>
      <c r="M78" s="404"/>
      <c r="N78" s="397"/>
      <c r="O78" s="397"/>
      <c r="T78" s="435"/>
      <c r="U78" s="435"/>
      <c r="V78" s="435"/>
      <c r="W78" s="440"/>
      <c r="X78" s="439"/>
      <c r="Y78" s="439"/>
    </row>
    <row r="79" spans="1:25" s="105" customFormat="1" ht="4.5" customHeight="1" x14ac:dyDescent="0.25">
      <c r="A79" s="406"/>
      <c r="B79" s="371"/>
      <c r="C79" s="371"/>
      <c r="D79" s="371"/>
      <c r="E79" s="371"/>
      <c r="F79" s="371"/>
      <c r="G79" s="371"/>
      <c r="H79" s="371"/>
      <c r="I79" s="371"/>
      <c r="J79" s="371"/>
      <c r="K79" s="371"/>
      <c r="L79" s="371"/>
      <c r="M79" s="371"/>
      <c r="N79" s="371"/>
      <c r="O79" s="371"/>
      <c r="T79" s="435"/>
      <c r="U79" s="435"/>
      <c r="V79" s="435"/>
      <c r="W79" s="440"/>
      <c r="X79" s="439"/>
      <c r="Y79" s="439"/>
    </row>
    <row r="80" spans="1:25" s="106" customFormat="1" ht="4.5" customHeight="1" x14ac:dyDescent="0.25">
      <c r="A80" s="365"/>
      <c r="B80" s="367"/>
      <c r="C80" s="367"/>
      <c r="D80" s="371"/>
      <c r="E80" s="376"/>
      <c r="F80" s="365"/>
      <c r="G80" s="407"/>
      <c r="H80" s="371"/>
      <c r="I80" s="372"/>
      <c r="J80" s="365"/>
      <c r="K80" s="408"/>
      <c r="L80" s="365"/>
      <c r="M80" s="373"/>
      <c r="N80" s="408"/>
      <c r="O80" s="365"/>
      <c r="T80" s="435"/>
      <c r="U80" s="435"/>
      <c r="V80" s="435"/>
      <c r="W80" s="442"/>
      <c r="X80" s="439"/>
      <c r="Y80" s="439"/>
    </row>
    <row r="81" spans="1:15" s="123" customFormat="1" ht="15" customHeight="1" x14ac:dyDescent="0.25">
      <c r="A81" s="409"/>
      <c r="B81" s="410"/>
      <c r="C81" s="410"/>
      <c r="D81" s="378"/>
      <c r="E81" s="409"/>
      <c r="F81" s="409"/>
      <c r="G81" s="409"/>
      <c r="H81" s="409"/>
      <c r="I81" s="409"/>
      <c r="J81" s="409"/>
      <c r="K81" s="409"/>
      <c r="L81" s="411"/>
      <c r="M81" s="412"/>
      <c r="N81" s="413"/>
      <c r="O81" s="385"/>
    </row>
    <row r="82" spans="1:15" s="106" customFormat="1" ht="13.5" customHeight="1" x14ac:dyDescent="0.25">
      <c r="A82" s="409" t="s">
        <v>449</v>
      </c>
      <c r="B82" s="410"/>
      <c r="C82" s="410"/>
      <c r="D82" s="379"/>
      <c r="E82" s="414"/>
      <c r="F82" s="379"/>
      <c r="G82" s="415"/>
      <c r="H82" s="379"/>
      <c r="I82" s="379"/>
      <c r="J82" s="416"/>
      <c r="K82" s="408"/>
      <c r="L82" s="365"/>
      <c r="M82" s="373"/>
      <c r="N82" s="408"/>
      <c r="O82" s="365"/>
    </row>
    <row r="83" spans="1:15" s="106" customFormat="1" ht="13.5" customHeight="1" x14ac:dyDescent="0.25">
      <c r="A83" s="365"/>
      <c r="B83" s="367"/>
      <c r="C83" s="365"/>
      <c r="D83" s="365"/>
      <c r="E83" s="380"/>
      <c r="F83" s="371"/>
      <c r="G83" s="381"/>
      <c r="H83" s="371"/>
      <c r="I83" s="371"/>
      <c r="J83" s="365"/>
      <c r="K83" s="408"/>
      <c r="L83" s="365"/>
      <c r="M83" s="373"/>
      <c r="N83" s="408"/>
      <c r="O83" s="365"/>
    </row>
    <row r="84" spans="1:15" s="106" customFormat="1" ht="3.75" customHeight="1" x14ac:dyDescent="0.25">
      <c r="A84" s="365"/>
      <c r="B84" s="417"/>
      <c r="C84" s="417"/>
      <c r="D84" s="386"/>
      <c r="E84" s="418"/>
      <c r="F84" s="386"/>
      <c r="G84" s="419"/>
      <c r="H84" s="386"/>
      <c r="I84" s="386"/>
      <c r="J84" s="386"/>
      <c r="K84" s="419"/>
      <c r="L84" s="386"/>
      <c r="M84" s="387"/>
      <c r="N84" s="419"/>
      <c r="O84" s="386"/>
    </row>
    <row r="85" spans="1:15" s="106" customFormat="1" ht="6" customHeight="1" x14ac:dyDescent="0.25">
      <c r="A85" s="365"/>
      <c r="B85" s="367"/>
      <c r="C85" s="367"/>
      <c r="D85" s="365"/>
      <c r="E85" s="373"/>
      <c r="F85" s="408"/>
      <c r="G85" s="365"/>
      <c r="H85" s="382"/>
      <c r="I85" s="372"/>
      <c r="J85" s="365"/>
      <c r="K85" s="408"/>
      <c r="L85" s="365"/>
      <c r="M85" s="373"/>
      <c r="N85" s="408"/>
      <c r="O85" s="408"/>
    </row>
    <row r="86" spans="1:15" s="106" customFormat="1" ht="15" customHeight="1" x14ac:dyDescent="0.25">
      <c r="A86" s="365"/>
      <c r="B86" s="372"/>
      <c r="C86" s="372"/>
      <c r="D86" s="372"/>
      <c r="E86" s="383" t="s">
        <v>219</v>
      </c>
      <c r="F86" s="383" t="s">
        <v>189</v>
      </c>
      <c r="G86" s="384" t="s">
        <v>220</v>
      </c>
      <c r="H86" s="382"/>
      <c r="I86" s="372"/>
      <c r="J86" s="365"/>
      <c r="K86" s="365"/>
      <c r="L86" s="365"/>
      <c r="M86" s="383" t="s">
        <v>219</v>
      </c>
      <c r="N86" s="383" t="s">
        <v>189</v>
      </c>
      <c r="O86" s="384" t="s">
        <v>220</v>
      </c>
    </row>
    <row r="87" spans="1:15" s="106" customFormat="1" ht="10.5" customHeight="1" x14ac:dyDescent="0.25">
      <c r="A87" s="365"/>
      <c r="B87" s="372"/>
      <c r="C87" s="372"/>
      <c r="D87" s="372"/>
      <c r="E87" s="383" t="s">
        <v>200</v>
      </c>
      <c r="F87" s="383" t="s">
        <v>221</v>
      </c>
      <c r="G87" s="384" t="s">
        <v>222</v>
      </c>
      <c r="H87" s="382"/>
      <c r="I87" s="372"/>
      <c r="J87" s="365"/>
      <c r="K87" s="365"/>
      <c r="L87" s="365"/>
      <c r="M87" s="383" t="s">
        <v>200</v>
      </c>
      <c r="N87" s="383" t="s">
        <v>221</v>
      </c>
      <c r="O87" s="384" t="s">
        <v>222</v>
      </c>
    </row>
    <row r="88" spans="1:15" s="106" customFormat="1" ht="10.5" customHeight="1" x14ac:dyDescent="0.25">
      <c r="A88" s="365"/>
      <c r="B88" s="372"/>
      <c r="C88" s="372"/>
      <c r="D88" s="372"/>
      <c r="E88" s="383" t="s">
        <v>223</v>
      </c>
      <c r="F88" s="383" t="s">
        <v>224</v>
      </c>
      <c r="G88" s="384" t="s">
        <v>225</v>
      </c>
      <c r="H88" s="382"/>
      <c r="I88" s="372"/>
      <c r="J88" s="365"/>
      <c r="K88" s="365"/>
      <c r="L88" s="365"/>
      <c r="M88" s="383" t="s">
        <v>223</v>
      </c>
      <c r="N88" s="383" t="s">
        <v>224</v>
      </c>
      <c r="O88" s="384" t="s">
        <v>225</v>
      </c>
    </row>
    <row r="89" spans="1:15" s="106" customFormat="1" ht="10.5" customHeight="1" x14ac:dyDescent="0.25">
      <c r="A89" s="365"/>
      <c r="B89" s="372"/>
      <c r="C89" s="372"/>
      <c r="D89" s="372"/>
      <c r="E89" s="383" t="s">
        <v>222</v>
      </c>
      <c r="F89" s="383" t="s">
        <v>222</v>
      </c>
      <c r="G89" s="384" t="s">
        <v>226</v>
      </c>
      <c r="H89" s="382"/>
      <c r="I89" s="372"/>
      <c r="J89" s="365"/>
      <c r="K89" s="365"/>
      <c r="L89" s="365"/>
      <c r="M89" s="383" t="s">
        <v>222</v>
      </c>
      <c r="N89" s="383" t="s">
        <v>222</v>
      </c>
      <c r="O89" s="384" t="s">
        <v>226</v>
      </c>
    </row>
    <row r="90" spans="1:15" s="106" customFormat="1" ht="10.5" customHeight="1" x14ac:dyDescent="0.25">
      <c r="A90" s="365"/>
      <c r="B90" s="372"/>
      <c r="C90" s="372"/>
      <c r="D90" s="372"/>
      <c r="E90" s="383"/>
      <c r="F90" s="383" t="s">
        <v>227</v>
      </c>
      <c r="G90" s="385" t="s">
        <v>228</v>
      </c>
      <c r="H90" s="382"/>
      <c r="I90" s="372"/>
      <c r="J90" s="365"/>
      <c r="K90" s="365"/>
      <c r="L90" s="365"/>
      <c r="M90" s="383"/>
      <c r="N90" s="383" t="s">
        <v>227</v>
      </c>
      <c r="O90" s="385" t="s">
        <v>228</v>
      </c>
    </row>
    <row r="91" spans="1:15" s="106" customFormat="1" ht="2.25" customHeight="1" x14ac:dyDescent="0.25">
      <c r="A91" s="365"/>
      <c r="B91" s="417"/>
      <c r="C91" s="417"/>
      <c r="D91" s="420"/>
      <c r="E91" s="418"/>
      <c r="F91" s="420"/>
      <c r="G91" s="421"/>
      <c r="H91" s="399"/>
      <c r="I91" s="420"/>
      <c r="J91" s="421"/>
      <c r="K91" s="420"/>
      <c r="L91" s="421"/>
      <c r="M91" s="418"/>
      <c r="N91" s="421"/>
      <c r="O91" s="420"/>
    </row>
    <row r="92" spans="1:15" s="106" customFormat="1" ht="3" customHeight="1" x14ac:dyDescent="0.25">
      <c r="A92" s="365"/>
      <c r="B92" s="365"/>
      <c r="C92" s="365"/>
      <c r="D92" s="365"/>
      <c r="E92" s="373"/>
      <c r="F92" s="365"/>
      <c r="G92" s="365"/>
      <c r="H92" s="390"/>
      <c r="I92" s="365"/>
      <c r="J92" s="365"/>
      <c r="K92" s="365"/>
      <c r="L92" s="365"/>
      <c r="M92" s="373"/>
      <c r="N92" s="373"/>
      <c r="O92" s="365"/>
    </row>
    <row r="93" spans="1:15" s="106" customFormat="1" ht="12.75" customHeight="1" x14ac:dyDescent="0.25">
      <c r="A93" s="365"/>
      <c r="B93" s="366" t="s">
        <v>314</v>
      </c>
      <c r="C93" s="367"/>
      <c r="D93" s="371"/>
      <c r="E93" s="393"/>
      <c r="F93" s="365"/>
      <c r="G93" s="365"/>
      <c r="H93" s="396"/>
      <c r="I93" s="365"/>
      <c r="J93" s="366" t="s">
        <v>446</v>
      </c>
      <c r="K93" s="364"/>
      <c r="L93" s="364"/>
      <c r="M93" s="391"/>
      <c r="N93" s="374"/>
      <c r="O93" s="374"/>
    </row>
    <row r="94" spans="1:15" s="106" customFormat="1" ht="12.75" customHeight="1" x14ac:dyDescent="0.25">
      <c r="A94" s="365"/>
      <c r="B94" s="365" t="s">
        <v>315</v>
      </c>
      <c r="C94" s="367"/>
      <c r="D94" s="371"/>
      <c r="E94" s="375">
        <v>0</v>
      </c>
      <c r="F94" s="392">
        <v>10</v>
      </c>
      <c r="G94" s="392">
        <v>0</v>
      </c>
      <c r="H94" s="396"/>
      <c r="I94" s="371"/>
      <c r="J94" s="364"/>
      <c r="K94" s="364"/>
      <c r="L94" s="364"/>
      <c r="M94" s="391"/>
      <c r="N94" s="364"/>
      <c r="O94" s="364"/>
    </row>
    <row r="95" spans="1:15" s="106" customFormat="1" ht="12.75" customHeight="1" x14ac:dyDescent="0.25">
      <c r="A95" s="365"/>
      <c r="B95" s="365" t="s">
        <v>316</v>
      </c>
      <c r="C95" s="367"/>
      <c r="D95" s="371"/>
      <c r="E95" s="375">
        <v>3</v>
      </c>
      <c r="F95" s="392">
        <v>930</v>
      </c>
      <c r="G95" s="392">
        <v>80</v>
      </c>
      <c r="H95" s="396"/>
      <c r="I95" s="371"/>
      <c r="J95" s="364" t="s">
        <v>317</v>
      </c>
      <c r="K95" s="364"/>
      <c r="L95" s="364"/>
      <c r="M95" s="375">
        <v>79</v>
      </c>
      <c r="N95" s="392">
        <v>22140</v>
      </c>
      <c r="O95" s="392">
        <v>11020</v>
      </c>
    </row>
    <row r="96" spans="1:15" s="106" customFormat="1" ht="12.75" customHeight="1" x14ac:dyDescent="0.25">
      <c r="A96" s="365"/>
      <c r="B96" s="365" t="s">
        <v>318</v>
      </c>
      <c r="C96" s="367"/>
      <c r="D96" s="371"/>
      <c r="E96" s="375">
        <v>5</v>
      </c>
      <c r="F96" s="392">
        <v>1480</v>
      </c>
      <c r="G96" s="392">
        <v>200</v>
      </c>
      <c r="H96" s="396"/>
      <c r="I96" s="371"/>
      <c r="J96" s="364" t="s">
        <v>319</v>
      </c>
      <c r="K96" s="406"/>
      <c r="L96" s="364"/>
      <c r="M96" s="375">
        <v>21</v>
      </c>
      <c r="N96" s="392">
        <v>5770</v>
      </c>
      <c r="O96" s="392">
        <v>3520</v>
      </c>
    </row>
    <row r="97" spans="1:15" s="106" customFormat="1" ht="12.75" customHeight="1" x14ac:dyDescent="0.25">
      <c r="A97" s="365"/>
      <c r="B97" s="365"/>
      <c r="C97" s="367"/>
      <c r="D97" s="371"/>
      <c r="E97" s="373"/>
      <c r="F97" s="374"/>
      <c r="G97" s="374"/>
      <c r="H97" s="396"/>
      <c r="I97" s="371"/>
      <c r="J97" s="364"/>
      <c r="K97" s="364"/>
      <c r="L97" s="364"/>
      <c r="M97" s="376"/>
      <c r="N97" s="407"/>
      <c r="O97" s="407"/>
    </row>
    <row r="98" spans="1:15" s="106" customFormat="1" ht="12.75" customHeight="1" x14ac:dyDescent="0.25">
      <c r="A98" s="365"/>
      <c r="B98" s="365" t="s">
        <v>320</v>
      </c>
      <c r="C98" s="367"/>
      <c r="D98" s="371"/>
      <c r="E98" s="375">
        <v>8</v>
      </c>
      <c r="F98" s="392">
        <v>2260</v>
      </c>
      <c r="G98" s="392">
        <v>330</v>
      </c>
      <c r="H98" s="396"/>
      <c r="I98" s="371"/>
      <c r="J98" s="364"/>
      <c r="K98" s="364"/>
      <c r="L98" s="364"/>
      <c r="M98" s="376"/>
      <c r="N98" s="370"/>
      <c r="O98" s="370"/>
    </row>
    <row r="99" spans="1:15" s="106" customFormat="1" ht="15" customHeight="1" x14ac:dyDescent="0.25">
      <c r="A99" s="365"/>
      <c r="B99" s="365" t="s">
        <v>321</v>
      </c>
      <c r="C99" s="367"/>
      <c r="D99" s="371"/>
      <c r="E99" s="375">
        <v>9</v>
      </c>
      <c r="F99" s="392">
        <v>2700</v>
      </c>
      <c r="G99" s="392">
        <v>370</v>
      </c>
      <c r="H99" s="396"/>
      <c r="I99" s="371"/>
      <c r="J99" s="422" t="s">
        <v>322</v>
      </c>
      <c r="K99" s="371"/>
      <c r="L99" s="372"/>
      <c r="M99" s="375" t="s">
        <v>233</v>
      </c>
      <c r="N99" s="374"/>
      <c r="O99" s="374"/>
    </row>
    <row r="100" spans="1:15" s="106" customFormat="1" ht="12.75" customHeight="1" x14ac:dyDescent="0.25">
      <c r="A100" s="365"/>
      <c r="B100" s="365" t="s">
        <v>323</v>
      </c>
      <c r="C100" s="367"/>
      <c r="D100" s="371"/>
      <c r="E100" s="375">
        <v>9</v>
      </c>
      <c r="F100" s="392">
        <v>2730</v>
      </c>
      <c r="G100" s="392">
        <v>390</v>
      </c>
      <c r="H100" s="396"/>
      <c r="I100" s="371"/>
      <c r="J100" s="365" t="s">
        <v>324</v>
      </c>
      <c r="K100" s="364"/>
      <c r="L100" s="364"/>
      <c r="M100" s="375"/>
      <c r="N100" s="365"/>
      <c r="O100" s="364"/>
    </row>
    <row r="101" spans="1:15" s="106" customFormat="1" ht="12.75" customHeight="1" x14ac:dyDescent="0.25">
      <c r="A101" s="365"/>
      <c r="B101" s="365"/>
      <c r="C101" s="367"/>
      <c r="D101" s="371"/>
      <c r="E101" s="373"/>
      <c r="F101" s="374"/>
      <c r="G101" s="374"/>
      <c r="H101" s="396"/>
      <c r="I101" s="371"/>
      <c r="J101" s="365"/>
      <c r="K101" s="367" t="s">
        <v>325</v>
      </c>
      <c r="L101" s="372"/>
      <c r="M101" s="375">
        <v>35</v>
      </c>
      <c r="N101" s="392">
        <v>10250</v>
      </c>
      <c r="O101" s="392">
        <v>1790</v>
      </c>
    </row>
    <row r="102" spans="1:15" s="106" customFormat="1" ht="12.75" customHeight="1" x14ac:dyDescent="0.25">
      <c r="A102" s="365"/>
      <c r="B102" s="365" t="s">
        <v>326</v>
      </c>
      <c r="C102" s="367"/>
      <c r="D102" s="371"/>
      <c r="E102" s="375">
        <v>8</v>
      </c>
      <c r="F102" s="392">
        <v>2400</v>
      </c>
      <c r="G102" s="392">
        <v>340</v>
      </c>
      <c r="H102" s="396"/>
      <c r="I102" s="371"/>
      <c r="J102" s="365"/>
      <c r="K102" s="365" t="s">
        <v>327</v>
      </c>
      <c r="L102" s="372"/>
      <c r="M102" s="375">
        <v>31</v>
      </c>
      <c r="N102" s="392">
        <v>8940</v>
      </c>
      <c r="O102" s="392">
        <v>1400</v>
      </c>
    </row>
    <row r="103" spans="1:15" s="106" customFormat="1" ht="12.75" customHeight="1" x14ac:dyDescent="0.25">
      <c r="A103" s="365"/>
      <c r="B103" s="365" t="s">
        <v>328</v>
      </c>
      <c r="C103" s="367"/>
      <c r="D103" s="371"/>
      <c r="E103" s="375">
        <v>10</v>
      </c>
      <c r="F103" s="392">
        <v>2920</v>
      </c>
      <c r="G103" s="392">
        <v>420</v>
      </c>
      <c r="H103" s="396"/>
      <c r="I103" s="371"/>
      <c r="J103" s="365"/>
      <c r="K103" s="365" t="s">
        <v>107</v>
      </c>
      <c r="L103" s="372"/>
      <c r="M103" s="375">
        <v>66</v>
      </c>
      <c r="N103" s="392">
        <v>19190</v>
      </c>
      <c r="O103" s="392">
        <v>3190</v>
      </c>
    </row>
    <row r="104" spans="1:15" s="106" customFormat="1" ht="12.75" customHeight="1" x14ac:dyDescent="0.25">
      <c r="A104" s="365"/>
      <c r="B104" s="365" t="s">
        <v>329</v>
      </c>
      <c r="C104" s="367"/>
      <c r="D104" s="371"/>
      <c r="E104" s="375">
        <v>9</v>
      </c>
      <c r="F104" s="392">
        <v>2680</v>
      </c>
      <c r="G104" s="392">
        <v>400</v>
      </c>
      <c r="H104" s="396"/>
      <c r="I104" s="371"/>
      <c r="J104" s="365" t="s">
        <v>330</v>
      </c>
      <c r="K104" s="364"/>
      <c r="L104" s="364"/>
      <c r="M104" s="373"/>
      <c r="N104" s="365"/>
      <c r="O104" s="365"/>
    </row>
    <row r="105" spans="1:15" s="106" customFormat="1" ht="12.75" customHeight="1" x14ac:dyDescent="0.25">
      <c r="A105" s="365"/>
      <c r="B105" s="365"/>
      <c r="C105" s="367"/>
      <c r="D105" s="371"/>
      <c r="E105" s="373"/>
      <c r="F105" s="374"/>
      <c r="G105" s="374"/>
      <c r="H105" s="396"/>
      <c r="I105" s="371"/>
      <c r="J105" s="365"/>
      <c r="K105" s="365" t="s">
        <v>331</v>
      </c>
      <c r="L105" s="372"/>
      <c r="M105" s="375">
        <v>8</v>
      </c>
      <c r="N105" s="392">
        <v>2310</v>
      </c>
      <c r="O105" s="392">
        <v>320</v>
      </c>
    </row>
    <row r="106" spans="1:15" s="106" customFormat="1" ht="12.75" customHeight="1" x14ac:dyDescent="0.25">
      <c r="A106" s="365"/>
      <c r="B106" s="365" t="s">
        <v>332</v>
      </c>
      <c r="C106" s="367"/>
      <c r="D106" s="371"/>
      <c r="E106" s="375">
        <v>9</v>
      </c>
      <c r="F106" s="392">
        <v>2560</v>
      </c>
      <c r="G106" s="392">
        <v>420</v>
      </c>
      <c r="H106" s="396"/>
      <c r="I106" s="371"/>
      <c r="J106" s="365"/>
      <c r="K106" s="395" t="s">
        <v>333</v>
      </c>
      <c r="L106" s="372"/>
      <c r="M106" s="375">
        <v>8</v>
      </c>
      <c r="N106" s="392">
        <v>2240</v>
      </c>
      <c r="O106" s="392">
        <v>290</v>
      </c>
    </row>
    <row r="107" spans="1:15" s="106" customFormat="1" ht="12.75" customHeight="1" x14ac:dyDescent="0.25">
      <c r="A107" s="365"/>
      <c r="B107" s="365" t="s">
        <v>334</v>
      </c>
      <c r="C107" s="367"/>
      <c r="D107" s="371"/>
      <c r="E107" s="375">
        <v>8</v>
      </c>
      <c r="F107" s="392">
        <v>2310</v>
      </c>
      <c r="G107" s="392">
        <v>460</v>
      </c>
      <c r="H107" s="396"/>
      <c r="I107" s="371"/>
      <c r="J107" s="365"/>
      <c r="K107" s="367" t="s">
        <v>107</v>
      </c>
      <c r="L107" s="372"/>
      <c r="M107" s="375">
        <v>16</v>
      </c>
      <c r="N107" s="392">
        <v>4560</v>
      </c>
      <c r="O107" s="392">
        <v>610</v>
      </c>
    </row>
    <row r="108" spans="1:15" s="106" customFormat="1" ht="12.75" customHeight="1" x14ac:dyDescent="0.25">
      <c r="A108" s="365"/>
      <c r="B108" s="365" t="s">
        <v>335</v>
      </c>
      <c r="C108" s="367"/>
      <c r="D108" s="371"/>
      <c r="E108" s="375">
        <v>7</v>
      </c>
      <c r="F108" s="392">
        <v>2140</v>
      </c>
      <c r="G108" s="392">
        <v>440</v>
      </c>
      <c r="H108" s="396"/>
      <c r="I108" s="371"/>
      <c r="J108" s="365" t="s">
        <v>336</v>
      </c>
      <c r="K108" s="371"/>
      <c r="L108" s="372"/>
      <c r="M108" s="375"/>
      <c r="N108" s="365"/>
      <c r="O108" s="365"/>
    </row>
    <row r="109" spans="1:15" s="106" customFormat="1" ht="12.75" customHeight="1" x14ac:dyDescent="0.25">
      <c r="A109" s="365"/>
      <c r="B109" s="365"/>
      <c r="C109" s="367"/>
      <c r="D109" s="371"/>
      <c r="E109" s="373"/>
      <c r="F109" s="374"/>
      <c r="G109" s="374"/>
      <c r="H109" s="396"/>
      <c r="I109" s="371"/>
      <c r="J109" s="365"/>
      <c r="K109" s="365" t="s">
        <v>337</v>
      </c>
      <c r="L109" s="372"/>
      <c r="M109" s="375">
        <v>1</v>
      </c>
      <c r="N109" s="392">
        <v>340</v>
      </c>
      <c r="O109" s="392">
        <v>50</v>
      </c>
    </row>
    <row r="110" spans="1:15" s="106" customFormat="1" ht="12.75" customHeight="1" x14ac:dyDescent="0.25">
      <c r="A110" s="365"/>
      <c r="B110" s="365" t="s">
        <v>338</v>
      </c>
      <c r="C110" s="367"/>
      <c r="D110" s="371"/>
      <c r="E110" s="375">
        <v>7</v>
      </c>
      <c r="F110" s="392">
        <v>2090</v>
      </c>
      <c r="G110" s="392">
        <v>310</v>
      </c>
      <c r="H110" s="396"/>
      <c r="I110" s="371"/>
      <c r="J110" s="365"/>
      <c r="K110" s="365" t="s">
        <v>339</v>
      </c>
      <c r="L110" s="372"/>
      <c r="M110" s="375">
        <v>15</v>
      </c>
      <c r="N110" s="392">
        <v>4330</v>
      </c>
      <c r="O110" s="392">
        <v>530</v>
      </c>
    </row>
    <row r="111" spans="1:15" s="106" customFormat="1" ht="12.75" customHeight="1" x14ac:dyDescent="0.25">
      <c r="A111" s="365"/>
      <c r="B111" s="365" t="s">
        <v>340</v>
      </c>
      <c r="C111" s="367"/>
      <c r="D111" s="371"/>
      <c r="E111" s="375">
        <v>4</v>
      </c>
      <c r="F111" s="392">
        <v>1290</v>
      </c>
      <c r="G111" s="392">
        <v>180</v>
      </c>
      <c r="H111" s="396"/>
      <c r="I111" s="371"/>
      <c r="J111" s="364"/>
      <c r="K111" s="395" t="s">
        <v>341</v>
      </c>
      <c r="L111" s="364"/>
      <c r="M111" s="375">
        <v>3</v>
      </c>
      <c r="N111" s="392">
        <v>880</v>
      </c>
      <c r="O111" s="392">
        <v>90</v>
      </c>
    </row>
    <row r="112" spans="1:15" s="106" customFormat="1" ht="12.75" customHeight="1" x14ac:dyDescent="0.25">
      <c r="A112" s="365"/>
      <c r="B112" s="365" t="s">
        <v>342</v>
      </c>
      <c r="C112" s="367"/>
      <c r="D112" s="371"/>
      <c r="E112" s="375">
        <v>2</v>
      </c>
      <c r="F112" s="392">
        <v>590</v>
      </c>
      <c r="G112" s="392">
        <v>90</v>
      </c>
      <c r="H112" s="396"/>
      <c r="I112" s="371"/>
      <c r="J112" s="364"/>
      <c r="K112" s="395" t="s">
        <v>107</v>
      </c>
      <c r="L112" s="364"/>
      <c r="M112" s="375">
        <v>19</v>
      </c>
      <c r="N112" s="392">
        <v>5550</v>
      </c>
      <c r="O112" s="392">
        <v>660</v>
      </c>
    </row>
    <row r="113" spans="1:15" s="106" customFormat="1" ht="12.75" customHeight="1" x14ac:dyDescent="0.25">
      <c r="A113" s="365"/>
      <c r="B113" s="395" t="s">
        <v>343</v>
      </c>
      <c r="C113" s="367"/>
      <c r="D113" s="371"/>
      <c r="E113" s="375">
        <v>1</v>
      </c>
      <c r="F113" s="392">
        <v>200</v>
      </c>
      <c r="G113" s="392">
        <v>30</v>
      </c>
      <c r="H113" s="396"/>
      <c r="I113" s="371"/>
      <c r="J113" s="364"/>
      <c r="K113" s="367"/>
      <c r="L113" s="364"/>
      <c r="M113" s="373"/>
      <c r="N113" s="374"/>
      <c r="O113" s="374"/>
    </row>
    <row r="114" spans="1:15" s="106" customFormat="1" ht="12.75" customHeight="1" x14ac:dyDescent="0.25">
      <c r="A114" s="365"/>
      <c r="B114" s="367"/>
      <c r="C114" s="367"/>
      <c r="D114" s="371"/>
      <c r="E114" s="373"/>
      <c r="F114" s="374"/>
      <c r="G114" s="374"/>
      <c r="H114" s="396"/>
      <c r="I114" s="371"/>
      <c r="J114" s="366" t="s">
        <v>344</v>
      </c>
      <c r="K114" s="371"/>
      <c r="L114" s="372"/>
      <c r="M114" s="375" t="s">
        <v>233</v>
      </c>
      <c r="N114" s="374"/>
      <c r="O114" s="374"/>
    </row>
    <row r="115" spans="1:15" s="106" customFormat="1" ht="12.75" customHeight="1" x14ac:dyDescent="0.25">
      <c r="A115" s="365"/>
      <c r="B115" s="422" t="s">
        <v>345</v>
      </c>
      <c r="C115" s="367"/>
      <c r="D115" s="371"/>
      <c r="E115" s="373"/>
      <c r="F115" s="374"/>
      <c r="G115" s="374"/>
      <c r="H115" s="396"/>
      <c r="I115" s="371"/>
      <c r="J115" s="365" t="s">
        <v>346</v>
      </c>
      <c r="K115" s="371"/>
      <c r="L115" s="372"/>
      <c r="M115" s="375">
        <v>78</v>
      </c>
      <c r="N115" s="392">
        <v>22810</v>
      </c>
      <c r="O115" s="392">
        <v>3670</v>
      </c>
    </row>
    <row r="116" spans="1:15" s="106" customFormat="1" ht="12.75" customHeight="1" x14ac:dyDescent="0.25">
      <c r="A116" s="365"/>
      <c r="B116" s="411" t="s">
        <v>445</v>
      </c>
      <c r="C116" s="372"/>
      <c r="D116" s="372"/>
      <c r="E116" s="375"/>
      <c r="F116" s="374"/>
      <c r="G116" s="372"/>
      <c r="H116" s="396"/>
      <c r="I116" s="371"/>
      <c r="J116" s="365"/>
      <c r="K116" s="365" t="s">
        <v>347</v>
      </c>
      <c r="L116" s="372"/>
      <c r="M116" s="375">
        <v>46</v>
      </c>
      <c r="N116" s="392">
        <v>13560</v>
      </c>
      <c r="O116" s="392">
        <v>2140</v>
      </c>
    </row>
    <row r="117" spans="1:15" s="106" customFormat="1" ht="12.75" customHeight="1" x14ac:dyDescent="0.25">
      <c r="A117" s="365"/>
      <c r="B117" s="365" t="s">
        <v>348</v>
      </c>
      <c r="C117" s="371"/>
      <c r="D117" s="372"/>
      <c r="E117" s="375">
        <v>100</v>
      </c>
      <c r="F117" s="392">
        <v>28660</v>
      </c>
      <c r="G117" s="392">
        <v>15490</v>
      </c>
      <c r="H117" s="396"/>
      <c r="I117" s="371"/>
      <c r="J117" s="365"/>
      <c r="K117" s="365" t="s">
        <v>349</v>
      </c>
      <c r="L117" s="372"/>
      <c r="M117" s="375">
        <v>25</v>
      </c>
      <c r="N117" s="392">
        <v>7380</v>
      </c>
      <c r="O117" s="392">
        <v>1240</v>
      </c>
    </row>
    <row r="118" spans="1:15" s="106" customFormat="1" ht="12.75" customHeight="1" x14ac:dyDescent="0.25">
      <c r="A118" s="365"/>
      <c r="B118" s="365" t="s">
        <v>350</v>
      </c>
      <c r="C118" s="371"/>
      <c r="D118" s="372"/>
      <c r="E118" s="375">
        <v>84</v>
      </c>
      <c r="F118" s="392">
        <v>23990</v>
      </c>
      <c r="G118" s="392">
        <v>11730</v>
      </c>
      <c r="H118" s="396"/>
      <c r="I118" s="371"/>
      <c r="J118" s="365"/>
      <c r="K118" s="365" t="s">
        <v>351</v>
      </c>
      <c r="L118" s="372"/>
      <c r="M118" s="375">
        <v>6</v>
      </c>
      <c r="N118" s="392">
        <v>1860</v>
      </c>
      <c r="O118" s="392">
        <v>300</v>
      </c>
    </row>
    <row r="119" spans="1:15" s="106" customFormat="1" ht="12.75" customHeight="1" x14ac:dyDescent="0.25">
      <c r="A119" s="365"/>
      <c r="B119" s="395" t="s">
        <v>127</v>
      </c>
      <c r="C119" s="365"/>
      <c r="D119" s="372"/>
      <c r="E119" s="375">
        <v>4</v>
      </c>
      <c r="F119" s="392">
        <v>1210</v>
      </c>
      <c r="G119" s="392">
        <v>690</v>
      </c>
      <c r="H119" s="396"/>
      <c r="I119" s="371"/>
      <c r="J119" s="365"/>
      <c r="K119" s="371"/>
      <c r="L119" s="372"/>
      <c r="M119" s="375" t="s">
        <v>233</v>
      </c>
      <c r="N119" s="374"/>
      <c r="O119" s="374"/>
    </row>
    <row r="120" spans="1:15" s="106" customFormat="1" ht="12.75" customHeight="1" x14ac:dyDescent="0.25">
      <c r="A120" s="365"/>
      <c r="B120" s="395" t="s">
        <v>128</v>
      </c>
      <c r="C120" s="364"/>
      <c r="D120" s="364"/>
      <c r="E120" s="375">
        <v>11</v>
      </c>
      <c r="F120" s="392">
        <v>3130</v>
      </c>
      <c r="G120" s="392">
        <v>1510</v>
      </c>
      <c r="H120" s="396"/>
      <c r="I120" s="371"/>
      <c r="J120" s="365" t="s">
        <v>352</v>
      </c>
      <c r="K120" s="371"/>
      <c r="L120" s="372"/>
      <c r="M120" s="375">
        <v>96</v>
      </c>
      <c r="N120" s="392">
        <v>28080</v>
      </c>
      <c r="O120" s="392">
        <v>4310</v>
      </c>
    </row>
    <row r="121" spans="1:15" s="106" customFormat="1" ht="12.75" customHeight="1" x14ac:dyDescent="0.25">
      <c r="A121" s="365"/>
      <c r="B121" s="395" t="s">
        <v>353</v>
      </c>
      <c r="C121" s="365"/>
      <c r="D121" s="372"/>
      <c r="E121" s="375">
        <v>9</v>
      </c>
      <c r="F121" s="392">
        <v>2460</v>
      </c>
      <c r="G121" s="392">
        <v>1290</v>
      </c>
      <c r="H121" s="396"/>
      <c r="I121" s="371"/>
      <c r="J121" s="365"/>
      <c r="K121" s="371"/>
      <c r="L121" s="372"/>
      <c r="M121" s="375"/>
      <c r="N121" s="392"/>
      <c r="O121" s="392"/>
    </row>
    <row r="122" spans="1:15" s="106" customFormat="1" ht="12.75" customHeight="1" x14ac:dyDescent="0.25">
      <c r="A122" s="365"/>
      <c r="B122" s="365" t="s">
        <v>130</v>
      </c>
      <c r="C122" s="365"/>
      <c r="D122" s="372"/>
      <c r="E122" s="375">
        <v>7</v>
      </c>
      <c r="F122" s="392">
        <v>2100</v>
      </c>
      <c r="G122" s="392">
        <v>1170</v>
      </c>
      <c r="H122" s="396"/>
      <c r="I122" s="371"/>
      <c r="J122" s="485" t="s">
        <v>355</v>
      </c>
      <c r="K122" s="371"/>
      <c r="L122" s="372"/>
      <c r="M122" s="375">
        <v>89</v>
      </c>
      <c r="N122" s="392">
        <v>26070</v>
      </c>
      <c r="O122" s="392">
        <v>4040</v>
      </c>
    </row>
    <row r="123" spans="1:15" s="106" customFormat="1" ht="12.75" customHeight="1" x14ac:dyDescent="0.25">
      <c r="A123" s="365"/>
      <c r="B123" s="365" t="s">
        <v>131</v>
      </c>
      <c r="C123" s="365"/>
      <c r="D123" s="372"/>
      <c r="E123" s="375">
        <v>9</v>
      </c>
      <c r="F123" s="392">
        <v>2460</v>
      </c>
      <c r="G123" s="392">
        <v>1240</v>
      </c>
      <c r="H123" s="396"/>
      <c r="I123" s="371"/>
      <c r="J123" s="485" t="s">
        <v>357</v>
      </c>
      <c r="K123" s="371"/>
      <c r="L123" s="372"/>
      <c r="M123" s="373">
        <v>100</v>
      </c>
      <c r="N123" s="365">
        <v>29290</v>
      </c>
      <c r="O123" s="365">
        <v>4460</v>
      </c>
    </row>
    <row r="124" spans="1:15" s="106" customFormat="1" ht="12.75" customHeight="1" x14ac:dyDescent="0.25">
      <c r="A124" s="365"/>
      <c r="B124" s="395" t="s">
        <v>354</v>
      </c>
      <c r="C124" s="365"/>
      <c r="D124" s="372"/>
      <c r="E124" s="375">
        <v>9</v>
      </c>
      <c r="F124" s="392">
        <v>2670</v>
      </c>
      <c r="G124" s="392">
        <v>1350</v>
      </c>
      <c r="H124" s="396"/>
      <c r="I124" s="371"/>
      <c r="J124" s="485" t="s">
        <v>358</v>
      </c>
      <c r="K124" s="371"/>
      <c r="L124" s="372"/>
      <c r="M124" s="375">
        <v>91</v>
      </c>
      <c r="N124" s="392">
        <v>26640</v>
      </c>
      <c r="O124" s="392">
        <v>4060</v>
      </c>
    </row>
    <row r="125" spans="1:15" s="106" customFormat="1" ht="12.75" customHeight="1" x14ac:dyDescent="0.25">
      <c r="A125" s="365"/>
      <c r="B125" s="365" t="s">
        <v>133</v>
      </c>
      <c r="C125" s="365"/>
      <c r="D125" s="372"/>
      <c r="E125" s="375">
        <v>13</v>
      </c>
      <c r="F125" s="392">
        <v>3600</v>
      </c>
      <c r="G125" s="392">
        <v>1170</v>
      </c>
      <c r="H125" s="396"/>
      <c r="I125" s="371"/>
      <c r="J125" s="485" t="s">
        <v>359</v>
      </c>
      <c r="K125" s="364"/>
      <c r="L125" s="364"/>
      <c r="M125" s="375">
        <v>97</v>
      </c>
      <c r="N125" s="392">
        <v>28360</v>
      </c>
      <c r="O125" s="392">
        <v>4310</v>
      </c>
    </row>
    <row r="126" spans="1:15" s="106" customFormat="1" ht="12.75" customHeight="1" x14ac:dyDescent="0.25">
      <c r="A126" s="365"/>
      <c r="B126" s="395" t="s">
        <v>356</v>
      </c>
      <c r="C126" s="443"/>
      <c r="D126" s="365"/>
      <c r="E126" s="375">
        <v>14</v>
      </c>
      <c r="F126" s="392">
        <v>3880</v>
      </c>
      <c r="G126" s="392">
        <v>1780</v>
      </c>
      <c r="H126" s="396"/>
      <c r="I126" s="371"/>
      <c r="J126" s="365"/>
      <c r="K126" s="371"/>
      <c r="L126" s="372"/>
      <c r="M126" s="375"/>
      <c r="N126" s="392"/>
      <c r="O126" s="392"/>
    </row>
    <row r="127" spans="1:15" s="106" customFormat="1" ht="12.75" customHeight="1" x14ac:dyDescent="0.25">
      <c r="A127" s="365"/>
      <c r="B127" s="367" t="s">
        <v>135</v>
      </c>
      <c r="C127" s="443"/>
      <c r="D127" s="365"/>
      <c r="E127" s="375">
        <v>9</v>
      </c>
      <c r="F127" s="392">
        <v>2480</v>
      </c>
      <c r="G127" s="392">
        <v>1560</v>
      </c>
      <c r="H127" s="396"/>
      <c r="I127" s="371"/>
      <c r="J127" s="365"/>
      <c r="K127" s="364"/>
      <c r="L127" s="364"/>
      <c r="M127" s="375"/>
      <c r="N127" s="392"/>
      <c r="O127" s="392"/>
    </row>
    <row r="128" spans="1:15" s="106" customFormat="1" ht="12.75" customHeight="1" x14ac:dyDescent="0.25">
      <c r="A128" s="365"/>
      <c r="B128" s="365" t="s">
        <v>136</v>
      </c>
      <c r="C128" s="371"/>
      <c r="D128" s="372"/>
      <c r="E128" s="375">
        <v>5</v>
      </c>
      <c r="F128" s="392">
        <v>1370</v>
      </c>
      <c r="G128" s="392">
        <v>630</v>
      </c>
      <c r="H128" s="396"/>
      <c r="I128" s="371"/>
      <c r="J128" s="371"/>
      <c r="K128" s="365"/>
      <c r="L128" s="365"/>
      <c r="M128" s="373"/>
      <c r="N128" s="374"/>
      <c r="O128" s="374"/>
    </row>
    <row r="129" spans="1:17" s="106" customFormat="1" ht="12.75" customHeight="1" x14ac:dyDescent="0.25">
      <c r="A129" s="365"/>
      <c r="B129" s="365" t="s">
        <v>137</v>
      </c>
      <c r="C129" s="371"/>
      <c r="D129" s="372"/>
      <c r="E129" s="375">
        <v>9</v>
      </c>
      <c r="F129" s="392">
        <v>2550</v>
      </c>
      <c r="G129" s="392">
        <v>2170</v>
      </c>
      <c r="H129" s="396"/>
      <c r="I129" s="371"/>
      <c r="J129" s="371"/>
      <c r="K129" s="372"/>
      <c r="L129" s="371"/>
      <c r="M129" s="407"/>
      <c r="N129" s="374"/>
      <c r="O129" s="374"/>
    </row>
    <row r="130" spans="1:17" s="106" customFormat="1" ht="12.75" customHeight="1" x14ac:dyDescent="0.25">
      <c r="A130" s="365"/>
      <c r="B130" s="365" t="s">
        <v>138</v>
      </c>
      <c r="C130" s="371"/>
      <c r="D130" s="372"/>
      <c r="E130" s="375">
        <v>3</v>
      </c>
      <c r="F130" s="392">
        <v>750</v>
      </c>
      <c r="G130" s="392">
        <v>960</v>
      </c>
      <c r="H130" s="396"/>
      <c r="I130" s="371"/>
      <c r="J130" s="371"/>
      <c r="K130" s="372"/>
      <c r="L130" s="371"/>
      <c r="M130" s="375"/>
      <c r="N130" s="365"/>
      <c r="O130" s="374"/>
    </row>
    <row r="131" spans="1:17" s="106" customFormat="1" ht="12.75" customHeight="1" x14ac:dyDescent="0.25">
      <c r="A131" s="365"/>
      <c r="B131" s="365"/>
      <c r="C131" s="365"/>
      <c r="D131" s="365"/>
      <c r="E131" s="373"/>
      <c r="F131" s="365"/>
      <c r="G131" s="374"/>
      <c r="H131" s="396"/>
      <c r="I131" s="371"/>
      <c r="J131" s="364"/>
      <c r="K131" s="364"/>
      <c r="L131" s="364"/>
      <c r="M131" s="364"/>
      <c r="N131" s="364"/>
      <c r="O131" s="364"/>
    </row>
    <row r="132" spans="1:17" s="106" customFormat="1" ht="12.75" customHeight="1" x14ac:dyDescent="0.25">
      <c r="A132" s="365"/>
      <c r="B132" s="366" t="s">
        <v>360</v>
      </c>
      <c r="C132" s="367"/>
      <c r="D132" s="371"/>
      <c r="E132" s="375"/>
      <c r="F132" s="371"/>
      <c r="G132" s="394"/>
      <c r="H132" s="396"/>
      <c r="I132" s="371"/>
      <c r="J132" s="371"/>
      <c r="K132" s="372"/>
      <c r="L132" s="371"/>
      <c r="M132" s="375"/>
      <c r="N132" s="365"/>
      <c r="O132" s="374"/>
    </row>
    <row r="133" spans="1:17" s="106" customFormat="1" ht="12.75" customHeight="1" x14ac:dyDescent="0.25">
      <c r="A133" s="365"/>
      <c r="B133" s="411" t="s">
        <v>361</v>
      </c>
      <c r="C133" s="367"/>
      <c r="D133" s="371"/>
      <c r="E133" s="375"/>
      <c r="F133" s="371"/>
      <c r="G133" s="394"/>
      <c r="H133" s="396"/>
      <c r="I133" s="371"/>
      <c r="J133" s="371"/>
      <c r="K133" s="372"/>
      <c r="L133" s="371"/>
      <c r="M133" s="375"/>
      <c r="N133" s="365"/>
      <c r="O133" s="374"/>
    </row>
    <row r="134" spans="1:17" s="106" customFormat="1" ht="12.75" customHeight="1" x14ac:dyDescent="0.25">
      <c r="A134" s="365"/>
      <c r="B134" s="367" t="s">
        <v>360</v>
      </c>
      <c r="C134" s="367"/>
      <c r="D134" s="371"/>
      <c r="E134" s="532"/>
      <c r="F134" s="392"/>
      <c r="G134" s="392"/>
      <c r="H134" s="396"/>
      <c r="I134" s="371"/>
      <c r="J134" s="371"/>
      <c r="K134" s="372"/>
      <c r="L134" s="371"/>
      <c r="M134" s="375"/>
      <c r="N134" s="365"/>
      <c r="O134" s="374"/>
    </row>
    <row r="135" spans="1:17" s="106" customFormat="1" ht="12.75" customHeight="1" x14ac:dyDescent="0.25">
      <c r="A135" s="365"/>
      <c r="B135" s="365" t="s">
        <v>361</v>
      </c>
      <c r="C135" s="365"/>
      <c r="D135" s="365"/>
      <c r="E135" s="375">
        <v>100</v>
      </c>
      <c r="F135" s="392">
        <v>29290</v>
      </c>
      <c r="G135" s="392">
        <v>4460</v>
      </c>
      <c r="H135" s="396"/>
      <c r="I135" s="371"/>
      <c r="J135" s="371"/>
      <c r="K135" s="372"/>
      <c r="L135" s="371"/>
      <c r="M135" s="375"/>
      <c r="N135" s="365"/>
      <c r="O135" s="374"/>
    </row>
    <row r="136" spans="1:17" ht="12.75" customHeight="1" x14ac:dyDescent="0.25">
      <c r="A136" s="365"/>
      <c r="B136" s="365" t="s">
        <v>362</v>
      </c>
      <c r="C136" s="365"/>
      <c r="D136" s="365"/>
      <c r="E136" s="375">
        <v>18</v>
      </c>
      <c r="F136" s="392">
        <v>5200</v>
      </c>
      <c r="G136" s="392">
        <v>740</v>
      </c>
      <c r="H136" s="396"/>
      <c r="I136" s="371"/>
      <c r="J136" s="365"/>
      <c r="K136" s="365"/>
      <c r="L136" s="365"/>
      <c r="M136" s="393"/>
      <c r="N136" s="374"/>
      <c r="O136" s="374"/>
      <c r="P136" s="106"/>
      <c r="Q136" s="106"/>
    </row>
    <row r="137" spans="1:17" ht="12.75" customHeight="1" x14ac:dyDescent="0.25">
      <c r="A137" s="365"/>
      <c r="B137" s="365"/>
      <c r="C137" s="365" t="s">
        <v>363</v>
      </c>
      <c r="D137" s="365"/>
      <c r="E137" s="375">
        <v>4</v>
      </c>
      <c r="F137" s="392">
        <v>1250</v>
      </c>
      <c r="G137" s="392">
        <v>200</v>
      </c>
      <c r="H137" s="396"/>
      <c r="I137" s="371"/>
      <c r="J137" s="365"/>
      <c r="K137" s="365"/>
      <c r="L137" s="365"/>
      <c r="M137" s="393"/>
      <c r="N137" s="374"/>
      <c r="O137" s="374"/>
      <c r="P137" s="106"/>
      <c r="Q137" s="106"/>
    </row>
    <row r="138" spans="1:17" ht="12.75" customHeight="1" x14ac:dyDescent="0.25">
      <c r="A138" s="365"/>
      <c r="B138" s="365"/>
      <c r="C138" s="365" t="s">
        <v>364</v>
      </c>
      <c r="D138" s="365"/>
      <c r="E138" s="375">
        <v>13</v>
      </c>
      <c r="F138" s="392">
        <v>3950</v>
      </c>
      <c r="G138" s="392">
        <v>540</v>
      </c>
      <c r="H138" s="396"/>
      <c r="I138" s="371"/>
      <c r="J138" s="365"/>
      <c r="K138" s="365"/>
      <c r="L138" s="365"/>
      <c r="M138" s="393"/>
      <c r="N138" s="374"/>
      <c r="O138" s="374"/>
      <c r="P138" s="106"/>
      <c r="Q138" s="106"/>
    </row>
    <row r="139" spans="1:17" ht="12.75" customHeight="1" x14ac:dyDescent="0.25">
      <c r="A139" s="365"/>
      <c r="B139" s="365" t="s">
        <v>365</v>
      </c>
      <c r="C139" s="365"/>
      <c r="D139" s="365"/>
      <c r="E139" s="375">
        <v>21</v>
      </c>
      <c r="F139" s="392">
        <v>6160</v>
      </c>
      <c r="G139" s="392">
        <v>930</v>
      </c>
      <c r="H139" s="396"/>
      <c r="I139" s="371"/>
      <c r="J139" s="365"/>
      <c r="K139" s="365"/>
      <c r="L139" s="365"/>
      <c r="M139" s="393"/>
      <c r="N139" s="374"/>
      <c r="O139" s="374"/>
      <c r="P139" s="106"/>
      <c r="Q139" s="106"/>
    </row>
    <row r="140" spans="1:17" ht="12.75" customHeight="1" x14ac:dyDescent="0.25">
      <c r="A140" s="365"/>
      <c r="B140" s="365" t="s">
        <v>366</v>
      </c>
      <c r="C140" s="365"/>
      <c r="D140" s="365"/>
      <c r="E140" s="375">
        <v>7</v>
      </c>
      <c r="F140" s="392">
        <v>2130</v>
      </c>
      <c r="G140" s="392">
        <v>350</v>
      </c>
      <c r="H140" s="396"/>
      <c r="I140" s="371"/>
      <c r="J140" s="489"/>
      <c r="K140" s="489"/>
      <c r="L140" s="489"/>
      <c r="M140" s="393"/>
      <c r="N140" s="374"/>
      <c r="O140" s="374"/>
      <c r="P140" s="106"/>
      <c r="Q140" s="106"/>
    </row>
    <row r="141" spans="1:17" ht="12.75" customHeight="1" x14ac:dyDescent="0.25">
      <c r="A141" s="365"/>
      <c r="B141" s="365" t="s">
        <v>367</v>
      </c>
      <c r="C141" s="365"/>
      <c r="D141" s="365"/>
      <c r="E141" s="375">
        <v>6</v>
      </c>
      <c r="F141" s="392">
        <v>1890</v>
      </c>
      <c r="G141" s="392">
        <v>250</v>
      </c>
      <c r="H141" s="396"/>
      <c r="I141" s="371"/>
      <c r="J141" s="365"/>
      <c r="K141" s="365"/>
      <c r="L141" s="365"/>
      <c r="M141" s="393"/>
      <c r="N141" s="374"/>
      <c r="O141" s="374"/>
      <c r="P141" s="106"/>
      <c r="Q141" s="106"/>
    </row>
    <row r="142" spans="1:17" ht="12.75" customHeight="1" x14ac:dyDescent="0.25">
      <c r="A142" s="365"/>
      <c r="B142" s="365" t="s">
        <v>368</v>
      </c>
      <c r="C142" s="365"/>
      <c r="D142" s="365"/>
      <c r="E142" s="375">
        <v>4</v>
      </c>
      <c r="F142" s="392">
        <v>1200</v>
      </c>
      <c r="G142" s="392">
        <v>170</v>
      </c>
      <c r="H142" s="396"/>
      <c r="I142" s="371"/>
      <c r="J142" s="365"/>
      <c r="K142" s="365"/>
      <c r="L142" s="365"/>
      <c r="M142" s="393"/>
      <c r="N142" s="374"/>
      <c r="O142" s="374"/>
      <c r="P142" s="106"/>
      <c r="Q142" s="106"/>
    </row>
    <row r="143" spans="1:17" ht="15" customHeight="1" x14ac:dyDescent="0.25">
      <c r="A143" s="365"/>
      <c r="B143" s="365" t="s">
        <v>369</v>
      </c>
      <c r="C143" s="365"/>
      <c r="D143" s="365"/>
      <c r="E143" s="375">
        <v>6</v>
      </c>
      <c r="F143" s="392">
        <v>1650</v>
      </c>
      <c r="G143" s="392">
        <v>250</v>
      </c>
      <c r="H143" s="396"/>
      <c r="I143" s="371"/>
      <c r="J143" s="386"/>
      <c r="K143" s="386"/>
      <c r="L143" s="386"/>
      <c r="M143" s="398"/>
      <c r="N143" s="423"/>
      <c r="O143" s="424"/>
      <c r="P143" s="106"/>
      <c r="Q143" s="106"/>
    </row>
    <row r="144" spans="1:17" ht="12.75" customHeight="1" x14ac:dyDescent="0.25">
      <c r="A144" s="365"/>
      <c r="B144" s="365" t="s">
        <v>370</v>
      </c>
      <c r="C144" s="365"/>
      <c r="D144" s="365"/>
      <c r="E144" s="375">
        <v>7</v>
      </c>
      <c r="F144" s="392">
        <v>1940</v>
      </c>
      <c r="G144" s="392">
        <v>270</v>
      </c>
      <c r="H144" s="396"/>
      <c r="I144" s="371"/>
      <c r="J144" s="365"/>
      <c r="K144" s="365"/>
      <c r="L144" s="365"/>
      <c r="M144" s="393"/>
      <c r="N144" s="425"/>
      <c r="O144" s="394"/>
      <c r="P144" s="106"/>
      <c r="Q144" s="106"/>
    </row>
    <row r="145" spans="1:17" ht="15" customHeight="1" x14ac:dyDescent="0.25">
      <c r="A145" s="365"/>
      <c r="B145" s="365" t="s">
        <v>371</v>
      </c>
      <c r="C145" s="365"/>
      <c r="D145" s="365"/>
      <c r="E145" s="375">
        <v>1</v>
      </c>
      <c r="F145" s="392">
        <v>320</v>
      </c>
      <c r="G145" s="392">
        <v>50</v>
      </c>
      <c r="H145" s="464"/>
      <c r="I145" s="371"/>
      <c r="J145" s="365"/>
      <c r="K145" s="365"/>
      <c r="L145" s="365"/>
      <c r="M145" s="365"/>
      <c r="N145" s="365"/>
      <c r="O145" s="365"/>
      <c r="P145" s="106"/>
      <c r="Q145" s="106"/>
    </row>
    <row r="146" spans="1:17" ht="13.2" x14ac:dyDescent="0.25">
      <c r="A146" s="365"/>
      <c r="B146" s="367" t="s">
        <v>372</v>
      </c>
      <c r="C146" s="367"/>
      <c r="D146" s="371"/>
      <c r="E146" s="375">
        <v>2</v>
      </c>
      <c r="F146" s="392">
        <v>540</v>
      </c>
      <c r="G146" s="394">
        <v>60</v>
      </c>
      <c r="H146" s="464"/>
      <c r="I146" s="371"/>
      <c r="J146" s="365"/>
      <c r="K146" s="365"/>
      <c r="L146" s="365"/>
      <c r="M146" s="393"/>
      <c r="N146" s="425"/>
      <c r="O146" s="394"/>
      <c r="P146" s="106"/>
      <c r="Q146" s="106"/>
    </row>
    <row r="147" spans="1:17" ht="14.4" customHeight="1" x14ac:dyDescent="0.25">
      <c r="A147" s="460"/>
      <c r="B147" s="461" t="s">
        <v>373</v>
      </c>
      <c r="C147" s="461"/>
      <c r="D147" s="461"/>
      <c r="E147" s="462">
        <v>28</v>
      </c>
      <c r="F147" s="463">
        <v>8260</v>
      </c>
      <c r="G147" s="463">
        <v>1400</v>
      </c>
      <c r="H147" s="465"/>
      <c r="I147" s="371"/>
      <c r="J147" s="372"/>
      <c r="K147" s="371"/>
      <c r="L147" s="373"/>
      <c r="M147" s="425"/>
      <c r="N147" s="365"/>
      <c r="O147" s="365"/>
      <c r="P147" s="106"/>
      <c r="Q147" s="106"/>
    </row>
    <row r="148" spans="1:17" ht="12.75" customHeight="1" x14ac:dyDescent="0.25">
      <c r="A148" s="365" t="s">
        <v>374</v>
      </c>
      <c r="B148" s="365"/>
      <c r="C148" s="365"/>
      <c r="D148" s="365"/>
      <c r="E148" s="365"/>
      <c r="F148" s="365"/>
      <c r="G148" s="365"/>
      <c r="H148" s="365"/>
      <c r="I148" s="365"/>
      <c r="J148" s="365"/>
      <c r="K148" s="365"/>
      <c r="L148" s="376"/>
      <c r="M148" s="425"/>
      <c r="N148" s="364"/>
      <c r="O148" s="365"/>
      <c r="P148" s="106"/>
      <c r="Q148" s="106"/>
    </row>
    <row r="149" spans="1:17" ht="12.75" customHeight="1" x14ac:dyDescent="0.25">
      <c r="A149" s="365" t="s">
        <v>311</v>
      </c>
      <c r="B149" s="365"/>
      <c r="C149" s="365"/>
      <c r="D149" s="365"/>
      <c r="E149" s="425"/>
      <c r="F149" s="425"/>
      <c r="G149" s="425"/>
      <c r="H149" s="371"/>
      <c r="I149" s="371"/>
      <c r="J149" s="364"/>
      <c r="K149" s="364"/>
      <c r="L149" s="364"/>
      <c r="M149" s="376"/>
      <c r="N149" s="365"/>
      <c r="O149" s="374"/>
      <c r="P149" s="106"/>
      <c r="Q149" s="106"/>
    </row>
    <row r="150" spans="1:17" ht="12.75" customHeight="1" x14ac:dyDescent="0.25">
      <c r="A150" s="367" t="s">
        <v>312</v>
      </c>
      <c r="B150" s="364"/>
      <c r="C150" s="365"/>
      <c r="D150" s="365"/>
      <c r="E150" s="365"/>
      <c r="F150" s="365"/>
      <c r="G150" s="371"/>
      <c r="H150" s="372"/>
      <c r="I150" s="371"/>
      <c r="J150" s="364"/>
      <c r="K150" s="364"/>
      <c r="L150" s="364"/>
      <c r="M150" s="376"/>
      <c r="N150" s="425"/>
      <c r="O150" s="364"/>
      <c r="P150" s="106"/>
      <c r="Q150" s="106"/>
    </row>
    <row r="151" spans="1:17" ht="12.75" customHeight="1" x14ac:dyDescent="0.25">
      <c r="A151" s="365" t="s">
        <v>313</v>
      </c>
      <c r="B151" s="377"/>
      <c r="C151" s="365"/>
      <c r="D151" s="365"/>
      <c r="E151" s="425"/>
      <c r="F151" s="365"/>
      <c r="G151" s="371"/>
      <c r="H151" s="371"/>
      <c r="I151" s="365"/>
      <c r="J151" s="364"/>
      <c r="K151" s="364"/>
      <c r="L151" s="364"/>
      <c r="M151" s="376"/>
      <c r="N151" s="425"/>
      <c r="O151" s="364"/>
      <c r="P151" s="106"/>
      <c r="Q151" s="106"/>
    </row>
    <row r="152" spans="1:17" ht="12.75" customHeight="1" x14ac:dyDescent="0.25">
      <c r="A152" s="365" t="s">
        <v>375</v>
      </c>
      <c r="B152" s="365"/>
      <c r="C152" s="364"/>
      <c r="D152" s="364"/>
      <c r="E152" s="376"/>
      <c r="F152" s="425"/>
      <c r="G152" s="364"/>
      <c r="H152" s="371"/>
      <c r="I152" s="371"/>
      <c r="J152" s="364"/>
      <c r="K152" s="364"/>
      <c r="L152" s="364"/>
      <c r="M152" s="376"/>
      <c r="N152" s="425"/>
      <c r="O152" s="364"/>
      <c r="P152" s="106"/>
      <c r="Q152" s="106"/>
    </row>
    <row r="153" spans="1:17" ht="12.75" customHeight="1" x14ac:dyDescent="0.25">
      <c r="A153" s="365" t="s">
        <v>376</v>
      </c>
      <c r="B153" s="364"/>
      <c r="C153" s="364"/>
      <c r="D153" s="364"/>
      <c r="E153" s="376"/>
      <c r="F153" s="425"/>
      <c r="G153" s="364"/>
      <c r="H153" s="371"/>
      <c r="I153" s="371"/>
      <c r="J153" s="364"/>
      <c r="K153" s="364"/>
      <c r="L153" s="364"/>
      <c r="M153" s="376"/>
      <c r="N153" s="425"/>
      <c r="O153" s="364"/>
      <c r="P153" s="105"/>
    </row>
    <row r="154" spans="1:17" ht="12.75" customHeight="1" x14ac:dyDescent="0.25">
      <c r="A154" s="365" t="s">
        <v>444</v>
      </c>
      <c r="B154" s="364"/>
      <c r="C154" s="364"/>
      <c r="D154" s="364"/>
      <c r="E154" s="376"/>
      <c r="F154" s="425"/>
      <c r="G154" s="364"/>
      <c r="H154" s="371"/>
      <c r="I154" s="371"/>
      <c r="J154" s="364"/>
      <c r="K154" s="364"/>
      <c r="L154" s="364"/>
      <c r="M154" s="376"/>
      <c r="N154" s="425"/>
      <c r="O154" s="364"/>
      <c r="P154" s="105"/>
    </row>
    <row r="156" spans="1:17" ht="10.5" customHeight="1" x14ac:dyDescent="0.3"/>
    <row r="159" spans="1:17" ht="3" customHeight="1" x14ac:dyDescent="0.3"/>
    <row r="160" spans="1:17" ht="3" customHeight="1" x14ac:dyDescent="0.3"/>
  </sheetData>
  <mergeCells count="1">
    <mergeCell ref="A74:M74"/>
  </mergeCells>
  <hyperlinks>
    <hyperlink ref="Q1" location="Index!A1" display="Return to index" xr:uid="{00000000-0004-0000-0F00-000000000000}"/>
  </hyperlinks>
  <pageMargins left="0.59055118110236227" right="0.59055118110236227" top="0.35433070866141736" bottom="0" header="0.51181102362204722" footer="0.51181102362204722"/>
  <pageSetup paperSize="9" scale="90" fitToHeight="3" pageOrder="overThenDown"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dimension ref="A1:U334"/>
  <sheetViews>
    <sheetView showGridLines="0" zoomScale="90" zoomScaleNormal="90" workbookViewId="0">
      <selection activeCell="V17" sqref="V17"/>
    </sheetView>
  </sheetViews>
  <sheetFormatPr defaultColWidth="9.88671875" defaultRowHeight="11.1" customHeight="1" x14ac:dyDescent="0.3"/>
  <cols>
    <col min="1" max="1" width="2.5546875" style="104" customWidth="1"/>
    <col min="2" max="2" width="7.5546875" style="104" customWidth="1"/>
    <col min="3" max="3" width="19" style="104" customWidth="1"/>
    <col min="4" max="7" width="12.5546875" style="98" customWidth="1"/>
    <col min="8" max="8" width="1.109375" style="98" customWidth="1"/>
    <col min="9" max="12" width="12.5546875" style="150" customWidth="1"/>
    <col min="13" max="13" width="1.109375" style="150" customWidth="1"/>
    <col min="14" max="14" width="15.44140625" style="150" customWidth="1"/>
    <col min="15" max="16" width="12.5546875" style="150" customWidth="1"/>
    <col min="17" max="17" width="6.44140625" style="98" customWidth="1"/>
    <col min="18" max="18" width="8.44140625" style="98" customWidth="1"/>
    <col min="19" max="16384" width="9.88671875" style="98"/>
  </cols>
  <sheetData>
    <row r="1" spans="1:21" s="133" customFormat="1" ht="18" customHeight="1" x14ac:dyDescent="0.25">
      <c r="A1" s="29" t="s">
        <v>377</v>
      </c>
      <c r="B1" s="136"/>
      <c r="D1" s="137"/>
      <c r="E1" s="137"/>
      <c r="F1" s="137"/>
      <c r="G1" s="122"/>
      <c r="H1" s="122"/>
      <c r="I1" s="138"/>
      <c r="J1" s="138"/>
      <c r="K1" s="138"/>
      <c r="L1" s="138"/>
      <c r="M1" s="139"/>
      <c r="N1" s="138"/>
      <c r="O1" s="138"/>
      <c r="P1" s="140"/>
      <c r="R1" s="352" t="s">
        <v>23</v>
      </c>
    </row>
    <row r="2" spans="1:21" s="118" customFormat="1" ht="13.5" customHeight="1" x14ac:dyDescent="0.25">
      <c r="A2" s="488" t="s">
        <v>438</v>
      </c>
      <c r="B2" s="136"/>
      <c r="C2" s="121"/>
      <c r="D2" s="141"/>
      <c r="E2" s="119"/>
      <c r="F2" s="119"/>
      <c r="G2" s="141"/>
      <c r="H2" s="141"/>
      <c r="I2" s="142"/>
      <c r="J2" s="142"/>
      <c r="K2" s="138"/>
      <c r="L2" s="142"/>
      <c r="M2" s="143"/>
      <c r="N2" s="142"/>
      <c r="O2" s="142"/>
      <c r="P2" s="142"/>
    </row>
    <row r="3" spans="1:21" ht="6" customHeight="1" x14ac:dyDescent="0.3">
      <c r="A3" s="114"/>
      <c r="B3" s="114"/>
      <c r="C3" s="114"/>
      <c r="D3" s="111"/>
      <c r="E3" s="111"/>
      <c r="F3" s="111"/>
      <c r="G3" s="111"/>
      <c r="H3" s="111"/>
      <c r="I3" s="144"/>
      <c r="J3" s="144"/>
      <c r="K3" s="144"/>
      <c r="L3" s="144"/>
      <c r="M3" s="144"/>
      <c r="N3" s="144"/>
      <c r="O3" s="144"/>
      <c r="P3" s="144"/>
    </row>
    <row r="4" spans="1:21" s="115" customFormat="1" ht="6" customHeight="1" x14ac:dyDescent="0.25">
      <c r="A4" s="106"/>
      <c r="B4" s="106"/>
      <c r="C4" s="106"/>
      <c r="D4" s="319"/>
      <c r="E4" s="145"/>
      <c r="F4" s="146"/>
      <c r="G4" s="146"/>
      <c r="H4" s="146"/>
      <c r="I4" s="105"/>
      <c r="J4" s="145"/>
      <c r="K4" s="146"/>
      <c r="L4" s="146"/>
      <c r="M4" s="146"/>
      <c r="N4" s="319"/>
      <c r="O4" s="145"/>
      <c r="P4" s="146"/>
    </row>
    <row r="5" spans="1:21" s="112" customFormat="1" ht="12" customHeight="1" x14ac:dyDescent="0.25">
      <c r="A5" s="106"/>
      <c r="B5" s="106"/>
      <c r="C5" s="106"/>
      <c r="D5" s="368" t="s">
        <v>378</v>
      </c>
      <c r="E5" s="368"/>
      <c r="F5" s="368"/>
      <c r="G5" s="368"/>
      <c r="H5" s="362"/>
      <c r="I5" s="368" t="s">
        <v>379</v>
      </c>
      <c r="J5" s="368"/>
      <c r="K5" s="368"/>
      <c r="L5" s="368"/>
      <c r="M5" s="362"/>
      <c r="N5" s="331" t="s">
        <v>380</v>
      </c>
      <c r="O5" s="331"/>
      <c r="P5" s="331"/>
    </row>
    <row r="6" spans="1:21" s="112" customFormat="1" ht="12" customHeight="1" x14ac:dyDescent="0.25">
      <c r="A6" s="106"/>
      <c r="B6" s="106"/>
      <c r="C6" s="106"/>
      <c r="D6" s="368"/>
      <c r="E6" s="368"/>
      <c r="F6" s="368"/>
      <c r="G6" s="368"/>
      <c r="H6" s="362"/>
      <c r="I6" s="368"/>
      <c r="J6" s="368"/>
      <c r="K6" s="368"/>
      <c r="L6" s="368"/>
      <c r="M6" s="362"/>
      <c r="N6" s="331"/>
      <c r="O6" s="331"/>
      <c r="P6" s="331"/>
    </row>
    <row r="7" spans="1:21" s="112" customFormat="1" ht="12" customHeight="1" x14ac:dyDescent="0.25">
      <c r="A7" s="106"/>
      <c r="B7" s="106"/>
      <c r="C7" s="106"/>
      <c r="D7" s="320"/>
      <c r="E7" s="320"/>
      <c r="F7" s="321" t="s">
        <v>189</v>
      </c>
      <c r="G7" s="321"/>
      <c r="H7" s="316"/>
      <c r="I7" s="123"/>
      <c r="J7" s="320"/>
      <c r="K7" s="321" t="s">
        <v>189</v>
      </c>
      <c r="L7" s="321"/>
      <c r="M7" s="316"/>
      <c r="N7" s="320"/>
      <c r="O7" s="321" t="s">
        <v>189</v>
      </c>
      <c r="P7" s="123"/>
    </row>
    <row r="8" spans="1:21" s="112" customFormat="1" ht="15" customHeight="1" x14ac:dyDescent="0.25">
      <c r="A8" s="106"/>
      <c r="B8" s="106"/>
      <c r="C8" s="106"/>
      <c r="D8" s="369" t="s">
        <v>447</v>
      </c>
      <c r="E8" s="369"/>
      <c r="F8" s="321" t="s">
        <v>221</v>
      </c>
      <c r="G8" s="321" t="s">
        <v>381</v>
      </c>
      <c r="H8" s="123"/>
      <c r="I8" s="359" t="s">
        <v>447</v>
      </c>
      <c r="J8" s="363"/>
      <c r="K8" s="321" t="s">
        <v>221</v>
      </c>
      <c r="L8" s="321" t="s">
        <v>381</v>
      </c>
      <c r="M8" s="123"/>
      <c r="N8" s="322" t="s">
        <v>448</v>
      </c>
      <c r="O8" s="321" t="s">
        <v>221</v>
      </c>
      <c r="P8" s="321" t="s">
        <v>381</v>
      </c>
    </row>
    <row r="9" spans="1:21" s="112" customFormat="1" ht="12" customHeight="1" x14ac:dyDescent="0.25">
      <c r="A9" s="106"/>
      <c r="B9" s="106"/>
      <c r="C9" s="106"/>
      <c r="D9" s="368"/>
      <c r="E9" s="331"/>
      <c r="F9" s="321" t="s">
        <v>382</v>
      </c>
      <c r="G9" s="321" t="s">
        <v>383</v>
      </c>
      <c r="H9" s="123"/>
      <c r="I9" s="323"/>
      <c r="J9" s="123"/>
      <c r="K9" s="321" t="s">
        <v>382</v>
      </c>
      <c r="L9" s="321" t="s">
        <v>383</v>
      </c>
      <c r="M9" s="123"/>
      <c r="N9" s="320"/>
      <c r="O9" s="321" t="s">
        <v>382</v>
      </c>
      <c r="P9" s="321" t="s">
        <v>383</v>
      </c>
    </row>
    <row r="10" spans="1:21" s="147" customFormat="1" ht="12" customHeight="1" x14ac:dyDescent="0.25">
      <c r="A10" s="106"/>
      <c r="B10" s="106"/>
      <c r="C10" s="106"/>
      <c r="D10" s="321" t="s">
        <v>384</v>
      </c>
      <c r="E10" s="321" t="s">
        <v>384</v>
      </c>
      <c r="F10" s="321" t="s">
        <v>385</v>
      </c>
      <c r="G10" s="320" t="s">
        <v>226</v>
      </c>
      <c r="H10" s="123"/>
      <c r="I10" s="321" t="s">
        <v>384</v>
      </c>
      <c r="J10" s="321" t="s">
        <v>384</v>
      </c>
      <c r="K10" s="321" t="s">
        <v>385</v>
      </c>
      <c r="L10" s="320" t="s">
        <v>226</v>
      </c>
      <c r="M10" s="123"/>
      <c r="N10" s="321" t="s">
        <v>384</v>
      </c>
      <c r="O10" s="321" t="s">
        <v>385</v>
      </c>
      <c r="P10" s="320" t="s">
        <v>226</v>
      </c>
    </row>
    <row r="11" spans="1:21" s="147" customFormat="1" ht="12" customHeight="1" x14ac:dyDescent="0.25">
      <c r="A11" s="106"/>
      <c r="B11" s="106"/>
      <c r="C11" s="106"/>
      <c r="D11" s="321" t="s">
        <v>386</v>
      </c>
      <c r="E11" s="321" t="s">
        <v>387</v>
      </c>
      <c r="F11" s="324" t="s">
        <v>227</v>
      </c>
      <c r="G11" s="320" t="s">
        <v>228</v>
      </c>
      <c r="H11" s="123"/>
      <c r="I11" s="321" t="s">
        <v>388</v>
      </c>
      <c r="J11" s="321" t="s">
        <v>387</v>
      </c>
      <c r="K11" s="324" t="s">
        <v>227</v>
      </c>
      <c r="L11" s="320" t="s">
        <v>228</v>
      </c>
      <c r="M11" s="123"/>
      <c r="N11" s="321" t="s">
        <v>387</v>
      </c>
      <c r="O11" s="324" t="s">
        <v>227</v>
      </c>
      <c r="P11" s="320" t="s">
        <v>228</v>
      </c>
    </row>
    <row r="12" spans="1:21" s="106" customFormat="1" ht="6" customHeight="1" x14ac:dyDescent="0.25">
      <c r="A12" s="148"/>
      <c r="B12" s="148"/>
      <c r="C12" s="148"/>
      <c r="D12" s="325"/>
      <c r="E12" s="325"/>
      <c r="F12" s="325"/>
      <c r="G12" s="326"/>
      <c r="H12" s="326"/>
      <c r="I12" s="325"/>
      <c r="J12" s="325"/>
      <c r="K12" s="326"/>
      <c r="L12" s="326"/>
      <c r="M12" s="326"/>
      <c r="N12" s="325"/>
      <c r="O12" s="326"/>
      <c r="P12" s="326"/>
    </row>
    <row r="13" spans="1:21" s="106" customFormat="1" ht="6" customHeight="1" x14ac:dyDescent="0.25">
      <c r="D13" s="327"/>
      <c r="E13" s="327"/>
      <c r="F13" s="327"/>
      <c r="G13" s="328"/>
      <c r="H13" s="328"/>
      <c r="I13" s="327"/>
      <c r="J13" s="327"/>
      <c r="L13" s="328"/>
      <c r="M13" s="328"/>
      <c r="N13" s="327"/>
      <c r="O13" s="328"/>
      <c r="P13" s="328"/>
    </row>
    <row r="14" spans="1:21" s="123" customFormat="1" ht="12" customHeight="1" x14ac:dyDescent="0.3">
      <c r="A14" s="329" t="s">
        <v>380</v>
      </c>
      <c r="D14" s="330">
        <v>100</v>
      </c>
      <c r="E14" s="330">
        <v>49</v>
      </c>
      <c r="F14" s="320">
        <v>32820</v>
      </c>
      <c r="G14" s="331">
        <v>4860</v>
      </c>
      <c r="I14" s="330">
        <v>100</v>
      </c>
      <c r="J14" s="330">
        <v>51</v>
      </c>
      <c r="K14" s="331">
        <v>33910</v>
      </c>
      <c r="L14" s="331">
        <v>5220</v>
      </c>
      <c r="N14" s="330">
        <v>100</v>
      </c>
      <c r="O14" s="320">
        <v>66730</v>
      </c>
      <c r="P14" s="480">
        <v>10080</v>
      </c>
    </row>
    <row r="15" spans="1:21" s="106" customFormat="1" ht="6" customHeight="1" x14ac:dyDescent="0.25">
      <c r="A15" s="318"/>
      <c r="D15" s="107"/>
      <c r="E15" s="107"/>
      <c r="F15" s="327"/>
      <c r="I15" s="107"/>
      <c r="J15" s="107"/>
      <c r="L15" s="317"/>
      <c r="N15" s="107"/>
      <c r="O15" s="328"/>
      <c r="Q15" s="123"/>
      <c r="R15" s="123"/>
      <c r="S15" s="123"/>
      <c r="T15" s="123"/>
      <c r="U15" s="123"/>
    </row>
    <row r="16" spans="1:21" s="123" customFormat="1" ht="12" customHeight="1" x14ac:dyDescent="0.25">
      <c r="A16" s="329" t="s">
        <v>389</v>
      </c>
      <c r="D16" s="330">
        <v>78</v>
      </c>
      <c r="E16" s="330">
        <v>38</v>
      </c>
      <c r="F16" s="320">
        <v>25670</v>
      </c>
      <c r="G16" s="331">
        <v>3800</v>
      </c>
      <c r="I16" s="330">
        <v>79</v>
      </c>
      <c r="J16" s="330">
        <v>40</v>
      </c>
      <c r="K16" s="331">
        <v>26710</v>
      </c>
      <c r="L16" s="331">
        <v>4190</v>
      </c>
      <c r="N16" s="330">
        <v>78</v>
      </c>
      <c r="O16" s="320">
        <v>52380</v>
      </c>
      <c r="P16" s="331">
        <v>7990</v>
      </c>
    </row>
    <row r="17" spans="1:21" s="106" customFormat="1" ht="6" customHeight="1" x14ac:dyDescent="0.25">
      <c r="A17" s="318"/>
      <c r="D17" s="107"/>
      <c r="E17" s="107"/>
      <c r="F17" s="327"/>
      <c r="G17" s="317"/>
      <c r="I17" s="107"/>
      <c r="J17" s="107"/>
      <c r="L17" s="317"/>
      <c r="N17" s="107"/>
      <c r="O17" s="328"/>
      <c r="P17" s="317"/>
      <c r="Q17" s="123"/>
      <c r="R17" s="123"/>
      <c r="S17" s="123"/>
      <c r="T17" s="123"/>
      <c r="U17" s="123"/>
    </row>
    <row r="18" spans="1:21" s="106" customFormat="1" ht="12" customHeight="1" x14ac:dyDescent="0.25">
      <c r="A18" s="318" t="s">
        <v>390</v>
      </c>
      <c r="D18" s="107">
        <v>54</v>
      </c>
      <c r="E18" s="107">
        <v>26</v>
      </c>
      <c r="F18" s="328">
        <v>17650</v>
      </c>
      <c r="G18" s="317">
        <v>2350</v>
      </c>
      <c r="I18" s="107">
        <v>53</v>
      </c>
      <c r="J18" s="107">
        <v>27</v>
      </c>
      <c r="K18" s="317">
        <v>18060</v>
      </c>
      <c r="L18" s="317">
        <v>2670</v>
      </c>
      <c r="N18" s="107">
        <v>54</v>
      </c>
      <c r="O18" s="328">
        <v>35710</v>
      </c>
      <c r="P18" s="317">
        <v>5020</v>
      </c>
      <c r="Q18" s="123"/>
      <c r="R18" s="123"/>
      <c r="S18" s="123"/>
      <c r="T18" s="123"/>
      <c r="U18" s="123"/>
    </row>
    <row r="19" spans="1:21" s="106" customFormat="1" ht="12" customHeight="1" x14ac:dyDescent="0.25">
      <c r="A19" s="318" t="s">
        <v>391</v>
      </c>
      <c r="D19" s="107">
        <v>7</v>
      </c>
      <c r="E19" s="107">
        <v>3</v>
      </c>
      <c r="F19" s="328">
        <v>2190</v>
      </c>
      <c r="G19" s="317">
        <v>340</v>
      </c>
      <c r="I19" s="107">
        <v>6</v>
      </c>
      <c r="J19" s="107">
        <v>3</v>
      </c>
      <c r="K19" s="317">
        <v>1910</v>
      </c>
      <c r="L19" s="317">
        <v>350</v>
      </c>
      <c r="N19" s="107">
        <v>6</v>
      </c>
      <c r="O19" s="328">
        <v>4110</v>
      </c>
      <c r="P19" s="317">
        <v>690</v>
      </c>
      <c r="Q19" s="123"/>
      <c r="R19" s="123"/>
      <c r="S19" s="123"/>
      <c r="T19" s="123"/>
      <c r="U19" s="123"/>
    </row>
    <row r="20" spans="1:21" s="106" customFormat="1" ht="12" customHeight="1" x14ac:dyDescent="0.25">
      <c r="A20" s="318" t="s">
        <v>392</v>
      </c>
      <c r="D20" s="107">
        <v>5</v>
      </c>
      <c r="E20" s="107">
        <v>2</v>
      </c>
      <c r="F20" s="328">
        <v>1620</v>
      </c>
      <c r="G20" s="317">
        <v>350</v>
      </c>
      <c r="I20" s="107">
        <v>5</v>
      </c>
      <c r="J20" s="107">
        <v>3</v>
      </c>
      <c r="K20" s="317">
        <v>1800</v>
      </c>
      <c r="L20" s="317">
        <v>380</v>
      </c>
      <c r="N20" s="107">
        <v>5</v>
      </c>
      <c r="O20" s="328">
        <v>3420</v>
      </c>
      <c r="P20" s="317">
        <v>730</v>
      </c>
      <c r="Q20" s="123"/>
      <c r="R20" s="123"/>
      <c r="S20" s="123"/>
      <c r="T20" s="123"/>
      <c r="U20" s="123"/>
    </row>
    <row r="21" spans="1:21" s="106" customFormat="1" ht="12" customHeight="1" x14ac:dyDescent="0.25">
      <c r="A21" s="318" t="s">
        <v>393</v>
      </c>
      <c r="D21" s="107">
        <v>13</v>
      </c>
      <c r="E21" s="107">
        <v>6</v>
      </c>
      <c r="F21" s="328">
        <v>4220</v>
      </c>
      <c r="G21" s="317">
        <v>770</v>
      </c>
      <c r="I21" s="107">
        <v>15</v>
      </c>
      <c r="J21" s="107">
        <v>7</v>
      </c>
      <c r="K21" s="317">
        <v>4940</v>
      </c>
      <c r="L21" s="317">
        <v>790</v>
      </c>
      <c r="N21" s="107">
        <v>14</v>
      </c>
      <c r="O21" s="328">
        <v>9150</v>
      </c>
      <c r="P21" s="317">
        <v>1560</v>
      </c>
      <c r="Q21" s="123"/>
      <c r="R21" s="123"/>
      <c r="S21" s="123"/>
      <c r="T21" s="123"/>
      <c r="U21" s="123"/>
    </row>
    <row r="22" spans="1:21" s="106" customFormat="1" ht="6" customHeight="1" x14ac:dyDescent="0.25">
      <c r="A22" s="318"/>
      <c r="D22" s="107"/>
      <c r="E22" s="107"/>
      <c r="F22" s="327"/>
      <c r="G22" s="317"/>
      <c r="I22" s="107"/>
      <c r="J22" s="107"/>
      <c r="L22" s="317"/>
      <c r="N22" s="107"/>
      <c r="O22" s="328"/>
      <c r="P22" s="317"/>
      <c r="Q22" s="123"/>
      <c r="R22" s="123"/>
      <c r="S22" s="123"/>
      <c r="T22" s="123"/>
      <c r="U22" s="123"/>
    </row>
    <row r="23" spans="1:21" s="123" customFormat="1" ht="12" customHeight="1" x14ac:dyDescent="0.25">
      <c r="A23" s="329" t="s">
        <v>394</v>
      </c>
      <c r="D23" s="330">
        <v>22</v>
      </c>
      <c r="E23" s="330">
        <v>11</v>
      </c>
      <c r="F23" s="320">
        <v>7150</v>
      </c>
      <c r="G23" s="331">
        <v>1050</v>
      </c>
      <c r="I23" s="330">
        <v>21</v>
      </c>
      <c r="J23" s="330">
        <v>11</v>
      </c>
      <c r="K23" s="331">
        <v>7200</v>
      </c>
      <c r="L23" s="331">
        <v>1030</v>
      </c>
      <c r="N23" s="330">
        <v>22</v>
      </c>
      <c r="O23" s="320">
        <v>14350</v>
      </c>
      <c r="P23" s="331">
        <v>2080</v>
      </c>
    </row>
    <row r="24" spans="1:21" s="106" customFormat="1" ht="6" customHeight="1" x14ac:dyDescent="0.25">
      <c r="A24" s="318"/>
      <c r="D24" s="107"/>
      <c r="E24" s="107"/>
      <c r="F24" s="327"/>
      <c r="G24" s="317"/>
      <c r="I24" s="107"/>
      <c r="J24" s="107"/>
      <c r="L24" s="317"/>
      <c r="N24" s="107"/>
      <c r="O24" s="328"/>
      <c r="P24" s="317"/>
      <c r="Q24" s="123"/>
      <c r="R24" s="123"/>
      <c r="S24" s="123"/>
      <c r="T24" s="123"/>
      <c r="U24" s="123"/>
    </row>
    <row r="25" spans="1:21" s="106" customFormat="1" ht="12" customHeight="1" x14ac:dyDescent="0.25">
      <c r="A25" s="318" t="s">
        <v>395</v>
      </c>
      <c r="D25" s="107">
        <v>2</v>
      </c>
      <c r="E25" s="107">
        <v>1</v>
      </c>
      <c r="F25" s="328">
        <v>680</v>
      </c>
      <c r="G25" s="317">
        <v>110</v>
      </c>
      <c r="I25" s="107">
        <v>2</v>
      </c>
      <c r="J25" s="107">
        <v>1</v>
      </c>
      <c r="K25" s="317">
        <v>840</v>
      </c>
      <c r="L25" s="317">
        <v>120</v>
      </c>
      <c r="N25" s="107">
        <v>2</v>
      </c>
      <c r="O25" s="328">
        <v>1520</v>
      </c>
      <c r="P25" s="317">
        <v>220</v>
      </c>
      <c r="Q25" s="123"/>
      <c r="R25" s="123"/>
      <c r="S25" s="123"/>
      <c r="T25" s="123"/>
      <c r="U25" s="123"/>
    </row>
    <row r="26" spans="1:21" s="106" customFormat="1" ht="12" customHeight="1" x14ac:dyDescent="0.25">
      <c r="A26" s="318" t="s">
        <v>396</v>
      </c>
      <c r="D26" s="107">
        <v>4</v>
      </c>
      <c r="E26" s="107">
        <v>2</v>
      </c>
      <c r="F26" s="328">
        <v>1160</v>
      </c>
      <c r="G26" s="317">
        <v>190</v>
      </c>
      <c r="I26" s="107">
        <v>3</v>
      </c>
      <c r="J26" s="107">
        <v>1</v>
      </c>
      <c r="K26" s="317">
        <v>960</v>
      </c>
      <c r="L26" s="317">
        <v>150</v>
      </c>
      <c r="N26" s="107">
        <v>3</v>
      </c>
      <c r="O26" s="328">
        <v>2120</v>
      </c>
      <c r="P26" s="317">
        <v>330</v>
      </c>
      <c r="Q26" s="123"/>
      <c r="R26" s="123"/>
      <c r="S26" s="123"/>
      <c r="T26" s="123"/>
      <c r="U26" s="123"/>
    </row>
    <row r="27" spans="1:21" s="106" customFormat="1" ht="12" customHeight="1" x14ac:dyDescent="0.25">
      <c r="A27" s="318" t="s">
        <v>397</v>
      </c>
      <c r="D27" s="107">
        <v>14</v>
      </c>
      <c r="E27" s="107">
        <v>7</v>
      </c>
      <c r="F27" s="328">
        <v>4540</v>
      </c>
      <c r="G27" s="317">
        <v>680</v>
      </c>
      <c r="I27" s="107">
        <v>13</v>
      </c>
      <c r="J27" s="107">
        <v>7</v>
      </c>
      <c r="K27" s="317">
        <v>4530</v>
      </c>
      <c r="L27" s="317">
        <v>660</v>
      </c>
      <c r="N27" s="107">
        <v>14</v>
      </c>
      <c r="O27" s="328">
        <v>9070</v>
      </c>
      <c r="P27" s="317">
        <v>1340</v>
      </c>
      <c r="Q27" s="123"/>
      <c r="R27" s="123"/>
      <c r="S27" s="123"/>
      <c r="T27" s="123"/>
      <c r="U27" s="123"/>
    </row>
    <row r="28" spans="1:21" s="106" customFormat="1" ht="12" customHeight="1" x14ac:dyDescent="0.25">
      <c r="A28" s="318" t="s">
        <v>398</v>
      </c>
      <c r="D28" s="107">
        <v>2</v>
      </c>
      <c r="E28" s="107">
        <v>1</v>
      </c>
      <c r="F28" s="328">
        <v>760</v>
      </c>
      <c r="G28" s="317">
        <v>90</v>
      </c>
      <c r="I28" s="107">
        <v>3</v>
      </c>
      <c r="J28" s="107">
        <v>1</v>
      </c>
      <c r="K28" s="317">
        <v>880</v>
      </c>
      <c r="L28" s="317">
        <v>100</v>
      </c>
      <c r="N28" s="107">
        <v>2</v>
      </c>
      <c r="O28" s="328">
        <v>1630</v>
      </c>
      <c r="P28" s="317">
        <v>190</v>
      </c>
      <c r="Q28" s="123"/>
      <c r="R28" s="123"/>
      <c r="S28" s="123"/>
      <c r="T28" s="123"/>
      <c r="U28" s="123"/>
    </row>
    <row r="29" spans="1:21" s="106" customFormat="1" ht="6" customHeight="1" x14ac:dyDescent="0.25">
      <c r="A29" s="318"/>
      <c r="D29" s="107"/>
      <c r="E29" s="107"/>
      <c r="F29" s="327"/>
      <c r="G29" s="317"/>
      <c r="I29" s="107"/>
      <c r="J29" s="107"/>
      <c r="L29" s="317"/>
      <c r="N29" s="107"/>
      <c r="O29" s="328"/>
      <c r="P29" s="317"/>
      <c r="Q29" s="123"/>
      <c r="R29" s="123"/>
      <c r="S29" s="123"/>
      <c r="T29" s="123"/>
      <c r="U29" s="123"/>
    </row>
    <row r="30" spans="1:21" s="123" customFormat="1" ht="12" customHeight="1" x14ac:dyDescent="0.25">
      <c r="A30" s="329" t="s">
        <v>399</v>
      </c>
      <c r="D30" s="330"/>
      <c r="E30" s="330"/>
      <c r="F30" s="321"/>
      <c r="G30" s="331"/>
      <c r="I30" s="330"/>
      <c r="J30" s="330"/>
      <c r="N30" s="330"/>
      <c r="O30" s="320"/>
      <c r="P30" s="331"/>
    </row>
    <row r="31" spans="1:21" s="106" customFormat="1" ht="6" customHeight="1" x14ac:dyDescent="0.25">
      <c r="A31" s="318"/>
      <c r="D31" s="107"/>
      <c r="E31" s="107"/>
      <c r="F31" s="327"/>
      <c r="G31" s="317"/>
      <c r="I31" s="107"/>
      <c r="J31" s="107"/>
      <c r="L31" s="317"/>
      <c r="N31" s="107"/>
      <c r="O31" s="328"/>
      <c r="P31" s="317"/>
      <c r="Q31" s="123"/>
      <c r="R31" s="123"/>
      <c r="S31" s="123"/>
      <c r="T31" s="123"/>
      <c r="U31" s="123"/>
    </row>
    <row r="32" spans="1:21" s="106" customFormat="1" ht="12" customHeight="1" x14ac:dyDescent="0.25">
      <c r="A32" s="318" t="s">
        <v>400</v>
      </c>
      <c r="D32" s="107">
        <v>55</v>
      </c>
      <c r="E32" s="107">
        <v>27</v>
      </c>
      <c r="F32" s="328">
        <v>17940</v>
      </c>
      <c r="G32" s="317">
        <v>2470</v>
      </c>
      <c r="I32" s="107">
        <v>48</v>
      </c>
      <c r="J32" s="107">
        <v>24</v>
      </c>
      <c r="K32" s="317">
        <v>16270</v>
      </c>
      <c r="L32" s="317">
        <v>2470</v>
      </c>
      <c r="N32" s="107">
        <v>51</v>
      </c>
      <c r="O32" s="328">
        <v>34200</v>
      </c>
      <c r="P32" s="317">
        <v>4940</v>
      </c>
      <c r="Q32" s="123"/>
      <c r="R32" s="123"/>
      <c r="S32" s="123"/>
      <c r="T32" s="123"/>
      <c r="U32" s="123"/>
    </row>
    <row r="33" spans="1:21" s="106" customFormat="1" ht="12" customHeight="1" x14ac:dyDescent="0.25">
      <c r="A33" s="318" t="s">
        <v>401</v>
      </c>
      <c r="D33" s="107">
        <v>45</v>
      </c>
      <c r="E33" s="107">
        <v>22</v>
      </c>
      <c r="F33" s="328">
        <v>14880</v>
      </c>
      <c r="G33" s="317">
        <v>2390</v>
      </c>
      <c r="I33" s="107">
        <v>52</v>
      </c>
      <c r="J33" s="107">
        <v>26</v>
      </c>
      <c r="K33" s="317">
        <v>17640</v>
      </c>
      <c r="L33" s="317">
        <v>2750</v>
      </c>
      <c r="N33" s="107">
        <v>49</v>
      </c>
      <c r="O33" s="328">
        <v>32530</v>
      </c>
      <c r="P33" s="317">
        <v>5130</v>
      </c>
      <c r="Q33" s="123"/>
      <c r="R33" s="123"/>
      <c r="S33" s="123"/>
      <c r="T33" s="123"/>
      <c r="U33" s="123"/>
    </row>
    <row r="34" spans="1:21" s="106" customFormat="1" ht="12" customHeight="1" x14ac:dyDescent="0.25">
      <c r="B34" s="318" t="s">
        <v>402</v>
      </c>
      <c r="C34" s="318"/>
      <c r="D34" s="107"/>
      <c r="E34" s="107"/>
      <c r="F34" s="327"/>
      <c r="G34" s="317"/>
      <c r="I34" s="107"/>
      <c r="J34" s="107"/>
      <c r="L34" s="317"/>
      <c r="N34" s="107"/>
      <c r="O34" s="328"/>
      <c r="P34" s="317"/>
      <c r="Q34" s="123"/>
      <c r="R34" s="123"/>
      <c r="S34" s="123"/>
      <c r="T34" s="123"/>
      <c r="U34" s="123"/>
    </row>
    <row r="35" spans="1:21" s="106" customFormat="1" ht="12" customHeight="1" x14ac:dyDescent="0.25">
      <c r="B35" s="318" t="s">
        <v>403</v>
      </c>
      <c r="C35" s="318"/>
      <c r="D35" s="107">
        <v>15</v>
      </c>
      <c r="E35" s="107">
        <v>7</v>
      </c>
      <c r="F35" s="328">
        <v>4810</v>
      </c>
      <c r="G35" s="317">
        <v>920</v>
      </c>
      <c r="I35" s="107">
        <v>17</v>
      </c>
      <c r="J35" s="107">
        <v>9</v>
      </c>
      <c r="K35" s="317">
        <v>5840</v>
      </c>
      <c r="L35" s="317">
        <v>1000</v>
      </c>
      <c r="N35" s="107">
        <v>16</v>
      </c>
      <c r="O35" s="328">
        <v>10640</v>
      </c>
      <c r="P35" s="317">
        <v>1920</v>
      </c>
      <c r="Q35" s="123"/>
      <c r="R35" s="123"/>
      <c r="S35" s="123"/>
      <c r="T35" s="123"/>
      <c r="U35" s="123"/>
    </row>
    <row r="36" spans="1:21" s="106" customFormat="1" ht="12" customHeight="1" x14ac:dyDescent="0.25">
      <c r="B36" s="318" t="s">
        <v>404</v>
      </c>
      <c r="C36" s="318"/>
      <c r="D36" s="107">
        <v>31</v>
      </c>
      <c r="E36" s="107">
        <v>15</v>
      </c>
      <c r="F36" s="328">
        <v>10080</v>
      </c>
      <c r="G36" s="317">
        <v>1470</v>
      </c>
      <c r="I36" s="107">
        <v>35</v>
      </c>
      <c r="J36" s="107">
        <v>18</v>
      </c>
      <c r="K36" s="317">
        <v>11810</v>
      </c>
      <c r="L36" s="317">
        <v>1750</v>
      </c>
      <c r="N36" s="107">
        <v>33</v>
      </c>
      <c r="O36" s="328">
        <v>21880</v>
      </c>
      <c r="P36" s="317">
        <v>3220</v>
      </c>
      <c r="Q36" s="123"/>
      <c r="R36" s="123"/>
      <c r="S36" s="123"/>
      <c r="T36" s="123"/>
      <c r="U36" s="123"/>
    </row>
    <row r="37" spans="1:21" s="106" customFormat="1" ht="6" customHeight="1" x14ac:dyDescent="0.25">
      <c r="A37" s="148"/>
      <c r="B37" s="148"/>
      <c r="C37" s="148"/>
      <c r="D37" s="148"/>
      <c r="E37" s="148"/>
      <c r="F37" s="148"/>
      <c r="G37" s="148"/>
      <c r="H37" s="148"/>
      <c r="I37" s="148"/>
      <c r="J37" s="148"/>
      <c r="K37" s="148"/>
      <c r="L37" s="148"/>
      <c r="M37" s="148"/>
      <c r="N37" s="148"/>
      <c r="O37" s="148"/>
      <c r="P37" s="148"/>
      <c r="Q37" s="123"/>
      <c r="R37" s="123"/>
    </row>
    <row r="38" spans="1:21" s="106" customFormat="1" ht="6" customHeight="1" x14ac:dyDescent="0.25"/>
    <row r="39" spans="1:21" s="106" customFormat="1" ht="12" customHeight="1" x14ac:dyDescent="0.25">
      <c r="A39" s="106" t="s">
        <v>311</v>
      </c>
    </row>
    <row r="40" spans="1:21" s="106" customFormat="1" ht="12" customHeight="1" x14ac:dyDescent="0.25">
      <c r="A40" s="106" t="s">
        <v>312</v>
      </c>
    </row>
    <row r="41" spans="1:21" s="106" customFormat="1" ht="11.25" customHeight="1" x14ac:dyDescent="0.25">
      <c r="B41" s="149"/>
      <c r="C41" s="149"/>
      <c r="D41" s="112"/>
      <c r="E41" s="112"/>
      <c r="F41" s="112"/>
      <c r="G41" s="112"/>
      <c r="H41" s="112"/>
      <c r="I41" s="150"/>
      <c r="J41" s="150"/>
      <c r="K41" s="150"/>
      <c r="L41" s="150"/>
      <c r="M41" s="151"/>
      <c r="N41" s="150"/>
      <c r="O41" s="150"/>
      <c r="P41" s="150"/>
    </row>
    <row r="42" spans="1:21" s="106" customFormat="1" ht="18.75" customHeight="1" x14ac:dyDescent="0.25">
      <c r="A42" s="108"/>
    </row>
    <row r="43" spans="1:21" s="106" customFormat="1" ht="11.1" customHeight="1" x14ac:dyDescent="0.25"/>
    <row r="44" spans="1:21" s="106" customFormat="1" ht="11.1" customHeight="1" x14ac:dyDescent="0.25"/>
    <row r="45" spans="1:21" s="106" customFormat="1" ht="11.1" customHeight="1" x14ac:dyDescent="0.25"/>
    <row r="46" spans="1:21" s="106" customFormat="1" ht="11.1" customHeight="1" x14ac:dyDescent="0.25"/>
    <row r="47" spans="1:21" s="106" customFormat="1" ht="11.1" customHeight="1" x14ac:dyDescent="0.25"/>
    <row r="48" spans="1:21" s="106" customFormat="1" ht="11.1" customHeight="1" x14ac:dyDescent="0.25"/>
    <row r="49" s="106" customFormat="1" ht="11.1" customHeight="1" x14ac:dyDescent="0.25"/>
    <row r="50" s="106" customFormat="1" ht="11.1" customHeight="1" x14ac:dyDescent="0.25"/>
    <row r="51" s="106" customFormat="1" ht="11.1" customHeight="1" x14ac:dyDescent="0.25"/>
    <row r="52" s="106" customFormat="1" ht="11.1" customHeight="1" x14ac:dyDescent="0.25"/>
    <row r="53" s="106" customFormat="1" ht="11.1" customHeight="1" x14ac:dyDescent="0.25"/>
    <row r="54" s="106" customFormat="1" ht="11.1" customHeight="1" x14ac:dyDescent="0.25"/>
    <row r="55" s="106" customFormat="1" ht="11.1" customHeight="1" x14ac:dyDescent="0.25"/>
    <row r="56" s="106" customFormat="1" ht="11.1" customHeight="1" x14ac:dyDescent="0.25"/>
    <row r="57" s="106" customFormat="1" ht="11.1" customHeight="1" x14ac:dyDescent="0.25"/>
    <row r="58" s="106" customFormat="1" ht="11.1" customHeight="1" x14ac:dyDescent="0.25"/>
    <row r="59" s="106" customFormat="1" ht="11.1" customHeight="1" x14ac:dyDescent="0.25"/>
    <row r="60" s="106" customFormat="1" ht="11.1" customHeight="1" x14ac:dyDescent="0.25"/>
    <row r="61" s="106" customFormat="1" ht="11.1" customHeight="1" x14ac:dyDescent="0.25"/>
    <row r="62" s="106" customFormat="1" ht="11.1" customHeight="1" x14ac:dyDescent="0.25"/>
    <row r="63" s="106" customFormat="1" ht="11.1" customHeight="1" x14ac:dyDescent="0.25"/>
    <row r="64" s="106" customFormat="1" ht="11.1" customHeight="1" x14ac:dyDescent="0.25"/>
    <row r="65" s="106" customFormat="1" ht="11.1" customHeight="1" x14ac:dyDescent="0.25"/>
    <row r="66" s="106" customFormat="1" ht="11.1" customHeight="1" x14ac:dyDescent="0.25"/>
    <row r="67" s="106" customFormat="1" ht="11.1" customHeight="1" x14ac:dyDescent="0.25"/>
    <row r="68" s="106" customFormat="1" ht="11.1" customHeight="1" x14ac:dyDescent="0.25"/>
    <row r="69" s="106" customFormat="1" ht="11.1" customHeight="1" x14ac:dyDescent="0.25"/>
    <row r="70" s="106" customFormat="1" ht="11.1" customHeight="1" x14ac:dyDescent="0.25"/>
    <row r="71" s="106" customFormat="1" ht="11.1" customHeight="1" x14ac:dyDescent="0.25"/>
    <row r="72" s="106" customFormat="1" ht="11.1" customHeight="1" x14ac:dyDescent="0.25"/>
    <row r="73" s="106" customFormat="1" ht="11.1" customHeight="1" x14ac:dyDescent="0.25"/>
    <row r="74" s="106" customFormat="1" ht="11.1" customHeight="1" x14ac:dyDescent="0.25"/>
    <row r="75" s="106" customFormat="1" ht="11.1" customHeight="1" x14ac:dyDescent="0.25"/>
    <row r="76" s="106" customFormat="1" ht="11.1" customHeight="1" x14ac:dyDescent="0.25"/>
    <row r="77" s="106" customFormat="1" ht="11.1" customHeight="1" x14ac:dyDescent="0.25"/>
    <row r="78" s="106" customFormat="1" ht="11.1" customHeight="1" x14ac:dyDescent="0.25"/>
    <row r="79" s="106" customFormat="1" ht="11.1" customHeight="1" x14ac:dyDescent="0.25"/>
    <row r="80" s="106" customFormat="1" ht="11.1" customHeight="1" x14ac:dyDescent="0.25"/>
    <row r="81" s="106" customFormat="1" ht="11.1" customHeight="1" x14ac:dyDescent="0.25"/>
    <row r="82" s="106" customFormat="1" ht="11.1" customHeight="1" x14ac:dyDescent="0.25"/>
    <row r="83" s="106" customFormat="1" ht="11.1" customHeight="1" x14ac:dyDescent="0.25"/>
    <row r="84" s="106" customFormat="1" ht="11.1" customHeight="1" x14ac:dyDescent="0.25"/>
    <row r="85" s="106" customFormat="1" ht="11.1" customHeight="1" x14ac:dyDescent="0.25"/>
    <row r="86" s="106" customFormat="1" ht="11.1" customHeight="1" x14ac:dyDescent="0.25"/>
    <row r="87" s="106" customFormat="1" ht="11.1" customHeight="1" x14ac:dyDescent="0.25"/>
    <row r="88" s="106" customFormat="1" ht="11.1" customHeight="1" x14ac:dyDescent="0.25"/>
    <row r="89" s="106" customFormat="1" ht="11.1" customHeight="1" x14ac:dyDescent="0.25"/>
    <row r="90" s="106" customFormat="1" ht="11.1" customHeight="1" x14ac:dyDescent="0.25"/>
    <row r="91" s="106" customFormat="1" ht="11.1" customHeight="1" x14ac:dyDescent="0.25"/>
    <row r="92" s="106" customFormat="1" ht="11.1" customHeight="1" x14ac:dyDescent="0.25"/>
    <row r="93" s="106" customFormat="1" ht="11.1" customHeight="1" x14ac:dyDescent="0.25"/>
    <row r="94" s="106" customFormat="1" ht="11.1" customHeight="1" x14ac:dyDescent="0.25"/>
    <row r="95" s="106" customFormat="1" ht="11.1" customHeight="1" x14ac:dyDescent="0.25"/>
    <row r="96" s="106" customFormat="1" ht="11.1" customHeight="1" x14ac:dyDescent="0.25"/>
    <row r="97" s="106" customFormat="1" ht="11.1" customHeight="1" x14ac:dyDescent="0.25"/>
    <row r="98" s="106" customFormat="1" ht="11.1" customHeight="1" x14ac:dyDescent="0.25"/>
    <row r="99" s="106" customFormat="1" ht="11.1" customHeight="1" x14ac:dyDescent="0.25"/>
    <row r="100" s="106" customFormat="1" ht="11.1" customHeight="1" x14ac:dyDescent="0.25"/>
    <row r="101" s="106" customFormat="1" ht="11.1" customHeight="1" x14ac:dyDescent="0.25"/>
    <row r="102" s="106" customFormat="1" ht="11.1" customHeight="1" x14ac:dyDescent="0.25"/>
    <row r="103" s="106" customFormat="1" ht="11.1" customHeight="1" x14ac:dyDescent="0.25"/>
    <row r="104" s="106" customFormat="1" ht="11.1" customHeight="1" x14ac:dyDescent="0.25"/>
    <row r="105" s="106" customFormat="1" ht="11.1" customHeight="1" x14ac:dyDescent="0.25"/>
    <row r="106" s="106" customFormat="1" ht="11.1" customHeight="1" x14ac:dyDescent="0.25"/>
    <row r="107" s="106" customFormat="1" ht="11.1" customHeight="1" x14ac:dyDescent="0.25"/>
    <row r="108" s="106" customFormat="1" ht="11.1" customHeight="1" x14ac:dyDescent="0.25"/>
    <row r="109" s="106" customFormat="1" ht="11.1" customHeight="1" x14ac:dyDescent="0.25"/>
    <row r="110" s="106" customFormat="1" ht="11.1" customHeight="1" x14ac:dyDescent="0.25"/>
    <row r="111" s="106" customFormat="1" ht="11.1" customHeight="1" x14ac:dyDescent="0.25"/>
    <row r="112" s="106" customFormat="1" ht="11.1" customHeight="1" x14ac:dyDescent="0.25"/>
    <row r="113" s="106" customFormat="1" ht="11.1" customHeight="1" x14ac:dyDescent="0.25"/>
    <row r="114" s="106" customFormat="1" ht="11.1" customHeight="1" x14ac:dyDescent="0.25"/>
    <row r="115" s="106" customFormat="1" ht="11.1" customHeight="1" x14ac:dyDescent="0.25"/>
    <row r="116" s="106" customFormat="1" ht="11.1" customHeight="1" x14ac:dyDescent="0.25"/>
    <row r="117" s="106" customFormat="1" ht="11.1" customHeight="1" x14ac:dyDescent="0.25"/>
    <row r="118" s="106" customFormat="1" ht="11.1" customHeight="1" x14ac:dyDescent="0.25"/>
    <row r="119" s="106" customFormat="1" ht="11.1" customHeight="1" x14ac:dyDescent="0.25"/>
    <row r="120" s="106" customFormat="1" ht="11.1" customHeight="1" x14ac:dyDescent="0.25"/>
    <row r="121" s="106" customFormat="1" ht="11.1" customHeight="1" x14ac:dyDescent="0.25"/>
    <row r="122" s="106" customFormat="1" ht="11.1" customHeight="1" x14ac:dyDescent="0.25"/>
    <row r="123" s="106" customFormat="1" ht="11.1" customHeight="1" x14ac:dyDescent="0.25"/>
    <row r="124" s="106" customFormat="1" ht="11.1" customHeight="1" x14ac:dyDescent="0.25"/>
    <row r="125" s="106" customFormat="1" ht="11.1" customHeight="1" x14ac:dyDescent="0.25"/>
    <row r="126" s="106" customFormat="1" ht="11.1" customHeight="1" x14ac:dyDescent="0.25"/>
    <row r="127" s="106" customFormat="1" ht="11.1" customHeight="1" x14ac:dyDescent="0.25"/>
    <row r="128" s="106" customFormat="1" ht="11.1" customHeight="1" x14ac:dyDescent="0.25"/>
    <row r="129" s="106" customFormat="1" ht="11.1" customHeight="1" x14ac:dyDescent="0.25"/>
    <row r="130" s="106" customFormat="1" ht="11.1" customHeight="1" x14ac:dyDescent="0.25"/>
    <row r="131" s="106" customFormat="1" ht="11.1" customHeight="1" x14ac:dyDescent="0.25"/>
    <row r="132" s="106" customFormat="1" ht="11.1" customHeight="1" x14ac:dyDescent="0.25"/>
    <row r="133" s="106" customFormat="1" ht="11.1" customHeight="1" x14ac:dyDescent="0.25"/>
    <row r="134" s="106" customFormat="1" ht="11.1" customHeight="1" x14ac:dyDescent="0.25"/>
    <row r="135" s="106" customFormat="1" ht="11.1" customHeight="1" x14ac:dyDescent="0.25"/>
    <row r="136" s="106" customFormat="1" ht="11.1" customHeight="1" x14ac:dyDescent="0.25"/>
    <row r="137" s="106" customFormat="1" ht="11.1" customHeight="1" x14ac:dyDescent="0.25"/>
    <row r="138" s="106" customFormat="1" ht="11.1" customHeight="1" x14ac:dyDescent="0.25"/>
    <row r="139" s="106" customFormat="1" ht="11.1" customHeight="1" x14ac:dyDescent="0.25"/>
    <row r="140" s="106" customFormat="1" ht="11.1" customHeight="1" x14ac:dyDescent="0.25"/>
    <row r="141" s="106" customFormat="1" ht="11.1" customHeight="1" x14ac:dyDescent="0.25"/>
    <row r="142" s="106" customFormat="1" ht="11.1" customHeight="1" x14ac:dyDescent="0.25"/>
    <row r="143" s="106" customFormat="1" ht="11.1" customHeight="1" x14ac:dyDescent="0.25"/>
    <row r="144" s="106" customFormat="1" ht="11.1" customHeight="1" x14ac:dyDescent="0.25"/>
    <row r="145" s="106" customFormat="1" ht="11.1" customHeight="1" x14ac:dyDescent="0.25"/>
    <row r="146" s="106" customFormat="1" ht="11.1" customHeight="1" x14ac:dyDescent="0.25"/>
    <row r="147" s="106" customFormat="1" ht="11.1" customHeight="1" x14ac:dyDescent="0.25"/>
    <row r="148" s="106" customFormat="1" ht="11.1" customHeight="1" x14ac:dyDescent="0.25"/>
    <row r="149" s="106" customFormat="1" ht="11.1" customHeight="1" x14ac:dyDescent="0.25"/>
    <row r="150" s="106" customFormat="1" ht="11.1" customHeight="1" x14ac:dyDescent="0.25"/>
    <row r="151" s="106" customFormat="1" ht="11.1" customHeight="1" x14ac:dyDescent="0.25"/>
    <row r="152" s="106" customFormat="1" ht="11.1" customHeight="1" x14ac:dyDescent="0.25"/>
    <row r="153" s="106" customFormat="1" ht="11.1" customHeight="1" x14ac:dyDescent="0.25"/>
    <row r="154" s="106" customFormat="1" ht="11.1" customHeight="1" x14ac:dyDescent="0.25"/>
    <row r="155" s="106" customFormat="1" ht="11.1" customHeight="1" x14ac:dyDescent="0.25"/>
    <row r="156" s="106" customFormat="1" ht="11.1" customHeight="1" x14ac:dyDescent="0.25"/>
    <row r="157" s="106" customFormat="1" ht="11.1" customHeight="1" x14ac:dyDescent="0.25"/>
    <row r="158" s="106" customFormat="1" ht="11.1" customHeight="1" x14ac:dyDescent="0.25"/>
    <row r="159" s="106" customFormat="1" ht="11.1" customHeight="1" x14ac:dyDescent="0.25"/>
    <row r="160" s="106" customFormat="1" ht="11.1" customHeight="1" x14ac:dyDescent="0.25"/>
    <row r="161" s="106" customFormat="1" ht="11.1" customHeight="1" x14ac:dyDescent="0.25"/>
    <row r="162" s="106" customFormat="1" ht="11.1" customHeight="1" x14ac:dyDescent="0.25"/>
    <row r="163" s="106" customFormat="1" ht="11.1" customHeight="1" x14ac:dyDescent="0.25"/>
    <row r="164" s="106" customFormat="1" ht="11.1" customHeight="1" x14ac:dyDescent="0.25"/>
    <row r="165" s="106" customFormat="1" ht="11.1" customHeight="1" x14ac:dyDescent="0.25"/>
    <row r="166" s="106" customFormat="1" ht="11.1" customHeight="1" x14ac:dyDescent="0.25"/>
    <row r="167" s="106" customFormat="1" ht="11.1" customHeight="1" x14ac:dyDescent="0.25"/>
    <row r="168" s="106" customFormat="1" ht="11.1" customHeight="1" x14ac:dyDescent="0.25"/>
    <row r="169" s="106" customFormat="1" ht="11.1" customHeight="1" x14ac:dyDescent="0.25"/>
    <row r="170" s="106" customFormat="1" ht="11.1" customHeight="1" x14ac:dyDescent="0.25"/>
    <row r="171" s="106" customFormat="1" ht="11.1" customHeight="1" x14ac:dyDescent="0.25"/>
    <row r="172" s="106" customFormat="1" ht="11.1" customHeight="1" x14ac:dyDescent="0.25"/>
    <row r="173" s="106" customFormat="1" ht="11.1" customHeight="1" x14ac:dyDescent="0.25"/>
    <row r="174" s="106" customFormat="1" ht="11.1" customHeight="1" x14ac:dyDescent="0.25"/>
    <row r="175" s="106" customFormat="1" ht="11.1" customHeight="1" x14ac:dyDescent="0.25"/>
    <row r="176" s="106" customFormat="1" ht="11.1" customHeight="1" x14ac:dyDescent="0.25"/>
    <row r="177" s="106" customFormat="1" ht="11.1" customHeight="1" x14ac:dyDescent="0.25"/>
    <row r="178" s="106" customFormat="1" ht="11.1" customHeight="1" x14ac:dyDescent="0.25"/>
    <row r="179" s="106" customFormat="1" ht="11.1" customHeight="1" x14ac:dyDescent="0.25"/>
    <row r="180" s="106" customFormat="1" ht="11.1" customHeight="1" x14ac:dyDescent="0.25"/>
    <row r="181" s="106" customFormat="1" ht="11.1" customHeight="1" x14ac:dyDescent="0.25"/>
    <row r="182" s="106" customFormat="1" ht="11.1" customHeight="1" x14ac:dyDescent="0.25"/>
    <row r="183" s="106" customFormat="1" ht="11.1" customHeight="1" x14ac:dyDescent="0.25"/>
    <row r="184" s="106" customFormat="1" ht="11.1" customHeight="1" x14ac:dyDescent="0.25"/>
    <row r="185" s="106" customFormat="1" ht="11.1" customHeight="1" x14ac:dyDescent="0.25"/>
    <row r="186" s="106" customFormat="1" ht="11.1" customHeight="1" x14ac:dyDescent="0.25"/>
    <row r="187" s="106" customFormat="1" ht="11.1" customHeight="1" x14ac:dyDescent="0.25"/>
    <row r="188" s="106" customFormat="1" ht="11.1" customHeight="1" x14ac:dyDescent="0.25"/>
    <row r="189" s="106" customFormat="1" ht="11.1" customHeight="1" x14ac:dyDescent="0.25"/>
    <row r="190" s="106" customFormat="1" ht="11.1" customHeight="1" x14ac:dyDescent="0.25"/>
    <row r="191" s="106" customFormat="1" ht="11.1" customHeight="1" x14ac:dyDescent="0.25"/>
    <row r="192" s="106" customFormat="1" ht="11.1" customHeight="1" x14ac:dyDescent="0.25"/>
    <row r="193" s="106" customFormat="1" ht="11.1" customHeight="1" x14ac:dyDescent="0.25"/>
    <row r="194" s="106" customFormat="1" ht="11.1" customHeight="1" x14ac:dyDescent="0.25"/>
    <row r="195" s="106" customFormat="1" ht="11.1" customHeight="1" x14ac:dyDescent="0.25"/>
    <row r="196" s="106" customFormat="1" ht="11.1" customHeight="1" x14ac:dyDescent="0.25"/>
    <row r="197" s="106" customFormat="1" ht="11.1" customHeight="1" x14ac:dyDescent="0.25"/>
    <row r="198" s="106" customFormat="1" ht="11.1" customHeight="1" x14ac:dyDescent="0.25"/>
    <row r="199" s="106" customFormat="1" ht="11.1" customHeight="1" x14ac:dyDescent="0.25"/>
    <row r="200" s="106" customFormat="1" ht="11.1" customHeight="1" x14ac:dyDescent="0.25"/>
    <row r="201" s="106" customFormat="1" ht="11.1" customHeight="1" x14ac:dyDescent="0.25"/>
    <row r="202" s="106" customFormat="1" ht="11.1" customHeight="1" x14ac:dyDescent="0.25"/>
    <row r="203" s="106" customFormat="1" ht="11.1" customHeight="1" x14ac:dyDescent="0.25"/>
    <row r="204" s="106" customFormat="1" ht="11.1" customHeight="1" x14ac:dyDescent="0.25"/>
    <row r="205" s="106" customFormat="1" ht="11.1" customHeight="1" x14ac:dyDescent="0.25"/>
    <row r="206" s="106" customFormat="1" ht="11.1" customHeight="1" x14ac:dyDescent="0.25"/>
    <row r="207" s="106" customFormat="1" ht="11.1" customHeight="1" x14ac:dyDescent="0.25"/>
    <row r="208" s="106" customFormat="1" ht="11.1" customHeight="1" x14ac:dyDescent="0.25"/>
    <row r="209" s="106" customFormat="1" ht="11.1" customHeight="1" x14ac:dyDescent="0.25"/>
    <row r="210" s="106" customFormat="1" ht="11.1" customHeight="1" x14ac:dyDescent="0.25"/>
    <row r="211" s="106" customFormat="1" ht="11.1" customHeight="1" x14ac:dyDescent="0.25"/>
    <row r="212" s="106" customFormat="1" ht="11.1" customHeight="1" x14ac:dyDescent="0.25"/>
    <row r="213" s="106" customFormat="1" ht="11.1" customHeight="1" x14ac:dyDescent="0.25"/>
    <row r="214" s="106" customFormat="1" ht="11.1" customHeight="1" x14ac:dyDescent="0.25"/>
    <row r="215" s="106" customFormat="1" ht="11.1" customHeight="1" x14ac:dyDescent="0.25"/>
    <row r="216" s="106" customFormat="1" ht="11.1" customHeight="1" x14ac:dyDescent="0.25"/>
    <row r="217" s="106" customFormat="1" ht="11.1" customHeight="1" x14ac:dyDescent="0.25"/>
    <row r="218" s="106" customFormat="1" ht="11.1" customHeight="1" x14ac:dyDescent="0.25"/>
    <row r="219" s="106" customFormat="1" ht="11.1" customHeight="1" x14ac:dyDescent="0.25"/>
    <row r="220" s="106" customFormat="1" ht="11.1" customHeight="1" x14ac:dyDescent="0.25"/>
    <row r="221" s="106" customFormat="1" ht="11.1" customHeight="1" x14ac:dyDescent="0.25"/>
    <row r="222" s="106" customFormat="1" ht="11.1" customHeight="1" x14ac:dyDescent="0.25"/>
    <row r="223" s="106" customFormat="1" ht="11.1" customHeight="1" x14ac:dyDescent="0.25"/>
    <row r="224" s="106" customFormat="1" ht="11.1" customHeight="1" x14ac:dyDescent="0.25"/>
    <row r="225" s="106" customFormat="1" ht="11.1" customHeight="1" x14ac:dyDescent="0.25"/>
    <row r="226" s="106" customFormat="1" ht="11.1" customHeight="1" x14ac:dyDescent="0.25"/>
    <row r="227" s="106" customFormat="1" ht="11.1" customHeight="1" x14ac:dyDescent="0.25"/>
    <row r="228" s="106" customFormat="1" ht="11.1" customHeight="1" x14ac:dyDescent="0.25"/>
    <row r="229" s="106" customFormat="1" ht="11.1" customHeight="1" x14ac:dyDescent="0.25"/>
    <row r="230" s="106" customFormat="1" ht="11.1" customHeight="1" x14ac:dyDescent="0.25"/>
    <row r="231" s="106" customFormat="1" ht="11.1" customHeight="1" x14ac:dyDescent="0.25"/>
    <row r="232" s="106" customFormat="1" ht="11.1" customHeight="1" x14ac:dyDescent="0.25"/>
    <row r="233" s="106" customFormat="1" ht="11.1" customHeight="1" x14ac:dyDescent="0.25"/>
    <row r="234" s="106" customFormat="1" ht="11.1" customHeight="1" x14ac:dyDescent="0.25"/>
    <row r="235" s="106" customFormat="1" ht="11.1" customHeight="1" x14ac:dyDescent="0.25"/>
    <row r="236" s="106" customFormat="1" ht="11.1" customHeight="1" x14ac:dyDescent="0.25"/>
    <row r="237" s="106" customFormat="1" ht="11.1" customHeight="1" x14ac:dyDescent="0.25"/>
    <row r="238" s="106" customFormat="1" ht="11.1" customHeight="1" x14ac:dyDescent="0.25"/>
    <row r="239" s="106" customFormat="1" ht="11.1" customHeight="1" x14ac:dyDescent="0.25"/>
    <row r="240" s="106" customFormat="1" ht="11.1" customHeight="1" x14ac:dyDescent="0.25"/>
    <row r="241" s="106" customFormat="1" ht="11.1" customHeight="1" x14ac:dyDescent="0.25"/>
    <row r="242" s="106" customFormat="1" ht="11.1" customHeight="1" x14ac:dyDescent="0.25"/>
    <row r="243" s="106" customFormat="1" ht="11.1" customHeight="1" x14ac:dyDescent="0.25"/>
    <row r="244" s="106" customFormat="1" ht="11.1" customHeight="1" x14ac:dyDescent="0.25"/>
    <row r="245" s="106" customFormat="1" ht="11.1" customHeight="1" x14ac:dyDescent="0.25"/>
    <row r="246" s="106" customFormat="1" ht="11.1" customHeight="1" x14ac:dyDescent="0.25"/>
    <row r="247" s="106" customFormat="1" ht="11.1" customHeight="1" x14ac:dyDescent="0.25"/>
    <row r="248" s="106" customFormat="1" ht="11.1" customHeight="1" x14ac:dyDescent="0.25"/>
    <row r="249" s="106" customFormat="1" ht="11.1" customHeight="1" x14ac:dyDescent="0.25"/>
    <row r="250" s="106" customFormat="1" ht="11.1" customHeight="1" x14ac:dyDescent="0.25"/>
    <row r="251" s="106" customFormat="1" ht="11.1" customHeight="1" x14ac:dyDescent="0.25"/>
    <row r="252" s="106" customFormat="1" ht="11.1" customHeight="1" x14ac:dyDescent="0.25"/>
    <row r="253" s="106" customFormat="1" ht="11.1" customHeight="1" x14ac:dyDescent="0.25"/>
    <row r="254" s="106" customFormat="1" ht="11.1" customHeight="1" x14ac:dyDescent="0.25"/>
    <row r="255" s="106" customFormat="1" ht="11.1" customHeight="1" x14ac:dyDescent="0.25"/>
    <row r="256" s="106" customFormat="1" ht="11.1" customHeight="1" x14ac:dyDescent="0.25"/>
    <row r="257" s="106" customFormat="1" ht="11.1" customHeight="1" x14ac:dyDescent="0.25"/>
    <row r="258" s="106" customFormat="1" ht="11.1" customHeight="1" x14ac:dyDescent="0.25"/>
    <row r="259" s="106" customFormat="1" ht="11.1" customHeight="1" x14ac:dyDescent="0.25"/>
    <row r="260" s="106" customFormat="1" ht="11.1" customHeight="1" x14ac:dyDescent="0.25"/>
    <row r="261" s="106" customFormat="1" ht="11.1" customHeight="1" x14ac:dyDescent="0.25"/>
    <row r="262" s="106" customFormat="1" ht="11.1" customHeight="1" x14ac:dyDescent="0.25"/>
    <row r="263" s="106" customFormat="1" ht="11.1" customHeight="1" x14ac:dyDescent="0.25"/>
    <row r="264" s="106" customFormat="1" ht="11.1" customHeight="1" x14ac:dyDescent="0.25"/>
    <row r="265" s="106" customFormat="1" ht="11.1" customHeight="1" x14ac:dyDescent="0.25"/>
    <row r="266" s="106" customFormat="1" ht="11.1" customHeight="1" x14ac:dyDescent="0.25"/>
    <row r="267" s="106" customFormat="1" ht="11.1" customHeight="1" x14ac:dyDescent="0.25"/>
    <row r="268" s="106" customFormat="1" ht="11.1" customHeight="1" x14ac:dyDescent="0.25"/>
    <row r="269" s="106" customFormat="1" ht="11.1" customHeight="1" x14ac:dyDescent="0.25"/>
    <row r="270" s="106" customFormat="1" ht="11.1" customHeight="1" x14ac:dyDescent="0.25"/>
    <row r="271" s="106" customFormat="1" ht="11.1" customHeight="1" x14ac:dyDescent="0.25"/>
    <row r="272" s="106" customFormat="1" ht="11.1" customHeight="1" x14ac:dyDescent="0.25"/>
    <row r="273" s="106" customFormat="1" ht="11.1" customHeight="1" x14ac:dyDescent="0.25"/>
    <row r="274" s="106" customFormat="1" ht="11.1" customHeight="1" x14ac:dyDescent="0.25"/>
    <row r="275" s="106" customFormat="1" ht="11.1" customHeight="1" x14ac:dyDescent="0.25"/>
    <row r="276" s="106" customFormat="1" ht="11.1" customHeight="1" x14ac:dyDescent="0.25"/>
    <row r="277" s="106" customFormat="1" ht="11.1" customHeight="1" x14ac:dyDescent="0.25"/>
    <row r="278" s="106" customFormat="1" ht="11.1" customHeight="1" x14ac:dyDescent="0.25"/>
    <row r="279" s="106" customFormat="1" ht="11.1" customHeight="1" x14ac:dyDescent="0.25"/>
    <row r="280" s="106" customFormat="1" ht="11.1" customHeight="1" x14ac:dyDescent="0.25"/>
    <row r="281" s="106" customFormat="1" ht="11.1" customHeight="1" x14ac:dyDescent="0.25"/>
    <row r="282" s="106" customFormat="1" ht="11.1" customHeight="1" x14ac:dyDescent="0.25"/>
    <row r="283" s="106" customFormat="1" ht="11.1" customHeight="1" x14ac:dyDescent="0.25"/>
    <row r="284" s="106" customFormat="1" ht="11.1" customHeight="1" x14ac:dyDescent="0.25"/>
    <row r="285" s="106" customFormat="1" ht="11.1" customHeight="1" x14ac:dyDescent="0.25"/>
    <row r="286" s="106" customFormat="1" ht="11.1" customHeight="1" x14ac:dyDescent="0.25"/>
    <row r="287" s="106" customFormat="1" ht="11.1" customHeight="1" x14ac:dyDescent="0.25"/>
    <row r="288" s="106" customFormat="1" ht="11.1" customHeight="1" x14ac:dyDescent="0.25"/>
    <row r="289" s="106" customFormat="1" ht="11.1" customHeight="1" x14ac:dyDescent="0.25"/>
    <row r="290" s="106" customFormat="1" ht="11.1" customHeight="1" x14ac:dyDescent="0.25"/>
    <row r="291" s="106" customFormat="1" ht="11.1" customHeight="1" x14ac:dyDescent="0.25"/>
    <row r="292" s="106" customFormat="1" ht="11.1" customHeight="1" x14ac:dyDescent="0.25"/>
    <row r="293" s="106" customFormat="1" ht="11.1" customHeight="1" x14ac:dyDescent="0.25"/>
    <row r="294" s="106" customFormat="1" ht="11.1" customHeight="1" x14ac:dyDescent="0.25"/>
    <row r="295" s="106" customFormat="1" ht="11.1" customHeight="1" x14ac:dyDescent="0.25"/>
    <row r="296" s="106" customFormat="1" ht="11.1" customHeight="1" x14ac:dyDescent="0.25"/>
    <row r="297" s="106" customFormat="1" ht="11.1" customHeight="1" x14ac:dyDescent="0.25"/>
    <row r="298" s="106" customFormat="1" ht="11.1" customHeight="1" x14ac:dyDescent="0.25"/>
    <row r="299" s="106" customFormat="1" ht="11.1" customHeight="1" x14ac:dyDescent="0.25"/>
    <row r="300" s="106" customFormat="1" ht="11.1" customHeight="1" x14ac:dyDescent="0.25"/>
    <row r="301" s="106" customFormat="1" ht="11.1" customHeight="1" x14ac:dyDescent="0.25"/>
    <row r="302" s="106" customFormat="1" ht="11.1" customHeight="1" x14ac:dyDescent="0.25"/>
    <row r="303" s="106" customFormat="1" ht="11.1" customHeight="1" x14ac:dyDescent="0.25"/>
    <row r="304" s="106" customFormat="1" ht="11.1" customHeight="1" x14ac:dyDescent="0.25"/>
    <row r="305" s="106" customFormat="1" ht="11.1" customHeight="1" x14ac:dyDescent="0.25"/>
    <row r="306" s="106" customFormat="1" ht="11.1" customHeight="1" x14ac:dyDescent="0.25"/>
    <row r="307" s="106" customFormat="1" ht="11.1" customHeight="1" x14ac:dyDescent="0.25"/>
    <row r="308" s="106" customFormat="1" ht="11.1" customHeight="1" x14ac:dyDescent="0.25"/>
    <row r="309" s="106" customFormat="1" ht="11.1" customHeight="1" x14ac:dyDescent="0.25"/>
    <row r="310" s="106" customFormat="1" ht="11.1" customHeight="1" x14ac:dyDescent="0.25"/>
    <row r="311" s="106" customFormat="1" ht="11.1" customHeight="1" x14ac:dyDescent="0.25"/>
    <row r="312" s="106" customFormat="1" ht="11.1" customHeight="1" x14ac:dyDescent="0.25"/>
    <row r="313" s="106" customFormat="1" ht="11.1" customHeight="1" x14ac:dyDescent="0.25"/>
    <row r="314" s="106" customFormat="1" ht="11.1" customHeight="1" x14ac:dyDescent="0.25"/>
    <row r="315" s="106" customFormat="1" ht="11.1" customHeight="1" x14ac:dyDescent="0.25"/>
    <row r="316" s="106" customFormat="1" ht="11.1" customHeight="1" x14ac:dyDescent="0.25"/>
    <row r="317" s="106" customFormat="1" ht="11.1" customHeight="1" x14ac:dyDescent="0.25"/>
    <row r="318" s="106" customFormat="1" ht="11.1" customHeight="1" x14ac:dyDescent="0.25"/>
    <row r="319" s="106" customFormat="1" ht="11.1" customHeight="1" x14ac:dyDescent="0.25"/>
    <row r="320" s="106" customFormat="1" ht="11.1" customHeight="1" x14ac:dyDescent="0.25"/>
    <row r="321" spans="1:16" s="106" customFormat="1" ht="11.1" customHeight="1" x14ac:dyDescent="0.25"/>
    <row r="322" spans="1:16" s="106" customFormat="1" ht="11.1" customHeight="1" x14ac:dyDescent="0.25"/>
    <row r="323" spans="1:16" s="106" customFormat="1" ht="11.1" customHeight="1" x14ac:dyDescent="0.25"/>
    <row r="324" spans="1:16" s="106" customFormat="1" ht="11.1" customHeight="1" x14ac:dyDescent="0.25"/>
    <row r="325" spans="1:16" s="106" customFormat="1" ht="11.1" customHeight="1" x14ac:dyDescent="0.25"/>
    <row r="326" spans="1:16" s="106" customFormat="1" ht="11.1" customHeight="1" x14ac:dyDescent="0.25"/>
    <row r="327" spans="1:16" s="106" customFormat="1" ht="11.1" customHeight="1" x14ac:dyDescent="0.25"/>
    <row r="328" spans="1:16" s="106" customFormat="1" ht="11.1" customHeight="1" x14ac:dyDescent="0.25"/>
    <row r="329" spans="1:16" s="106" customFormat="1" ht="11.1" customHeight="1" x14ac:dyDescent="0.25"/>
    <row r="330" spans="1:16" s="106" customFormat="1" ht="11.1" customHeight="1" x14ac:dyDescent="0.25"/>
    <row r="331" spans="1:16" s="106" customFormat="1" ht="11.1" customHeight="1" x14ac:dyDescent="0.25"/>
    <row r="332" spans="1:16" s="106" customFormat="1" ht="11.1" customHeight="1" x14ac:dyDescent="0.25"/>
    <row r="333" spans="1:16" s="106" customFormat="1" ht="11.1" customHeight="1" x14ac:dyDescent="0.25"/>
    <row r="334" spans="1:16" s="106" customFormat="1" ht="11.1" customHeight="1" x14ac:dyDescent="0.25">
      <c r="A334" s="104"/>
      <c r="B334" s="104"/>
      <c r="C334" s="104"/>
      <c r="D334" s="98"/>
      <c r="E334" s="98"/>
      <c r="F334" s="98"/>
      <c r="G334" s="98"/>
      <c r="H334" s="98"/>
      <c r="I334" s="150"/>
      <c r="J334" s="150"/>
      <c r="K334" s="150"/>
      <c r="L334" s="150"/>
      <c r="M334" s="150"/>
      <c r="N334" s="150"/>
      <c r="O334" s="150"/>
      <c r="P334" s="150"/>
    </row>
  </sheetData>
  <hyperlinks>
    <hyperlink ref="R1" location="Index!A1" display="Return to index" xr:uid="{00000000-0004-0000-1000-000000000000}"/>
  </hyperlinks>
  <pageMargins left="0.78740157480314965" right="0.78740157480314965" top="0.55118110236220474" bottom="0" header="0.51181102362204722" footer="0.51181102362204722"/>
  <pageSetup paperSize="9" scale="93" fitToHeight="7" orientation="landscape" horizontalDpi="4294967292" verticalDpi="4294967292" r:id="rId1"/>
  <headerFooter alignWithMargins="0"/>
  <colBreaks count="1" manualBreakCount="1">
    <brk id="16" max="56"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57"/>
  <sheetViews>
    <sheetView workbookViewId="0">
      <selection activeCell="C28" sqref="C28"/>
    </sheetView>
  </sheetViews>
  <sheetFormatPr defaultColWidth="9.109375" defaultRowHeight="12" x14ac:dyDescent="0.2"/>
  <cols>
    <col min="1" max="1" width="1.109375" style="135" customWidth="1"/>
    <col min="2" max="2" width="9.5546875" style="135" customWidth="1"/>
    <col min="3" max="3" width="132.44140625" style="135" customWidth="1"/>
    <col min="4" max="5" width="10.44140625" style="135" customWidth="1"/>
    <col min="6" max="14" width="9.109375" style="135"/>
    <col min="15" max="15" width="8.109375" style="135" customWidth="1"/>
    <col min="16" max="16384" width="9.109375" style="135"/>
  </cols>
  <sheetData>
    <row r="1" spans="1:27" ht="22.8" x14ac:dyDescent="0.4">
      <c r="A1" s="343" t="s">
        <v>19</v>
      </c>
      <c r="B1" s="344"/>
      <c r="C1" s="345"/>
      <c r="D1" s="352" t="s">
        <v>23</v>
      </c>
      <c r="E1" s="346"/>
      <c r="F1" s="346"/>
      <c r="G1" s="346"/>
      <c r="H1" s="347"/>
      <c r="I1" s="347"/>
      <c r="J1" s="347"/>
      <c r="K1" s="347"/>
      <c r="L1" s="347"/>
      <c r="M1" s="347"/>
      <c r="N1" s="347"/>
      <c r="O1" s="347"/>
      <c r="P1" s="347"/>
      <c r="Q1" s="347"/>
      <c r="R1" s="347"/>
      <c r="S1" s="347"/>
      <c r="T1" s="347"/>
      <c r="U1" s="347"/>
      <c r="V1" s="347"/>
      <c r="W1" s="347"/>
      <c r="X1" s="347"/>
      <c r="Y1" s="347"/>
      <c r="Z1" s="347"/>
      <c r="AA1" s="347"/>
    </row>
    <row r="2" spans="1:27" ht="17.399999999999999" x14ac:dyDescent="0.3">
      <c r="A2" s="344"/>
      <c r="B2" s="348"/>
      <c r="C2" s="345"/>
      <c r="D2" s="346"/>
      <c r="E2" s="346"/>
      <c r="F2" s="346"/>
      <c r="G2" s="346"/>
      <c r="H2" s="347"/>
      <c r="I2" s="347"/>
      <c r="J2" s="347"/>
      <c r="K2" s="347"/>
      <c r="L2" s="347"/>
      <c r="M2" s="347"/>
      <c r="N2" s="347"/>
      <c r="O2" s="347"/>
      <c r="P2" s="347"/>
      <c r="Q2" s="347"/>
      <c r="R2" s="347"/>
      <c r="S2" s="347"/>
      <c r="T2" s="347"/>
      <c r="U2" s="347"/>
      <c r="V2" s="347"/>
      <c r="W2" s="347"/>
      <c r="X2" s="347"/>
      <c r="Y2" s="347"/>
      <c r="Z2" s="347"/>
      <c r="AA2" s="347"/>
    </row>
    <row r="3" spans="1:27" ht="13.2" x14ac:dyDescent="0.25">
      <c r="A3" s="344"/>
      <c r="B3" s="349" t="s">
        <v>20</v>
      </c>
      <c r="C3" s="345"/>
      <c r="D3" s="346"/>
      <c r="E3" s="346"/>
      <c r="F3" s="346"/>
      <c r="G3" s="346"/>
      <c r="H3" s="347"/>
      <c r="I3" s="347"/>
      <c r="J3" s="347"/>
      <c r="K3" s="347"/>
      <c r="L3" s="347"/>
      <c r="M3" s="347"/>
      <c r="N3" s="347"/>
      <c r="O3" s="347"/>
      <c r="P3" s="347"/>
      <c r="Q3" s="347"/>
      <c r="R3" s="347"/>
      <c r="S3" s="347"/>
      <c r="T3" s="347"/>
      <c r="U3" s="347"/>
      <c r="V3" s="347"/>
      <c r="W3" s="347"/>
      <c r="X3" s="347"/>
      <c r="Y3" s="347"/>
      <c r="Z3" s="347"/>
      <c r="AA3" s="347"/>
    </row>
    <row r="4" spans="1:27" ht="13.2" x14ac:dyDescent="0.25">
      <c r="A4" s="344"/>
      <c r="B4" s="349"/>
      <c r="C4" s="345"/>
      <c r="D4" s="346"/>
      <c r="E4" s="346"/>
      <c r="F4" s="346"/>
      <c r="G4" s="346"/>
      <c r="H4" s="347"/>
      <c r="I4" s="347"/>
      <c r="J4" s="347"/>
      <c r="K4" s="347"/>
      <c r="L4" s="347"/>
      <c r="M4" s="347"/>
      <c r="N4" s="347"/>
      <c r="O4" s="347"/>
      <c r="P4" s="347"/>
      <c r="Q4" s="347"/>
      <c r="R4" s="347"/>
      <c r="S4" s="347"/>
      <c r="T4" s="347"/>
      <c r="U4" s="347"/>
      <c r="V4" s="347"/>
      <c r="W4" s="347"/>
      <c r="X4" s="347"/>
      <c r="Y4" s="347"/>
      <c r="Z4" s="347"/>
      <c r="AA4" s="347"/>
    </row>
    <row r="5" spans="1:27" ht="15" customHeight="1" x14ac:dyDescent="0.25">
      <c r="A5" s="344"/>
      <c r="B5" s="350" t="s">
        <v>405</v>
      </c>
      <c r="C5" s="345" t="s">
        <v>406</v>
      </c>
      <c r="D5" s="346"/>
      <c r="E5" s="346"/>
      <c r="F5" s="346"/>
      <c r="G5" s="346"/>
      <c r="H5" s="347"/>
      <c r="I5" s="347"/>
      <c r="J5" s="347"/>
      <c r="K5" s="347"/>
      <c r="L5" s="347"/>
      <c r="M5" s="347"/>
      <c r="N5" s="347"/>
      <c r="O5" s="347"/>
      <c r="P5" s="347"/>
      <c r="Q5" s="347"/>
      <c r="R5" s="347"/>
      <c r="S5" s="347"/>
      <c r="T5" s="347"/>
      <c r="U5" s="347"/>
      <c r="V5" s="347"/>
      <c r="W5" s="347"/>
      <c r="X5" s="347"/>
      <c r="Y5" s="347"/>
      <c r="Z5" s="347"/>
      <c r="AA5" s="347"/>
    </row>
    <row r="6" spans="1:27" ht="15" customHeight="1" x14ac:dyDescent="0.25">
      <c r="A6" s="344"/>
      <c r="B6" s="350" t="s">
        <v>407</v>
      </c>
      <c r="C6" s="345" t="s">
        <v>408</v>
      </c>
      <c r="D6" s="346"/>
      <c r="E6" s="346"/>
      <c r="F6" s="346"/>
      <c r="G6" s="346"/>
      <c r="H6" s="347"/>
      <c r="I6" s="347"/>
      <c r="J6" s="347"/>
      <c r="K6" s="347"/>
      <c r="L6" s="347"/>
      <c r="M6" s="347"/>
      <c r="N6" s="347"/>
      <c r="O6" s="347"/>
      <c r="P6" s="347"/>
      <c r="Q6" s="347"/>
      <c r="R6" s="347"/>
      <c r="S6" s="347"/>
      <c r="T6" s="347"/>
      <c r="U6" s="347"/>
      <c r="V6" s="347"/>
      <c r="W6" s="347"/>
      <c r="X6" s="347"/>
      <c r="Y6" s="347"/>
      <c r="Z6" s="347"/>
      <c r="AA6" s="347"/>
    </row>
    <row r="7" spans="1:27" ht="15" customHeight="1" x14ac:dyDescent="0.25">
      <c r="A7" s="344"/>
      <c r="B7" s="350" t="s">
        <v>409</v>
      </c>
      <c r="C7" s="345" t="s">
        <v>410</v>
      </c>
      <c r="D7" s="346"/>
      <c r="E7" s="346"/>
      <c r="F7" s="346"/>
      <c r="G7" s="346"/>
      <c r="H7" s="347"/>
      <c r="I7" s="347"/>
      <c r="J7" s="347"/>
      <c r="K7" s="347"/>
      <c r="L7" s="347"/>
      <c r="M7" s="347"/>
      <c r="N7" s="347"/>
      <c r="O7" s="347"/>
      <c r="P7" s="347"/>
      <c r="Q7" s="347"/>
      <c r="R7" s="347"/>
      <c r="S7" s="347"/>
      <c r="T7" s="347"/>
      <c r="U7" s="347"/>
      <c r="V7" s="347"/>
      <c r="W7" s="347"/>
      <c r="X7" s="347"/>
      <c r="Y7" s="347"/>
      <c r="Z7" s="347"/>
      <c r="AA7" s="347"/>
    </row>
    <row r="8" spans="1:27" ht="15" customHeight="1" x14ac:dyDescent="0.25">
      <c r="A8" s="344"/>
      <c r="B8" s="350" t="s">
        <v>411</v>
      </c>
      <c r="C8" s="345" t="s">
        <v>412</v>
      </c>
      <c r="D8" s="346"/>
      <c r="E8" s="346"/>
      <c r="F8" s="346"/>
      <c r="G8" s="346"/>
      <c r="H8" s="347"/>
      <c r="I8" s="347"/>
      <c r="J8" s="347"/>
      <c r="K8" s="347"/>
      <c r="L8" s="347"/>
      <c r="M8" s="347"/>
      <c r="N8" s="347"/>
      <c r="O8" s="347"/>
      <c r="P8" s="347"/>
      <c r="Q8" s="347"/>
      <c r="R8" s="347"/>
      <c r="S8" s="347"/>
      <c r="T8" s="347"/>
      <c r="U8" s="347"/>
      <c r="V8" s="347"/>
      <c r="W8" s="347"/>
      <c r="X8" s="347"/>
      <c r="Y8" s="347"/>
      <c r="Z8" s="347"/>
      <c r="AA8" s="347"/>
    </row>
    <row r="9" spans="1:27" ht="15" customHeight="1" x14ac:dyDescent="0.25">
      <c r="A9" s="344"/>
      <c r="B9" s="350" t="s">
        <v>413</v>
      </c>
      <c r="C9" s="345" t="s">
        <v>414</v>
      </c>
      <c r="D9" s="346"/>
      <c r="E9" s="346"/>
      <c r="F9" s="346"/>
      <c r="G9" s="346"/>
      <c r="H9" s="347"/>
      <c r="I9" s="347"/>
      <c r="J9" s="347"/>
      <c r="K9" s="347"/>
      <c r="L9" s="347"/>
      <c r="M9" s="347"/>
      <c r="N9" s="347"/>
      <c r="O9" s="347"/>
      <c r="P9" s="347"/>
      <c r="Q9" s="347"/>
      <c r="R9" s="347"/>
      <c r="S9" s="347"/>
      <c r="T9" s="347"/>
      <c r="U9" s="347"/>
      <c r="V9" s="347"/>
      <c r="W9" s="347"/>
      <c r="X9" s="347"/>
      <c r="Y9" s="347"/>
      <c r="Z9" s="347"/>
      <c r="AA9" s="347"/>
    </row>
    <row r="10" spans="1:27" ht="11.25" customHeight="1" x14ac:dyDescent="0.25">
      <c r="A10" s="344"/>
      <c r="B10" s="351"/>
      <c r="C10" s="351"/>
      <c r="D10" s="346"/>
      <c r="E10" s="346"/>
      <c r="F10" s="346"/>
      <c r="G10" s="346"/>
      <c r="H10" s="347"/>
      <c r="I10" s="347"/>
      <c r="J10" s="347"/>
      <c r="K10" s="347"/>
      <c r="L10" s="347"/>
      <c r="M10" s="347"/>
      <c r="N10" s="347"/>
      <c r="O10" s="347"/>
      <c r="P10" s="347"/>
      <c r="Q10" s="347"/>
      <c r="R10" s="347"/>
      <c r="S10" s="347"/>
      <c r="T10" s="347"/>
      <c r="U10" s="347"/>
      <c r="V10" s="347"/>
      <c r="W10" s="347"/>
      <c r="X10" s="347"/>
      <c r="Y10" s="347"/>
      <c r="Z10" s="347"/>
      <c r="AA10" s="347"/>
    </row>
    <row r="11" spans="1:27" x14ac:dyDescent="0.2">
      <c r="A11" s="344"/>
      <c r="B11" s="344"/>
      <c r="C11" s="344"/>
      <c r="D11" s="347"/>
      <c r="E11" s="347"/>
      <c r="F11" s="347"/>
      <c r="G11" s="347"/>
      <c r="H11" s="347"/>
      <c r="I11" s="347"/>
      <c r="J11" s="347"/>
      <c r="K11" s="347"/>
      <c r="L11" s="347"/>
      <c r="M11" s="347"/>
      <c r="N11" s="347"/>
      <c r="O11" s="347"/>
      <c r="P11" s="347"/>
      <c r="Q11" s="347"/>
      <c r="R11" s="347"/>
      <c r="S11" s="347"/>
      <c r="T11" s="347"/>
      <c r="U11" s="347"/>
      <c r="V11" s="347"/>
      <c r="W11" s="347"/>
      <c r="X11" s="347"/>
      <c r="Y11" s="347"/>
      <c r="Z11" s="347"/>
      <c r="AA11" s="347"/>
    </row>
    <row r="12" spans="1:27" x14ac:dyDescent="0.2">
      <c r="A12" s="344"/>
      <c r="B12" s="344"/>
      <c r="C12" s="344"/>
      <c r="D12" s="347"/>
      <c r="E12" s="347"/>
      <c r="F12" s="347"/>
      <c r="G12" s="347"/>
      <c r="H12" s="347"/>
      <c r="I12" s="347"/>
      <c r="J12" s="347"/>
      <c r="K12" s="347"/>
      <c r="L12" s="347"/>
      <c r="M12" s="347"/>
      <c r="N12" s="347"/>
      <c r="O12" s="347"/>
      <c r="P12" s="347"/>
      <c r="Q12" s="347"/>
      <c r="R12" s="347"/>
      <c r="S12" s="347"/>
      <c r="T12" s="347"/>
      <c r="U12" s="347"/>
      <c r="V12" s="347"/>
      <c r="W12" s="347"/>
      <c r="X12" s="347"/>
      <c r="Y12" s="347"/>
      <c r="Z12" s="347"/>
      <c r="AA12" s="347"/>
    </row>
    <row r="13" spans="1:27" x14ac:dyDescent="0.2">
      <c r="A13" s="344"/>
      <c r="B13" s="344"/>
      <c r="C13" s="344"/>
      <c r="D13" s="347"/>
      <c r="E13" s="347"/>
      <c r="F13" s="347"/>
      <c r="G13" s="347"/>
      <c r="H13" s="347"/>
      <c r="I13" s="347"/>
      <c r="J13" s="347"/>
      <c r="K13" s="347"/>
      <c r="L13" s="347"/>
      <c r="M13" s="347"/>
      <c r="N13" s="347"/>
      <c r="O13" s="347"/>
      <c r="P13" s="347"/>
      <c r="Q13" s="347"/>
      <c r="R13" s="347"/>
      <c r="S13" s="347"/>
      <c r="T13" s="347"/>
      <c r="U13" s="347"/>
      <c r="V13" s="347"/>
      <c r="W13" s="347"/>
      <c r="X13" s="347"/>
      <c r="Y13" s="347"/>
      <c r="Z13" s="347"/>
      <c r="AA13" s="347"/>
    </row>
    <row r="14" spans="1:27" x14ac:dyDescent="0.2">
      <c r="A14" s="347"/>
      <c r="B14" s="347"/>
      <c r="C14" s="347"/>
      <c r="D14" s="347"/>
      <c r="E14" s="347"/>
      <c r="F14" s="347"/>
      <c r="G14" s="347"/>
      <c r="H14" s="347"/>
      <c r="I14" s="347"/>
      <c r="J14" s="347"/>
      <c r="K14" s="347"/>
      <c r="L14" s="347"/>
      <c r="M14" s="347"/>
      <c r="N14" s="347"/>
      <c r="O14" s="347"/>
      <c r="P14" s="347"/>
      <c r="Q14" s="347"/>
      <c r="R14" s="347"/>
      <c r="S14" s="347"/>
      <c r="T14" s="347"/>
      <c r="U14" s="347"/>
      <c r="V14" s="347"/>
      <c r="W14" s="347"/>
      <c r="X14" s="347"/>
      <c r="Y14" s="347"/>
      <c r="Z14" s="347"/>
      <c r="AA14" s="347"/>
    </row>
    <row r="15" spans="1:27" x14ac:dyDescent="0.2">
      <c r="A15" s="347"/>
      <c r="B15" s="347"/>
      <c r="C15" s="347"/>
      <c r="D15" s="347"/>
      <c r="E15" s="347"/>
      <c r="F15" s="347"/>
      <c r="G15" s="347"/>
      <c r="H15" s="347"/>
      <c r="I15" s="347"/>
      <c r="J15" s="347"/>
      <c r="K15" s="347"/>
      <c r="L15" s="347"/>
      <c r="M15" s="347"/>
      <c r="N15" s="347"/>
      <c r="O15" s="347"/>
      <c r="P15" s="347"/>
      <c r="Q15" s="347"/>
      <c r="R15" s="347"/>
      <c r="S15" s="347"/>
      <c r="T15" s="347"/>
      <c r="U15" s="347"/>
      <c r="V15" s="347"/>
      <c r="W15" s="347"/>
      <c r="X15" s="347"/>
      <c r="Y15" s="347"/>
      <c r="Z15" s="347"/>
      <c r="AA15" s="347"/>
    </row>
    <row r="16" spans="1:27" x14ac:dyDescent="0.2">
      <c r="A16" s="347"/>
      <c r="B16" s="347"/>
      <c r="C16" s="347"/>
      <c r="D16" s="347"/>
      <c r="E16" s="347"/>
      <c r="F16" s="347"/>
      <c r="G16" s="347"/>
      <c r="H16" s="347"/>
      <c r="I16" s="347"/>
      <c r="J16" s="347"/>
      <c r="K16" s="347"/>
      <c r="L16" s="347"/>
      <c r="M16" s="347"/>
      <c r="N16" s="347"/>
      <c r="O16" s="347"/>
      <c r="P16" s="347"/>
      <c r="Q16" s="347"/>
      <c r="R16" s="347"/>
      <c r="S16" s="347"/>
      <c r="T16" s="347"/>
      <c r="U16" s="347"/>
      <c r="V16" s="347"/>
      <c r="W16" s="347"/>
      <c r="X16" s="347"/>
      <c r="Y16" s="347"/>
      <c r="Z16" s="347"/>
      <c r="AA16" s="347"/>
    </row>
    <row r="17" spans="1:27" x14ac:dyDescent="0.2">
      <c r="A17" s="347"/>
      <c r="B17" s="347"/>
      <c r="C17" s="347"/>
      <c r="D17" s="347"/>
      <c r="E17" s="347"/>
      <c r="F17" s="347"/>
      <c r="G17" s="347"/>
      <c r="H17" s="347"/>
      <c r="I17" s="347"/>
      <c r="J17" s="347"/>
      <c r="K17" s="347"/>
      <c r="L17" s="347"/>
      <c r="M17" s="347"/>
      <c r="N17" s="347"/>
      <c r="O17" s="347"/>
      <c r="P17" s="347"/>
      <c r="Q17" s="347"/>
      <c r="R17" s="347"/>
      <c r="S17" s="347"/>
      <c r="T17" s="347"/>
      <c r="U17" s="347"/>
      <c r="V17" s="347"/>
      <c r="W17" s="347"/>
      <c r="X17" s="347"/>
      <c r="Y17" s="347"/>
      <c r="Z17" s="347"/>
      <c r="AA17" s="347"/>
    </row>
    <row r="18" spans="1:27" x14ac:dyDescent="0.2">
      <c r="A18" s="347"/>
      <c r="B18" s="347"/>
      <c r="C18" s="347"/>
      <c r="D18" s="347"/>
      <c r="E18" s="347"/>
      <c r="F18" s="347"/>
      <c r="G18" s="347"/>
      <c r="H18" s="347"/>
      <c r="I18" s="347"/>
      <c r="J18" s="347"/>
      <c r="K18" s="347"/>
      <c r="L18" s="347"/>
      <c r="M18" s="347"/>
      <c r="N18" s="347"/>
      <c r="O18" s="347"/>
      <c r="P18" s="347"/>
      <c r="Q18" s="347"/>
      <c r="R18" s="347"/>
      <c r="S18" s="347"/>
      <c r="T18" s="347"/>
      <c r="U18" s="347"/>
      <c r="V18" s="347"/>
      <c r="W18" s="347"/>
      <c r="X18" s="347"/>
      <c r="Y18" s="347"/>
      <c r="Z18" s="347"/>
      <c r="AA18" s="347"/>
    </row>
    <row r="19" spans="1:27" x14ac:dyDescent="0.2">
      <c r="A19" s="347"/>
      <c r="B19" s="347"/>
      <c r="C19" s="347"/>
      <c r="D19" s="347"/>
      <c r="E19" s="347"/>
      <c r="F19" s="347"/>
      <c r="G19" s="347"/>
      <c r="H19" s="347"/>
      <c r="I19" s="347"/>
      <c r="J19" s="347"/>
      <c r="K19" s="347"/>
      <c r="L19" s="347"/>
      <c r="M19" s="347"/>
      <c r="N19" s="347"/>
      <c r="O19" s="347"/>
      <c r="P19" s="347"/>
      <c r="Q19" s="347"/>
      <c r="R19" s="347"/>
      <c r="S19" s="347"/>
      <c r="T19" s="347"/>
      <c r="U19" s="347"/>
      <c r="V19" s="347"/>
      <c r="W19" s="347"/>
      <c r="X19" s="347"/>
      <c r="Y19" s="347"/>
      <c r="Z19" s="347"/>
      <c r="AA19" s="347"/>
    </row>
    <row r="20" spans="1:27" x14ac:dyDescent="0.2">
      <c r="A20" s="347"/>
      <c r="B20" s="347"/>
      <c r="C20" s="347"/>
      <c r="D20" s="347"/>
      <c r="E20" s="347"/>
      <c r="F20" s="347"/>
      <c r="G20" s="347"/>
      <c r="H20" s="347"/>
      <c r="I20" s="347"/>
      <c r="J20" s="347"/>
      <c r="K20" s="347"/>
      <c r="L20" s="347"/>
      <c r="M20" s="347"/>
      <c r="N20" s="347"/>
      <c r="O20" s="347"/>
      <c r="P20" s="347"/>
      <c r="Q20" s="347"/>
      <c r="R20" s="347"/>
      <c r="S20" s="347"/>
      <c r="T20" s="347"/>
      <c r="U20" s="347"/>
      <c r="V20" s="347"/>
      <c r="W20" s="347"/>
      <c r="X20" s="347"/>
      <c r="Y20" s="347"/>
      <c r="Z20" s="347"/>
      <c r="AA20" s="347"/>
    </row>
    <row r="21" spans="1:27" x14ac:dyDescent="0.2">
      <c r="A21" s="347"/>
      <c r="B21" s="347"/>
      <c r="C21" s="347"/>
      <c r="D21" s="347"/>
      <c r="E21" s="347"/>
      <c r="F21" s="347"/>
      <c r="G21" s="347"/>
      <c r="H21" s="347"/>
      <c r="I21" s="347"/>
      <c r="J21" s="347"/>
      <c r="K21" s="347"/>
      <c r="L21" s="347"/>
      <c r="M21" s="347"/>
      <c r="N21" s="347"/>
      <c r="O21" s="347"/>
      <c r="P21" s="347"/>
      <c r="Q21" s="347"/>
      <c r="R21" s="347"/>
      <c r="S21" s="347"/>
      <c r="T21" s="347"/>
      <c r="U21" s="347"/>
      <c r="V21" s="347"/>
      <c r="W21" s="347"/>
      <c r="X21" s="347"/>
      <c r="Y21" s="347"/>
      <c r="Z21" s="347"/>
      <c r="AA21" s="347"/>
    </row>
    <row r="22" spans="1:27" x14ac:dyDescent="0.2">
      <c r="A22" s="347"/>
      <c r="B22" s="347"/>
      <c r="C22" s="347"/>
      <c r="D22" s="347"/>
      <c r="E22" s="347"/>
      <c r="F22" s="347"/>
      <c r="G22" s="347"/>
      <c r="H22" s="347"/>
      <c r="I22" s="347"/>
      <c r="J22" s="347"/>
      <c r="K22" s="347"/>
      <c r="L22" s="347"/>
      <c r="M22" s="347"/>
      <c r="N22" s="347"/>
      <c r="O22" s="347"/>
      <c r="P22" s="347"/>
      <c r="Q22" s="347"/>
      <c r="R22" s="347"/>
      <c r="S22" s="347"/>
      <c r="T22" s="347"/>
      <c r="U22" s="347"/>
      <c r="V22" s="347"/>
      <c r="W22" s="347"/>
      <c r="X22" s="347"/>
      <c r="Y22" s="347"/>
      <c r="Z22" s="347"/>
      <c r="AA22" s="347"/>
    </row>
    <row r="23" spans="1:27" x14ac:dyDescent="0.2">
      <c r="A23" s="347"/>
      <c r="B23" s="347"/>
      <c r="C23" s="347"/>
      <c r="D23" s="347"/>
      <c r="E23" s="347"/>
      <c r="F23" s="347"/>
      <c r="G23" s="347"/>
      <c r="H23" s="347"/>
      <c r="I23" s="347"/>
      <c r="J23" s="347"/>
      <c r="K23" s="347"/>
      <c r="L23" s="347"/>
      <c r="M23" s="347"/>
      <c r="N23" s="347"/>
      <c r="O23" s="347"/>
      <c r="P23" s="347"/>
      <c r="Q23" s="347"/>
      <c r="R23" s="347"/>
      <c r="S23" s="347"/>
      <c r="T23" s="347"/>
      <c r="U23" s="347"/>
      <c r="V23" s="347"/>
      <c r="W23" s="347"/>
      <c r="X23" s="347"/>
      <c r="Y23" s="347"/>
      <c r="Z23" s="347"/>
      <c r="AA23" s="347"/>
    </row>
    <row r="24" spans="1:27" x14ac:dyDescent="0.2">
      <c r="A24" s="347"/>
      <c r="B24" s="347"/>
      <c r="C24" s="347"/>
      <c r="D24" s="347"/>
      <c r="E24" s="347"/>
      <c r="F24" s="347"/>
      <c r="G24" s="347"/>
      <c r="H24" s="347"/>
      <c r="I24" s="347"/>
      <c r="J24" s="347"/>
      <c r="K24" s="347"/>
      <c r="L24" s="347"/>
      <c r="M24" s="347"/>
      <c r="N24" s="347"/>
      <c r="O24" s="347"/>
      <c r="P24" s="347"/>
      <c r="Q24" s="347"/>
      <c r="R24" s="347"/>
      <c r="S24" s="347"/>
      <c r="T24" s="347"/>
      <c r="U24" s="347"/>
      <c r="V24" s="347"/>
      <c r="W24" s="347"/>
      <c r="X24" s="347"/>
      <c r="Y24" s="347"/>
      <c r="Z24" s="347"/>
      <c r="AA24" s="347"/>
    </row>
    <row r="25" spans="1:27" x14ac:dyDescent="0.2">
      <c r="A25" s="347"/>
      <c r="B25" s="347"/>
      <c r="C25" s="347"/>
      <c r="D25" s="347"/>
      <c r="E25" s="347"/>
      <c r="F25" s="347"/>
      <c r="G25" s="347"/>
      <c r="H25" s="347"/>
      <c r="I25" s="347"/>
      <c r="J25" s="347"/>
      <c r="K25" s="347"/>
      <c r="L25" s="347"/>
      <c r="M25" s="347"/>
      <c r="N25" s="347"/>
      <c r="O25" s="347"/>
      <c r="P25" s="347"/>
      <c r="Q25" s="347"/>
      <c r="R25" s="347"/>
      <c r="S25" s="347"/>
      <c r="T25" s="347"/>
      <c r="U25" s="347"/>
      <c r="V25" s="347"/>
      <c r="W25" s="347"/>
      <c r="X25" s="347"/>
      <c r="Y25" s="347"/>
      <c r="Z25" s="347"/>
      <c r="AA25" s="347"/>
    </row>
    <row r="26" spans="1:27" x14ac:dyDescent="0.2">
      <c r="A26" s="347"/>
      <c r="B26" s="347"/>
      <c r="C26" s="347"/>
      <c r="D26" s="347"/>
      <c r="E26" s="347"/>
      <c r="F26" s="347"/>
      <c r="G26" s="347"/>
      <c r="H26" s="347"/>
      <c r="I26" s="347"/>
      <c r="J26" s="347"/>
      <c r="K26" s="347"/>
      <c r="L26" s="347"/>
      <c r="M26" s="347"/>
      <c r="N26" s="347"/>
      <c r="O26" s="347"/>
      <c r="P26" s="347"/>
      <c r="Q26" s="347"/>
      <c r="R26" s="347"/>
      <c r="S26" s="347"/>
      <c r="T26" s="347"/>
      <c r="U26" s="347"/>
      <c r="V26" s="347"/>
      <c r="W26" s="347"/>
      <c r="X26" s="347"/>
      <c r="Y26" s="347"/>
      <c r="Z26" s="347"/>
      <c r="AA26" s="347"/>
    </row>
    <row r="27" spans="1:27" x14ac:dyDescent="0.2">
      <c r="A27" s="347"/>
      <c r="B27" s="347"/>
      <c r="C27" s="347"/>
      <c r="D27" s="347"/>
      <c r="E27" s="347"/>
      <c r="F27" s="347"/>
      <c r="G27" s="347"/>
      <c r="H27" s="347"/>
      <c r="I27" s="347"/>
      <c r="J27" s="347"/>
      <c r="K27" s="347"/>
      <c r="L27" s="347"/>
      <c r="M27" s="347"/>
      <c r="N27" s="347"/>
      <c r="O27" s="347"/>
      <c r="P27" s="347"/>
      <c r="Q27" s="347"/>
      <c r="R27" s="347"/>
      <c r="S27" s="347"/>
      <c r="T27" s="347"/>
      <c r="U27" s="347"/>
      <c r="V27" s="347"/>
      <c r="W27" s="347"/>
      <c r="X27" s="347"/>
      <c r="Y27" s="347"/>
      <c r="Z27" s="347"/>
      <c r="AA27" s="347"/>
    </row>
    <row r="28" spans="1:27" x14ac:dyDescent="0.2">
      <c r="A28" s="347"/>
      <c r="B28" s="347"/>
      <c r="C28" s="347"/>
      <c r="D28" s="347"/>
      <c r="E28" s="347"/>
      <c r="F28" s="347"/>
      <c r="G28" s="347"/>
      <c r="H28" s="347"/>
      <c r="I28" s="347"/>
      <c r="J28" s="347"/>
      <c r="K28" s="347"/>
      <c r="L28" s="347"/>
      <c r="M28" s="347"/>
      <c r="N28" s="347"/>
      <c r="O28" s="347"/>
      <c r="P28" s="347"/>
      <c r="Q28" s="347"/>
      <c r="R28" s="347"/>
      <c r="S28" s="347"/>
      <c r="T28" s="347"/>
      <c r="U28" s="347"/>
      <c r="V28" s="347"/>
      <c r="W28" s="347"/>
      <c r="X28" s="347"/>
      <c r="Y28" s="347"/>
      <c r="Z28" s="347"/>
      <c r="AA28" s="347"/>
    </row>
    <row r="29" spans="1:27" x14ac:dyDescent="0.2">
      <c r="A29" s="347"/>
      <c r="B29" s="347"/>
      <c r="C29" s="347"/>
      <c r="D29" s="347"/>
      <c r="E29" s="347"/>
      <c r="F29" s="347"/>
      <c r="G29" s="347"/>
      <c r="H29" s="347"/>
      <c r="I29" s="347"/>
      <c r="J29" s="347"/>
      <c r="K29" s="347"/>
      <c r="L29" s="347"/>
      <c r="M29" s="347"/>
      <c r="N29" s="347"/>
      <c r="O29" s="347"/>
      <c r="P29" s="347"/>
      <c r="Q29" s="347"/>
      <c r="R29" s="347"/>
      <c r="S29" s="347"/>
      <c r="T29" s="347"/>
      <c r="U29" s="347"/>
      <c r="V29" s="347"/>
      <c r="W29" s="347"/>
      <c r="X29" s="347"/>
      <c r="Y29" s="347"/>
      <c r="Z29" s="347"/>
      <c r="AA29" s="347"/>
    </row>
    <row r="30" spans="1:27" x14ac:dyDescent="0.2">
      <c r="A30" s="347"/>
      <c r="B30" s="347"/>
      <c r="C30" s="347"/>
      <c r="D30" s="347"/>
      <c r="E30" s="347"/>
      <c r="F30" s="347"/>
      <c r="G30" s="347"/>
      <c r="H30" s="347"/>
      <c r="I30" s="347"/>
      <c r="J30" s="347"/>
      <c r="K30" s="347"/>
      <c r="L30" s="347"/>
      <c r="M30" s="347"/>
      <c r="N30" s="347"/>
      <c r="O30" s="347"/>
      <c r="P30" s="347"/>
      <c r="Q30" s="347"/>
      <c r="R30" s="347"/>
      <c r="S30" s="347"/>
      <c r="T30" s="347"/>
      <c r="U30" s="347"/>
      <c r="V30" s="347"/>
      <c r="W30" s="347"/>
      <c r="X30" s="347"/>
      <c r="Y30" s="347"/>
      <c r="Z30" s="347"/>
      <c r="AA30" s="347"/>
    </row>
    <row r="31" spans="1:27" x14ac:dyDescent="0.2">
      <c r="A31" s="347"/>
      <c r="B31" s="347"/>
      <c r="C31" s="347"/>
      <c r="D31" s="347"/>
      <c r="E31" s="347"/>
      <c r="F31" s="347"/>
      <c r="G31" s="347"/>
      <c r="H31" s="347"/>
      <c r="I31" s="347"/>
      <c r="J31" s="347"/>
      <c r="K31" s="347"/>
      <c r="L31" s="347"/>
      <c r="M31" s="347"/>
      <c r="N31" s="347"/>
      <c r="O31" s="347"/>
      <c r="P31" s="347"/>
      <c r="Q31" s="347"/>
      <c r="R31" s="347"/>
      <c r="S31" s="347"/>
      <c r="T31" s="347"/>
      <c r="U31" s="347"/>
      <c r="V31" s="347"/>
      <c r="W31" s="347"/>
      <c r="X31" s="347"/>
      <c r="Y31" s="347"/>
      <c r="Z31" s="347"/>
      <c r="AA31" s="347"/>
    </row>
    <row r="32" spans="1:27" x14ac:dyDescent="0.2">
      <c r="A32" s="347"/>
      <c r="B32" s="347"/>
      <c r="C32" s="347"/>
      <c r="D32" s="347"/>
      <c r="E32" s="347"/>
      <c r="F32" s="347"/>
      <c r="G32" s="347"/>
      <c r="H32" s="347"/>
      <c r="I32" s="347"/>
      <c r="J32" s="347"/>
      <c r="K32" s="347"/>
      <c r="L32" s="347"/>
      <c r="M32" s="347"/>
      <c r="N32" s="347"/>
      <c r="O32" s="347"/>
      <c r="P32" s="347"/>
      <c r="Q32" s="347"/>
      <c r="R32" s="347"/>
      <c r="S32" s="347"/>
      <c r="T32" s="347"/>
      <c r="U32" s="347"/>
      <c r="V32" s="347"/>
      <c r="W32" s="347"/>
      <c r="X32" s="347"/>
      <c r="Y32" s="347"/>
      <c r="Z32" s="347"/>
      <c r="AA32" s="347"/>
    </row>
    <row r="33" spans="1:27" x14ac:dyDescent="0.2">
      <c r="A33" s="347"/>
      <c r="B33" s="347"/>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row>
    <row r="34" spans="1:27" x14ac:dyDescent="0.2">
      <c r="A34" s="347"/>
      <c r="B34" s="347"/>
      <c r="C34" s="347"/>
      <c r="D34" s="347"/>
      <c r="E34" s="347"/>
      <c r="F34" s="347"/>
      <c r="G34" s="347"/>
      <c r="H34" s="347"/>
      <c r="I34" s="347"/>
      <c r="J34" s="347"/>
      <c r="K34" s="347"/>
      <c r="L34" s="347"/>
      <c r="M34" s="347"/>
      <c r="N34" s="347"/>
      <c r="O34" s="347"/>
      <c r="P34" s="347"/>
      <c r="Q34" s="347"/>
      <c r="R34" s="347"/>
      <c r="S34" s="347"/>
      <c r="T34" s="347"/>
      <c r="U34" s="347"/>
      <c r="V34" s="347"/>
      <c r="W34" s="347"/>
      <c r="X34" s="347"/>
      <c r="Y34" s="347"/>
      <c r="Z34" s="347"/>
      <c r="AA34" s="347"/>
    </row>
    <row r="35" spans="1:27" x14ac:dyDescent="0.2">
      <c r="A35" s="347"/>
      <c r="B35" s="347"/>
      <c r="C35" s="347"/>
      <c r="D35" s="347"/>
      <c r="E35" s="347"/>
      <c r="F35" s="347"/>
      <c r="G35" s="347"/>
      <c r="H35" s="347"/>
      <c r="I35" s="347"/>
      <c r="J35" s="347"/>
      <c r="K35" s="347"/>
      <c r="L35" s="347"/>
      <c r="M35" s="347"/>
      <c r="N35" s="347"/>
      <c r="O35" s="347"/>
      <c r="P35" s="347"/>
      <c r="Q35" s="347"/>
      <c r="R35" s="347"/>
      <c r="S35" s="347"/>
      <c r="T35" s="347"/>
      <c r="U35" s="347"/>
      <c r="V35" s="347"/>
      <c r="W35" s="347"/>
      <c r="X35" s="347"/>
      <c r="Y35" s="347"/>
      <c r="Z35" s="347"/>
      <c r="AA35" s="347"/>
    </row>
    <row r="36" spans="1:27" x14ac:dyDescent="0.2">
      <c r="A36" s="347"/>
      <c r="B36" s="347"/>
      <c r="C36" s="347"/>
      <c r="D36" s="347"/>
      <c r="E36" s="347"/>
      <c r="F36" s="347"/>
      <c r="G36" s="347"/>
      <c r="H36" s="347"/>
      <c r="I36" s="347"/>
      <c r="J36" s="347"/>
      <c r="K36" s="347"/>
      <c r="L36" s="347"/>
      <c r="M36" s="347"/>
      <c r="N36" s="347"/>
      <c r="O36" s="347"/>
      <c r="P36" s="347"/>
      <c r="Q36" s="347"/>
      <c r="R36" s="347"/>
      <c r="S36" s="347"/>
      <c r="T36" s="347"/>
      <c r="U36" s="347"/>
      <c r="V36" s="347"/>
      <c r="W36" s="347"/>
      <c r="X36" s="347"/>
      <c r="Y36" s="347"/>
      <c r="Z36" s="347"/>
      <c r="AA36" s="347"/>
    </row>
    <row r="37" spans="1:27" x14ac:dyDescent="0.2">
      <c r="A37" s="347"/>
      <c r="B37" s="347"/>
      <c r="C37" s="347"/>
      <c r="D37" s="347"/>
      <c r="E37" s="347"/>
      <c r="F37" s="347"/>
      <c r="G37" s="347"/>
      <c r="H37" s="347"/>
      <c r="I37" s="347"/>
      <c r="J37" s="347"/>
      <c r="K37" s="347"/>
      <c r="L37" s="347"/>
      <c r="M37" s="347"/>
      <c r="N37" s="347"/>
      <c r="O37" s="347"/>
      <c r="P37" s="347"/>
      <c r="Q37" s="347"/>
      <c r="R37" s="347"/>
      <c r="S37" s="347"/>
      <c r="T37" s="347"/>
      <c r="U37" s="347"/>
      <c r="V37" s="347"/>
      <c r="W37" s="347"/>
      <c r="X37" s="347"/>
      <c r="Y37" s="347"/>
      <c r="Z37" s="347"/>
      <c r="AA37" s="347"/>
    </row>
    <row r="38" spans="1:27" x14ac:dyDescent="0.2">
      <c r="A38" s="347"/>
      <c r="B38" s="347"/>
      <c r="C38" s="347"/>
      <c r="D38" s="347"/>
      <c r="E38" s="347"/>
      <c r="F38" s="347"/>
      <c r="G38" s="347"/>
      <c r="H38" s="347"/>
      <c r="I38" s="347"/>
      <c r="J38" s="347"/>
      <c r="K38" s="347"/>
      <c r="L38" s="347"/>
      <c r="M38" s="347"/>
      <c r="N38" s="347"/>
      <c r="O38" s="347"/>
      <c r="P38" s="347"/>
      <c r="Q38" s="347"/>
      <c r="R38" s="347"/>
      <c r="S38" s="347"/>
      <c r="T38" s="347"/>
      <c r="U38" s="347"/>
      <c r="V38" s="347"/>
      <c r="W38" s="347"/>
      <c r="X38" s="347"/>
      <c r="Y38" s="347"/>
      <c r="Z38" s="347"/>
      <c r="AA38" s="347"/>
    </row>
    <row r="39" spans="1:27" x14ac:dyDescent="0.2">
      <c r="A39" s="347"/>
      <c r="B39" s="347"/>
      <c r="C39" s="347"/>
      <c r="D39" s="347"/>
      <c r="E39" s="347"/>
      <c r="F39" s="347"/>
      <c r="G39" s="347"/>
      <c r="H39" s="347"/>
      <c r="I39" s="347"/>
      <c r="J39" s="347"/>
      <c r="K39" s="347"/>
      <c r="L39" s="347"/>
      <c r="M39" s="347"/>
      <c r="N39" s="347"/>
      <c r="O39" s="347"/>
      <c r="P39" s="347"/>
      <c r="Q39" s="347"/>
      <c r="R39" s="347"/>
      <c r="S39" s="347"/>
      <c r="T39" s="347"/>
      <c r="U39" s="347"/>
      <c r="V39" s="347"/>
      <c r="W39" s="347"/>
      <c r="X39" s="347"/>
      <c r="Y39" s="347"/>
      <c r="Z39" s="347"/>
      <c r="AA39" s="347"/>
    </row>
    <row r="40" spans="1:27" x14ac:dyDescent="0.2">
      <c r="A40" s="347"/>
      <c r="B40" s="347"/>
      <c r="C40" s="347"/>
      <c r="D40" s="347"/>
      <c r="E40" s="347"/>
      <c r="F40" s="347"/>
      <c r="G40" s="347"/>
      <c r="H40" s="347"/>
      <c r="I40" s="347"/>
      <c r="J40" s="347"/>
      <c r="K40" s="347"/>
      <c r="L40" s="347"/>
      <c r="M40" s="347"/>
      <c r="N40" s="347"/>
      <c r="O40" s="347"/>
      <c r="P40" s="347"/>
      <c r="Q40" s="347"/>
      <c r="R40" s="347"/>
      <c r="S40" s="347"/>
      <c r="T40" s="347"/>
      <c r="U40" s="347"/>
      <c r="V40" s="347"/>
      <c r="W40" s="347"/>
      <c r="X40" s="347"/>
      <c r="Y40" s="347"/>
      <c r="Z40" s="347"/>
      <c r="AA40" s="347"/>
    </row>
    <row r="41" spans="1:27" x14ac:dyDescent="0.2">
      <c r="A41" s="347"/>
      <c r="B41" s="347"/>
      <c r="C41" s="347"/>
      <c r="D41" s="347"/>
      <c r="E41" s="347"/>
      <c r="F41" s="347"/>
      <c r="G41" s="347"/>
      <c r="H41" s="347"/>
      <c r="I41" s="347"/>
      <c r="J41" s="347"/>
      <c r="K41" s="347"/>
      <c r="L41" s="347"/>
      <c r="M41" s="347"/>
      <c r="N41" s="347"/>
      <c r="O41" s="347"/>
      <c r="P41" s="347"/>
      <c r="Q41" s="347"/>
      <c r="R41" s="347"/>
      <c r="S41" s="347"/>
      <c r="T41" s="347"/>
      <c r="U41" s="347"/>
      <c r="V41" s="347"/>
      <c r="W41" s="347"/>
      <c r="X41" s="347"/>
      <c r="Y41" s="347"/>
      <c r="Z41" s="347"/>
      <c r="AA41" s="347"/>
    </row>
    <row r="42" spans="1:27" x14ac:dyDescent="0.2">
      <c r="A42" s="347"/>
      <c r="B42" s="347"/>
      <c r="C42" s="347"/>
      <c r="D42" s="347"/>
      <c r="E42" s="347"/>
      <c r="F42" s="347"/>
      <c r="G42" s="347"/>
      <c r="H42" s="347"/>
      <c r="I42" s="347"/>
      <c r="J42" s="347"/>
      <c r="K42" s="347"/>
      <c r="L42" s="347"/>
      <c r="M42" s="347"/>
      <c r="N42" s="347"/>
      <c r="O42" s="347"/>
      <c r="P42" s="347"/>
      <c r="Q42" s="347"/>
      <c r="R42" s="347"/>
      <c r="S42" s="347"/>
      <c r="T42" s="347"/>
      <c r="U42" s="347"/>
      <c r="V42" s="347"/>
      <c r="W42" s="347"/>
      <c r="X42" s="347"/>
      <c r="Y42" s="347"/>
      <c r="Z42" s="347"/>
      <c r="AA42" s="347"/>
    </row>
    <row r="43" spans="1:27" x14ac:dyDescent="0.2">
      <c r="A43" s="347"/>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row>
    <row r="44" spans="1:27" x14ac:dyDescent="0.2">
      <c r="A44" s="347"/>
      <c r="B44" s="347"/>
      <c r="C44" s="347"/>
      <c r="D44" s="347"/>
      <c r="E44" s="347"/>
      <c r="F44" s="347"/>
      <c r="G44" s="347"/>
      <c r="H44" s="347"/>
      <c r="I44" s="347"/>
      <c r="J44" s="347"/>
      <c r="K44" s="347"/>
      <c r="L44" s="347"/>
      <c r="M44" s="347"/>
      <c r="N44" s="347"/>
      <c r="O44" s="347"/>
      <c r="P44" s="347"/>
      <c r="Q44" s="347"/>
      <c r="R44" s="347"/>
      <c r="S44" s="347"/>
      <c r="T44" s="347"/>
      <c r="U44" s="347"/>
      <c r="V44" s="347"/>
      <c r="W44" s="347"/>
      <c r="X44" s="347"/>
      <c r="Y44" s="347"/>
      <c r="Z44" s="347"/>
      <c r="AA44" s="347"/>
    </row>
    <row r="45" spans="1:27" x14ac:dyDescent="0.2">
      <c r="A45" s="347"/>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row>
    <row r="46" spans="1:27" x14ac:dyDescent="0.2">
      <c r="A46" s="347"/>
      <c r="B46" s="347"/>
      <c r="C46" s="347"/>
      <c r="D46" s="347"/>
      <c r="E46" s="347"/>
      <c r="F46" s="347"/>
      <c r="G46" s="347"/>
      <c r="H46" s="347"/>
      <c r="I46" s="347"/>
      <c r="J46" s="347"/>
      <c r="K46" s="347"/>
      <c r="L46" s="347"/>
      <c r="M46" s="347"/>
      <c r="N46" s="347"/>
      <c r="O46" s="347"/>
      <c r="P46" s="347"/>
      <c r="Q46" s="347"/>
      <c r="R46" s="347"/>
      <c r="S46" s="347"/>
      <c r="T46" s="347"/>
      <c r="U46" s="347"/>
      <c r="V46" s="347"/>
      <c r="W46" s="347"/>
      <c r="X46" s="347"/>
      <c r="Y46" s="347"/>
      <c r="Z46" s="347"/>
      <c r="AA46" s="347"/>
    </row>
    <row r="47" spans="1:27" x14ac:dyDescent="0.2">
      <c r="A47" s="347"/>
      <c r="B47" s="347"/>
      <c r="C47" s="347"/>
      <c r="D47" s="347"/>
      <c r="E47" s="347"/>
      <c r="F47" s="347"/>
      <c r="G47" s="347"/>
      <c r="H47" s="347"/>
      <c r="I47" s="347"/>
      <c r="J47" s="347"/>
      <c r="K47" s="347"/>
      <c r="L47" s="347"/>
      <c r="M47" s="347"/>
      <c r="N47" s="347"/>
      <c r="O47" s="347"/>
      <c r="P47" s="347"/>
      <c r="Q47" s="347"/>
      <c r="R47" s="347"/>
      <c r="S47" s="347"/>
      <c r="T47" s="347"/>
      <c r="U47" s="347"/>
      <c r="V47" s="347"/>
      <c r="W47" s="347"/>
      <c r="X47" s="347"/>
      <c r="Y47" s="347"/>
      <c r="Z47" s="347"/>
      <c r="AA47" s="347"/>
    </row>
    <row r="48" spans="1:27" x14ac:dyDescent="0.2">
      <c r="A48" s="347"/>
      <c r="B48" s="347"/>
      <c r="C48" s="347"/>
      <c r="D48" s="347"/>
      <c r="E48" s="347"/>
      <c r="F48" s="347"/>
      <c r="G48" s="347"/>
      <c r="H48" s="347"/>
      <c r="I48" s="347"/>
      <c r="J48" s="347"/>
      <c r="K48" s="347"/>
      <c r="L48" s="347"/>
      <c r="M48" s="347"/>
      <c r="N48" s="347"/>
      <c r="O48" s="347"/>
      <c r="P48" s="347"/>
      <c r="Q48" s="347"/>
      <c r="R48" s="347"/>
      <c r="S48" s="347"/>
      <c r="T48" s="347"/>
      <c r="U48" s="347"/>
      <c r="V48" s="347"/>
      <c r="W48" s="347"/>
      <c r="X48" s="347"/>
      <c r="Y48" s="347"/>
      <c r="Z48" s="347"/>
      <c r="AA48" s="347"/>
    </row>
    <row r="49" spans="1:27" x14ac:dyDescent="0.2">
      <c r="A49" s="347"/>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c r="AA49" s="347"/>
    </row>
    <row r="50" spans="1:27" x14ac:dyDescent="0.2">
      <c r="A50" s="347"/>
      <c r="B50" s="347"/>
      <c r="C50" s="347"/>
      <c r="D50" s="347"/>
      <c r="E50" s="347"/>
      <c r="F50" s="347"/>
      <c r="G50" s="347"/>
      <c r="H50" s="347"/>
      <c r="I50" s="347"/>
      <c r="J50" s="347"/>
      <c r="K50" s="347"/>
      <c r="L50" s="347"/>
      <c r="M50" s="347"/>
      <c r="N50" s="347"/>
      <c r="O50" s="347"/>
      <c r="P50" s="347"/>
      <c r="Q50" s="347"/>
      <c r="R50" s="347"/>
      <c r="S50" s="347"/>
      <c r="T50" s="347"/>
      <c r="U50" s="347"/>
      <c r="V50" s="347"/>
      <c r="W50" s="347"/>
      <c r="X50" s="347"/>
      <c r="Y50" s="347"/>
      <c r="Z50" s="347"/>
      <c r="AA50" s="347"/>
    </row>
    <row r="51" spans="1:27" x14ac:dyDescent="0.2">
      <c r="A51" s="347"/>
      <c r="B51" s="347"/>
      <c r="C51" s="347"/>
      <c r="D51" s="347"/>
      <c r="E51" s="347"/>
      <c r="F51" s="347"/>
      <c r="G51" s="347"/>
      <c r="H51" s="347"/>
      <c r="I51" s="347"/>
      <c r="J51" s="347"/>
      <c r="K51" s="347"/>
      <c r="L51" s="347"/>
      <c r="M51" s="347"/>
      <c r="N51" s="347"/>
      <c r="O51" s="347"/>
      <c r="P51" s="347"/>
      <c r="Q51" s="347"/>
      <c r="R51" s="347"/>
      <c r="S51" s="347"/>
      <c r="T51" s="347"/>
      <c r="U51" s="347"/>
      <c r="V51" s="347"/>
      <c r="W51" s="347"/>
      <c r="X51" s="347"/>
      <c r="Y51" s="347"/>
      <c r="Z51" s="347"/>
      <c r="AA51" s="347"/>
    </row>
    <row r="52" spans="1:27" x14ac:dyDescent="0.2">
      <c r="A52" s="347"/>
      <c r="B52" s="347"/>
      <c r="C52" s="347"/>
      <c r="D52" s="347"/>
      <c r="E52" s="347"/>
      <c r="F52" s="347"/>
      <c r="G52" s="347"/>
      <c r="H52" s="347"/>
      <c r="I52" s="347"/>
      <c r="J52" s="347"/>
      <c r="K52" s="347"/>
      <c r="L52" s="347"/>
      <c r="M52" s="347"/>
      <c r="N52" s="347"/>
      <c r="O52" s="347"/>
      <c r="P52" s="347"/>
      <c r="Q52" s="347"/>
      <c r="R52" s="347"/>
      <c r="S52" s="347"/>
      <c r="T52" s="347"/>
      <c r="U52" s="347"/>
      <c r="V52" s="347"/>
      <c r="W52" s="347"/>
      <c r="X52" s="347"/>
      <c r="Y52" s="347"/>
      <c r="Z52" s="347"/>
      <c r="AA52" s="347"/>
    </row>
    <row r="53" spans="1:27" x14ac:dyDescent="0.2">
      <c r="A53" s="347"/>
      <c r="B53" s="347"/>
      <c r="C53" s="347"/>
      <c r="D53" s="347"/>
      <c r="E53" s="347"/>
      <c r="F53" s="347"/>
      <c r="G53" s="347"/>
      <c r="H53" s="347"/>
      <c r="I53" s="347"/>
      <c r="J53" s="347"/>
      <c r="K53" s="347"/>
      <c r="L53" s="347"/>
      <c r="M53" s="347"/>
      <c r="N53" s="347"/>
      <c r="O53" s="347"/>
      <c r="P53" s="347"/>
      <c r="Q53" s="347"/>
      <c r="R53" s="347"/>
      <c r="S53" s="347"/>
      <c r="T53" s="347"/>
      <c r="U53" s="347"/>
      <c r="V53" s="347"/>
      <c r="W53" s="347"/>
      <c r="X53" s="347"/>
      <c r="Y53" s="347"/>
      <c r="Z53" s="347"/>
      <c r="AA53" s="347"/>
    </row>
    <row r="54" spans="1:27" x14ac:dyDescent="0.2">
      <c r="A54" s="347"/>
      <c r="B54" s="347"/>
      <c r="C54" s="347"/>
      <c r="D54" s="347"/>
      <c r="E54" s="347"/>
      <c r="F54" s="347"/>
      <c r="G54" s="347"/>
      <c r="H54" s="347"/>
      <c r="I54" s="347"/>
      <c r="J54" s="347"/>
      <c r="K54" s="347"/>
      <c r="L54" s="347"/>
      <c r="M54" s="347"/>
      <c r="N54" s="347"/>
      <c r="O54" s="347"/>
      <c r="P54" s="347"/>
      <c r="Q54" s="347"/>
      <c r="R54" s="347"/>
      <c r="S54" s="347"/>
      <c r="T54" s="347"/>
      <c r="U54" s="347"/>
      <c r="V54" s="347"/>
      <c r="W54" s="347"/>
      <c r="X54" s="347"/>
      <c r="Y54" s="347"/>
      <c r="Z54" s="347"/>
      <c r="AA54" s="347"/>
    </row>
    <row r="55" spans="1:27" x14ac:dyDescent="0.2">
      <c r="A55" s="347"/>
      <c r="B55" s="347"/>
      <c r="C55" s="347"/>
      <c r="D55" s="347"/>
      <c r="E55" s="347"/>
      <c r="F55" s="347"/>
      <c r="G55" s="347"/>
      <c r="H55" s="347"/>
      <c r="I55" s="347"/>
      <c r="J55" s="347"/>
      <c r="K55" s="347"/>
      <c r="L55" s="347"/>
      <c r="M55" s="347"/>
      <c r="N55" s="347"/>
      <c r="O55" s="347"/>
      <c r="P55" s="347"/>
      <c r="Q55" s="347"/>
      <c r="R55" s="347"/>
      <c r="S55" s="347"/>
      <c r="T55" s="347"/>
      <c r="U55" s="347"/>
      <c r="V55" s="347"/>
      <c r="W55" s="347"/>
      <c r="X55" s="347"/>
      <c r="Y55" s="347"/>
      <c r="Z55" s="347"/>
      <c r="AA55" s="347"/>
    </row>
    <row r="56" spans="1:27" x14ac:dyDescent="0.2">
      <c r="A56" s="347"/>
      <c r="B56" s="347"/>
      <c r="C56" s="347"/>
      <c r="D56" s="347"/>
      <c r="E56" s="347"/>
      <c r="F56" s="347"/>
      <c r="G56" s="347"/>
      <c r="H56" s="347"/>
      <c r="I56" s="347"/>
      <c r="J56" s="347"/>
      <c r="K56" s="347"/>
      <c r="L56" s="347"/>
      <c r="M56" s="347"/>
      <c r="N56" s="347"/>
      <c r="O56" s="347"/>
      <c r="P56" s="347"/>
      <c r="Q56" s="347"/>
      <c r="R56" s="347"/>
      <c r="S56" s="347"/>
      <c r="T56" s="347"/>
      <c r="U56" s="347"/>
      <c r="V56" s="347"/>
      <c r="W56" s="347"/>
      <c r="X56" s="347"/>
      <c r="Y56" s="347"/>
      <c r="Z56" s="347"/>
      <c r="AA56" s="347"/>
    </row>
    <row r="57" spans="1:27" x14ac:dyDescent="0.2">
      <c r="A57" s="347"/>
      <c r="B57" s="347"/>
      <c r="C57" s="347"/>
      <c r="D57" s="347"/>
      <c r="E57" s="347"/>
      <c r="F57" s="347"/>
      <c r="G57" s="347"/>
      <c r="H57" s="347"/>
      <c r="I57" s="347"/>
      <c r="J57" s="347"/>
      <c r="K57" s="347"/>
      <c r="L57" s="347"/>
      <c r="M57" s="347"/>
      <c r="N57" s="347"/>
      <c r="O57" s="347"/>
      <c r="P57" s="347"/>
      <c r="Q57" s="347"/>
      <c r="R57" s="347"/>
      <c r="S57" s="347"/>
      <c r="T57" s="347"/>
      <c r="U57" s="347"/>
      <c r="V57" s="347"/>
      <c r="W57" s="347"/>
      <c r="X57" s="347"/>
      <c r="Y57" s="347"/>
      <c r="Z57" s="347"/>
      <c r="AA57" s="347"/>
    </row>
  </sheetData>
  <hyperlinks>
    <hyperlink ref="D1" location="Index!A1" display="Return to index" xr:uid="{00000000-0004-0000-1100-000000000000}"/>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7219</ReferenceId>
    <Notes xmlns="1e572c8d-6813-4013-8a4a-be491ac59459" xsi:nil="true"/>
    <TrackerId xmlns="1e572c8d-6813-4013-8a4a-be491ac59459">TRCK-2551</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2DD504-F2B8-4D9A-B6E4-FA8D45626F5A}">
  <ds:schemaRefs>
    <ds:schemaRef ds:uri="http://purl.org/dc/terms/"/>
    <ds:schemaRef ds:uri="http://schemas.openxmlformats.org/package/2006/metadata/core-properties"/>
    <ds:schemaRef ds:uri="http://purl.org/dc/dcmitype/"/>
    <ds:schemaRef ds:uri="1e572c8d-6813-4013-8a4a-be491ac59459"/>
    <ds:schemaRef ds:uri="96a98433-1569-4222-be80-afd48d89a184"/>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1D44FA7D-ED9F-47A9-A130-E6F787F2DDD1}">
  <ds:schemaRefs>
    <ds:schemaRef ds:uri="http://schemas.microsoft.com/sharepoint/v3/contenttype/forms"/>
  </ds:schemaRefs>
</ds:datastoreItem>
</file>

<file path=customXml/itemProps3.xml><?xml version="1.0" encoding="utf-8"?>
<ds:datastoreItem xmlns:ds="http://schemas.openxmlformats.org/officeDocument/2006/customXml" ds:itemID="{17416F05-8805-4CB4-9E7E-8F39A09D62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Background notes</vt:lpstr>
      <vt:lpstr>'Table 15'!Print_Area</vt:lpstr>
      <vt:lpstr>'Table 16'!Print_Area</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dc:creator>
  <cp:keywords/>
  <dc:description/>
  <cp:lastModifiedBy>Alice Gallimore-Roberts</cp:lastModifiedBy>
  <cp:revision/>
  <dcterms:created xsi:type="dcterms:W3CDTF">2013-06-28T08:24:06Z</dcterms:created>
  <dcterms:modified xsi:type="dcterms:W3CDTF">2024-08-02T11:03:45Z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